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⚡ Экспресс_Калькулятор_3_Цифры" sheetId="1" state="visible" r:id="rId1"/>
    <sheet xmlns:r="http://schemas.openxmlformats.org/officeDocument/2006/relationships" name="📋 Пульт_РОПа_15_Минут" sheetId="2" state="visible" r:id="rId2"/>
    <sheet xmlns:r="http://schemas.openxmlformats.org/officeDocument/2006/relationships" name="🎙️ ИИ_Аудит" sheetId="3" state="visible" r:id="rId3"/>
    <sheet xmlns:r="http://schemas.openxmlformats.org/officeDocument/2006/relationships" name="💸 Диагностика_Утечек_ОП" sheetId="4" state="visible" r:id="rId4"/>
    <sheet xmlns:r="http://schemas.openxmlformats.org/officeDocument/2006/relationships" name="📄 Executive_OnePager" sheetId="5" state="visible" r:id="rId5"/>
    <sheet xmlns:r="http://schemas.openxmlformats.org/officeDocument/2006/relationships" name="🔐 152-ФЗ_Контур_Безопасност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₽&quot;"/>
    <numFmt numFmtId="165" formatCode="0.0%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94A3B8"/>
      <sz val="9"/>
    </font>
    <font>
      <name val="Segoe UI"/>
      <b val="1"/>
      <color rgb="0060A5FA"/>
      <sz val="9"/>
    </font>
    <font>
      <name val="Segoe UI"/>
      <b val="1"/>
      <color rgb="001E293B"/>
      <sz val="11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b val="1"/>
      <color rgb="00B45309"/>
      <sz val="12"/>
    </font>
    <font>
      <name val="Segoe UI"/>
      <color rgb="00334155"/>
      <sz val="9"/>
    </font>
    <font>
      <name val="Segoe UI"/>
      <b val="1"/>
      <color rgb="00DC2626"/>
      <sz val="15"/>
    </font>
    <font>
      <name val="Segoe UI"/>
      <b val="1"/>
      <color rgb="0016A34A"/>
      <sz val="15"/>
    </font>
    <font>
      <name val="Segoe UI"/>
      <b val="1"/>
      <color rgb="002563EB"/>
      <sz val="15"/>
    </font>
    <font>
      <name val="Segoe UI"/>
      <b val="1"/>
      <color rgb="00FFFFFF"/>
      <sz val="11"/>
    </font>
    <font>
      <name val="Segoe UI"/>
      <b val="1"/>
      <color rgb="002563EB"/>
      <sz val="10"/>
      <u val="single"/>
    </font>
    <font>
      <name val="Segoe UI"/>
      <i val="1"/>
      <color rgb="0064748B"/>
      <sz val="8"/>
    </font>
    <font>
      <name val="Segoe UI"/>
      <b val="1"/>
      <color rgb="0064748B"/>
      <sz val="8"/>
    </font>
    <font>
      <name val="Segoe UI"/>
      <b val="1"/>
      <color rgb="000F172A"/>
      <sz val="15"/>
    </font>
    <font>
      <name val="Segoe UI"/>
      <b val="1"/>
      <color rgb="00DC2626"/>
      <sz val="13"/>
    </font>
    <font>
      <name val="Segoe UI"/>
      <i val="1"/>
      <color rgb="00334155"/>
      <sz val="8"/>
    </font>
    <font>
      <name val="Segoe UI"/>
      <b val="1"/>
      <color rgb="00DC2626"/>
      <sz val="11"/>
    </font>
    <font>
      <name val="Segoe UI"/>
      <b val="1"/>
      <color rgb="001E293B"/>
      <sz val="10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F9C3"/>
        <bgColor rgb="00FEF9C3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EEF2FF"/>
        <bgColor rgb="00EEF2FF"/>
      </patternFill>
    </fill>
    <fill>
      <patternFill patternType="solid">
        <fgColor rgb="00FFFBEB"/>
        <bgColor rgb="00FFFBEB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16A34A"/>
        <bgColor rgb="0016A34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6" fillId="0" borderId="1" pivotButton="0" quotePrefix="0" xfId="0"/>
    <xf numFmtId="3" fontId="7" fillId="5" borderId="1" applyAlignment="1" pivotButton="0" quotePrefix="0" xfId="0">
      <alignment horizontal="center" vertical="center"/>
    </xf>
    <xf numFmtId="0" fontId="8" fillId="0" borderId="1" pivotButton="0" quotePrefix="0" xfId="0"/>
    <xf numFmtId="164" fontId="6" fillId="0" borderId="1" pivotButton="0" quotePrefix="0" xfId="0"/>
    <xf numFmtId="164" fontId="7" fillId="5" borderId="1" applyAlignment="1" pivotButton="0" quotePrefix="0" xfId="0">
      <alignment horizontal="center" vertical="center"/>
    </xf>
    <xf numFmtId="165" fontId="6" fillId="0" borderId="1" pivotButton="0" quotePrefix="0" xfId="0"/>
    <xf numFmtId="164" fontId="9" fillId="0" borderId="1" pivotButton="0" quotePrefix="0" xfId="0"/>
    <xf numFmtId="1" fontId="7" fillId="5" borderId="1" applyAlignment="1" pivotButton="0" quotePrefix="0" xfId="0">
      <alignment horizontal="center" vertical="center"/>
    </xf>
    <xf numFmtId="164" fontId="10" fillId="0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0" fillId="0" borderId="2" pivotButton="0" quotePrefix="0" xfId="0"/>
    <xf numFmtId="0" fontId="6" fillId="0" borderId="2" pivotButton="0" quotePrefix="0" xfId="0"/>
    <xf numFmtId="164" fontId="9" fillId="0" borderId="2" pivotButton="0" quotePrefix="0" xfId="0"/>
    <xf numFmtId="0" fontId="10" fillId="0" borderId="2" pivotButton="0" quotePrefix="0" xfId="0"/>
    <xf numFmtId="0" fontId="12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2" fillId="1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11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8" fillId="0" borderId="1" pivotButton="0" quotePrefix="0" xfId="0"/>
    <xf numFmtId="0" fontId="8" fillId="0" borderId="2" pivotButton="0" quotePrefix="0" xfId="0"/>
    <xf numFmtId="0" fontId="4" fillId="8" borderId="0" applyAlignment="1" pivotButton="0" quotePrefix="0" xfId="0">
      <alignment horizontal="center" vertical="center"/>
    </xf>
    <xf numFmtId="0" fontId="0" fillId="0" borderId="1" pivotButton="0" quotePrefix="0" xfId="0"/>
    <xf numFmtId="0" fontId="10" fillId="7" borderId="1" pivotButton="0" quotePrefix="0" xfId="0"/>
    <xf numFmtId="0" fontId="15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0" fillId="4" borderId="1" pivotButton="0" quotePrefix="0" xfId="0"/>
    <xf numFmtId="0" fontId="8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164" fontId="16" fillId="11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4" fontId="8" fillId="0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64" fontId="6" fillId="0" borderId="2" pivotButton="0" quotePrefix="0" xfId="0"/>
    <xf numFmtId="164" fontId="6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38" customWidth="1" min="3" max="3"/>
    <col width="26" customWidth="1" min="4" max="4"/>
    <col width="44" customWidth="1" min="5" max="5"/>
    <col width="46" customWidth="1" min="6" max="6"/>
    <col width="28" customWidth="1" min="7" max="7"/>
    <col width="24" customWidth="1" min="8" max="8"/>
    <col width="20" customWidth="1" min="9" max="9"/>
  </cols>
  <sheetData>
    <row r="1" ht="36" customHeight="1">
      <c r="A1" s="1" t="inlineStr">
        <is>
          <t>⚡ ЭКСПРЕСС-КАЛЬКУЛЯТОР УПУЩЕННОЙ ПРИБЫЛИ ОП (ДИАГНОСТИКА ЗА 30 СЕКУНД)</t>
        </is>
      </c>
    </row>
    <row r="2" ht="22" customHeight="1">
      <c r="A2" s="2" t="inlineStr">
        <is>
          <t>📄 1. One-Pager</t>
        </is>
      </c>
      <c r="B2" s="2" t="inlineStr">
        <is>
          <t>⚡ 2. Пульс компании</t>
        </is>
      </c>
      <c r="C2" s="2" t="inlineStr">
        <is>
          <t>📋 3. Пульт РОПа</t>
        </is>
      </c>
      <c r="D2" s="2" t="inlineStr">
        <is>
          <t>💸 4. 7 Грехов ОП</t>
        </is>
      </c>
      <c r="E2" s="2" t="inlineStr">
        <is>
          <t>🎯 5. Action Center</t>
        </is>
      </c>
      <c r="F2" s="2" t="inlineStr">
        <is>
          <t>🎙️ 6. ИИ-Аудит</t>
        </is>
      </c>
      <c r="G2" s="3" t="inlineStr">
        <is>
          <t>⚡ 7. Экспресс 3 цифры</t>
        </is>
      </c>
      <c r="H2" s="2" t="inlineStr">
        <is>
          <t>🧪 8. QA Suite</t>
        </is>
      </c>
      <c r="I2" s="2" t="inlineStr">
        <is>
          <t>⚙️ 9. Настройки</t>
        </is>
      </c>
    </row>
    <row r="4" ht="24" customHeight="1">
      <c r="A4" s="4" t="inlineStr">
        <is>
          <t>🎛️ ВВЕДИТЕ 3 ЦИФРЫ ВАШЕГО БИЗНЕСА:</t>
        </is>
      </c>
      <c r="C4" s="4" t="inlineStr">
        <is>
          <t>📊 БАЗОВЫЕ ПОКАЗАТЕЛИ (AS-IS):</t>
        </is>
      </c>
      <c r="G4" s="5" t="inlineStr">
        <is>
          <t>Категория капитала</t>
        </is>
      </c>
      <c r="H4" s="6" t="n"/>
    </row>
    <row r="5">
      <c r="A5" s="7" t="inlineStr">
        <is>
          <t>1. Входящий поток лидов в месяц (шт):</t>
        </is>
      </c>
      <c r="B5" s="8" t="n">
        <v>150</v>
      </c>
      <c r="C5" s="9" t="inlineStr">
        <is>
          <t>Емкость базы (при 100% конверсии):</t>
        </is>
      </c>
      <c r="D5" s="10">
        <f>B5*B6</f>
        <v/>
      </c>
      <c r="G5" s="9" t="inlineStr">
        <is>
          <t>Факт выручки (As-Is)</t>
        </is>
      </c>
      <c r="H5" s="10" t="n">
        <v>1650000</v>
      </c>
    </row>
    <row r="6">
      <c r="A6" s="7" t="inlineStr">
        <is>
          <t>2. Средний чек закрытой сделки (₽):</t>
        </is>
      </c>
      <c r="B6" s="11" t="n">
        <v>400000</v>
      </c>
      <c r="C6" s="9" t="inlineStr">
        <is>
          <t>Текущая конверсия в оплату (факт):</t>
        </is>
      </c>
      <c r="D6" s="12">
        <f>H5/D5</f>
        <v/>
      </c>
      <c r="G6" s="7" t="inlineStr">
        <is>
          <t>Упущенная прибыль ОП</t>
        </is>
      </c>
      <c r="H6" s="13" t="n">
        <v>1039500</v>
      </c>
    </row>
    <row r="7">
      <c r="A7" s="7" t="inlineStr">
        <is>
          <t>3. Количество менеджеров в ОП (чел):</t>
        </is>
      </c>
      <c r="B7" s="14" t="n">
        <v>4</v>
      </c>
      <c r="C7" s="9" t="inlineStr">
        <is>
          <t>Текущая выручка месяца (факт):</t>
        </is>
      </c>
      <c r="D7" s="10">
        <f>H5</f>
        <v/>
      </c>
      <c r="G7" s="7" t="inlineStr">
        <is>
          <t>Потенциал кассы (To-Be)</t>
        </is>
      </c>
      <c r="H7" s="15" t="n">
        <v>1961850</v>
      </c>
    </row>
    <row r="8">
      <c r="A8" s="9" t="inlineStr">
        <is>
          <t>Отраслевой сегмент компании:</t>
        </is>
      </c>
      <c r="B8" s="7" t="inlineStr">
        <is>
          <t>B2B Услуги / Производство</t>
        </is>
      </c>
      <c r="C8" s="9" t="inlineStr">
        <is>
          <t>Нагрузка на одного менеджера (лидов):</t>
        </is>
      </c>
      <c r="D8" s="7">
        <f>ROUND(B5/B7, 0) &amp; " лид/мес"</f>
        <v/>
      </c>
    </row>
    <row r="10" ht="22" customHeight="1">
      <c r="A10" s="16" t="inlineStr">
        <is>
          <t>🔴 ВЫЯВЛЕННЫЙ РИСК ПОТЕРЬ</t>
        </is>
      </c>
      <c r="C10" s="17" t="inlineStr">
        <is>
          <t>🟢 КОНСЕРВАТИВНЫЙ (+15%)</t>
        </is>
      </c>
      <c r="E10" s="18" t="inlineStr">
        <is>
          <t>🚀 БАЗОВЫЙ ПЛАН (+30%)</t>
        </is>
      </c>
      <c r="G10" s="19" t="inlineStr">
        <is>
          <t>⭐ ОПТИМИСТИЧНЫЙ (+50%)</t>
        </is>
      </c>
    </row>
    <row r="11" ht="32" customHeight="1">
      <c r="A11" s="20">
        <f>H6</f>
        <v/>
      </c>
      <c r="C11" s="21">
        <f>H5*1.0945</f>
        <v/>
      </c>
      <c r="E11" s="22">
        <f>H5*1.189</f>
        <v/>
      </c>
      <c r="G11" s="23">
        <f>H5*1.315</f>
        <v/>
      </c>
    </row>
    <row r="13" ht="24" customHeight="1">
      <c r="A13" s="4" t="inlineStr">
        <is>
          <t>📊 РАСШИФРОВКА ФИНАНСОВЫХ УТЕЧЕК ПО 4 УЗКИМ МЕСТАМ</t>
        </is>
      </c>
    </row>
    <row r="14" ht="24" customHeight="1">
      <c r="A14" s="24" t="inlineStr">
        <is>
          <t>№</t>
        </is>
      </c>
      <c r="B14" s="24" t="inlineStr">
        <is>
          <t>Узкое место воронки продаж</t>
        </is>
      </c>
      <c r="C14" s="24" t="inlineStr">
        <is>
          <t>Отраслевой бенчмарк потерь</t>
        </is>
      </c>
      <c r="D14" s="24" t="inlineStr">
        <is>
          <t>Упущенная прибыль, ₽/мес</t>
        </is>
      </c>
      <c r="E14" s="24" t="inlineStr">
        <is>
          <t>Причина утечки</t>
        </is>
      </c>
      <c r="F14" s="24" t="inlineStr">
        <is>
          <t>Как закрываем за 14 дней</t>
        </is>
      </c>
    </row>
    <row r="15" ht="20" customHeight="1">
      <c r="A15" s="25" t="inlineStr">
        <is>
          <t>1</t>
        </is>
      </c>
      <c r="B15" s="9" t="inlineStr">
        <is>
          <t>Слив лидов на звонках (нет Next Step)</t>
        </is>
      </c>
      <c r="C15" s="9" t="inlineStr">
        <is>
          <t>30% выручки теряется из-за ошибок менеджеров</t>
        </is>
      </c>
      <c r="D15" s="10" t="n">
        <v>412500</v>
      </c>
      <c r="E15" s="9" t="inlineStr">
        <is>
          <t>Менеджеры консультируют, но не закрывают на дату</t>
        </is>
      </c>
      <c r="F15" s="9" t="inlineStr">
        <is>
          <t>ИИ-аудит 100% звонков + чек-лист Next Step</t>
        </is>
      </c>
    </row>
    <row r="16" ht="20" customHeight="1">
      <c r="A16" s="25" t="inlineStr">
        <is>
          <t>2</t>
        </is>
      </c>
      <c r="B16" s="9" t="inlineStr">
        <is>
          <t>Зависание сделок на этапе КП &gt; 48ч</t>
        </is>
      </c>
      <c r="C16" s="9" t="inlineStr">
        <is>
          <t>18% выручки теряется из-за просрочки follow-up</t>
        </is>
      </c>
      <c r="D16" s="10" t="n">
        <v>297000</v>
      </c>
      <c r="E16" s="9" t="inlineStr">
        <is>
          <t>Клиент остывает, пока менеджер ждет звонка</t>
        </is>
      </c>
      <c r="F16" s="9" t="inlineStr">
        <is>
          <t>Авторадар SLA 48ч + эскалация РОПу на 3-й день</t>
        </is>
      </c>
    </row>
    <row r="17" ht="20" customHeight="1">
      <c r="A17" s="25" t="inlineStr">
        <is>
          <t>3</t>
        </is>
      </c>
      <c r="B17" s="9" t="inlineStr">
        <is>
          <t>Брошенные отказники без дожима (L1-L4)</t>
        </is>
      </c>
      <c r="C17" s="9" t="inlineStr">
        <is>
          <t>8% — потенциал реактивации списанных сделок</t>
        </is>
      </c>
      <c r="D17" s="10" t="n">
        <v>132000</v>
      </c>
      <c r="E17" s="9" t="inlineStr">
        <is>
          <t>Сделки списаны в архив без реактивации</t>
        </is>
      </c>
      <c r="F17" s="9" t="inlineStr">
        <is>
          <t>AI Recovery Engine: автодожим в WhatsApp/TG</t>
        </is>
      </c>
    </row>
    <row r="18" ht="20" customHeight="1">
      <c r="A18" s="25" t="inlineStr">
        <is>
          <t>4</t>
        </is>
      </c>
      <c r="B18" s="9" t="inlineStr">
        <is>
          <t>Зависшая дебиторка и задержка оплат</t>
        </is>
      </c>
      <c r="C18" s="9" t="inlineStr">
        <is>
          <t>12% выставленных счетов с просрочкой 20+ дней</t>
        </is>
      </c>
      <c r="D18" s="10" t="n">
        <v>198000</v>
      </c>
      <c r="E18" s="9" t="inlineStr">
        <is>
          <t>Нет платежного календаря и контроля сроков</t>
        </is>
      </c>
      <c r="F18" s="9" t="inlineStr">
        <is>
          <t>Платежный календарь DSO + автонапоминания</t>
        </is>
      </c>
    </row>
    <row r="19">
      <c r="A19" s="26" t="n"/>
      <c r="B19" s="27" t="inlineStr">
        <is>
          <t>ИТОГО УПУЩЕННОЙ ПРИБЫЛИ В МЕСЯЦ:</t>
        </is>
      </c>
      <c r="C19" s="26" t="n"/>
      <c r="D19" s="28">
        <f>SUM(D15:D18)</f>
        <v/>
      </c>
      <c r="E19" s="27" t="inlineStr">
        <is>
          <t>ПОТЕНЦИАЛ БЫСТРОГО ВОЗВРАТА:</t>
        </is>
      </c>
      <c r="F19" s="29">
        <f>ROUND(D19*0.35, 0) &amp; " ₽ в первый месяц"</f>
        <v/>
      </c>
    </row>
    <row r="21" ht="26" customHeight="1">
      <c r="A21" s="30" t="inlineStr">
        <is>
          <t>🎁 СЛЕДУЮЩИЙ ШАГ: БЕСПЛАТНЫЙ ТЕСТ-ДРАЙВ НА 3 ВАШИХ ЗВОНКАХ</t>
        </is>
      </c>
    </row>
    <row r="22">
      <c r="A22" s="31" t="inlineStr">
        <is>
          <t>Хотите проверить эту математику на реальных данных вашей компании за 15 минут?</t>
        </is>
      </c>
    </row>
    <row r="23">
      <c r="A23" s="32" t="inlineStr">
        <is>
          <t>👉 Отправьте 3 аудиозаписи любых вчерашних звонков ваших менеджеров в Telegram бот.</t>
        </is>
      </c>
    </row>
    <row r="24">
      <c r="A24" s="32" t="inlineStr">
        <is>
          <t>ИИ бесплатно разберет их по 13 критериям, покажет ошибки речи и рассчитает точную сумму под угрозой слива.</t>
        </is>
      </c>
    </row>
    <row r="25" ht="28" customHeight="1">
      <c r="A25" s="33" t="inlineStr">
        <is>
          <t>🚀 ЗАПУСТИТЬ БЕСПЛАТНЫЙ ТЕСТ-ДРАЙВ: @RevOps_Super_Audit_Bot (https://t.me/RevOps_Super_Audit_Bot)</t>
        </is>
      </c>
    </row>
    <row r="26">
      <c r="A26" s="34" t="inlineStr">
        <is>
          <t>Нужен комплексный аудит отдела продаж? 👉 Экономика спринта оптимизации (450 000 ₽) на вкладке «4. 7 Грехов ОП»</t>
        </is>
      </c>
    </row>
    <row r="27">
      <c r="A27" s="35" t="inlineStr">
        <is>
          <t>🔒 Конфиденциально • Без передачи персональных данных • Экспресс-разбор за 15 минут (152-ФЗ РФ)</t>
        </is>
      </c>
    </row>
  </sheetData>
  <mergeCells count="20">
    <mergeCell ref="A11:B11"/>
    <mergeCell ref="G11:H11"/>
    <mergeCell ref="A27:F27"/>
    <mergeCell ref="A26:F26"/>
    <mergeCell ref="A21:F21"/>
    <mergeCell ref="C4:D4"/>
    <mergeCell ref="C10:D10"/>
    <mergeCell ref="E10:F10"/>
    <mergeCell ref="G10:H10"/>
    <mergeCell ref="A23:F23"/>
    <mergeCell ref="A22:F22"/>
    <mergeCell ref="A13:F13"/>
    <mergeCell ref="C11:D11"/>
    <mergeCell ref="E11:F11"/>
    <mergeCell ref="A4:B4"/>
    <mergeCell ref="G4:H4"/>
    <mergeCell ref="A24:F24"/>
    <mergeCell ref="A10:B10"/>
    <mergeCell ref="A1:I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46" customWidth="1" min="3" max="3"/>
    <col width="20" customWidth="1" min="4" max="4"/>
    <col width="22" customWidth="1" min="5" max="5"/>
    <col width="42" customWidth="1" min="6" max="6"/>
    <col width="16" customWidth="1" min="7" max="7"/>
    <col width="65" customWidth="1" min="8" max="8"/>
  </cols>
  <sheetData>
    <row r="1" ht="36" customHeight="1">
      <c r="A1" s="1" t="inlineStr">
        <is>
          <t>📋 СТРАТЕГИЧЕСКИЙ ПУЛЬТ СОБСТВЕННИКА: «5 РЕШЕНИЙ МЕСЯЦА»</t>
        </is>
      </c>
    </row>
    <row r="2" ht="22" customHeight="1">
      <c r="A2" s="2" t="inlineStr">
        <is>
          <t>📄 1. One-Pager</t>
        </is>
      </c>
      <c r="B2" s="2" t="inlineStr">
        <is>
          <t>⚡ 2. Пульс компании</t>
        </is>
      </c>
      <c r="C2" s="3" t="inlineStr">
        <is>
          <t>📋 3. Пульт РОПа</t>
        </is>
      </c>
      <c r="D2" s="2" t="inlineStr">
        <is>
          <t>💸 4. 7 Грехов ОП</t>
        </is>
      </c>
      <c r="E2" s="2" t="inlineStr">
        <is>
          <t>🎯 5. Action Center</t>
        </is>
      </c>
      <c r="F2" s="2" t="inlineStr">
        <is>
          <t>🎙️ 6. ИИ-Аудит</t>
        </is>
      </c>
      <c r="G2" s="2" t="inlineStr">
        <is>
          <t>⚡ 7. Экспресс 3 цифры</t>
        </is>
      </c>
      <c r="H2" s="2" t="inlineStr">
        <is>
          <t>🧪 8. QA Suite</t>
        </is>
      </c>
    </row>
    <row r="4" ht="20" customHeight="1">
      <c r="A4" s="36" t="inlineStr">
        <is>
          <t>Звонков за вчера</t>
        </is>
      </c>
      <c r="B4" s="37" t="inlineStr">
        <is>
          <t>Диалогов с браком (&lt;9)</t>
        </is>
      </c>
      <c r="C4" s="37" t="inlineStr">
        <is>
          <t>Сделок с угрозой срыва</t>
        </is>
      </c>
      <c r="D4" s="37" t="inlineStr">
        <is>
          <t>Сумма в зоне риска прямо сейчас</t>
        </is>
      </c>
      <c r="E4" s="37" t="inlineStr">
        <is>
          <t>Статус дня для РОПа</t>
        </is>
      </c>
    </row>
    <row r="5" ht="32" customHeight="1">
      <c r="A5" s="38" t="inlineStr">
        <is>
          <t>6</t>
        </is>
      </c>
      <c r="B5" s="39" t="inlineStr">
        <is>
          <t>2</t>
        </is>
      </c>
      <c r="C5" s="39" t="inlineStr">
        <is>
          <t>2</t>
        </is>
      </c>
      <c r="D5" s="20" t="n">
        <v>2730000</v>
      </c>
      <c r="E5" s="40" t="inlineStr">
        <is>
          <t>🚨 ТРЕБУЕТСЯ 15 МИНУТ КОНТРОЛЯ РОПа</t>
        </is>
      </c>
    </row>
    <row r="7" ht="24" customHeight="1">
      <c r="A7" s="4" t="inlineStr">
        <is>
          <t>🎯 ТОП-5 СТРАТЕГИЧЕСКИХ РЕШЕНИЙ ДЛЯ ЗАЩИТЫ КАПИТАЛА БИЗНЕСА</t>
        </is>
      </c>
    </row>
    <row r="8" ht="26" customHeight="1">
      <c r="A8" s="24" t="inlineStr">
        <is>
          <t>№</t>
        </is>
      </c>
      <c r="B8" s="24" t="inlineStr">
        <is>
          <t>Сделка / Контрагент</t>
        </is>
      </c>
      <c r="C8" s="24" t="inlineStr">
        <is>
          <t>Суть проблемы и симптом</t>
        </is>
      </c>
      <c r="D8" s="24" t="inlineStr">
        <is>
          <t>Сумма в риске</t>
        </is>
      </c>
      <c r="E8" s="24" t="inlineStr">
        <is>
          <t>Приоритет</t>
        </is>
      </c>
      <c r="F8" s="24" t="inlineStr">
        <is>
          <t>Срочное действие РОПа (Что сделать)</t>
        </is>
      </c>
      <c r="G8" s="24" t="inlineStr">
        <is>
          <t>Чекбокс</t>
        </is>
      </c>
      <c r="H8" s="24" t="inlineStr">
        <is>
          <t>🤖 Сгенерированный оффер ИИ-дожима (WhatsApp / Скрипт РОПа)</t>
        </is>
      </c>
    </row>
    <row r="9" ht="42" customHeight="1">
      <c r="A9" s="41" t="n">
        <v>1</v>
      </c>
      <c r="B9" s="9" t="inlineStr">
        <is>
          <t>Сделка D-104 (ООО «Вектор Плюс»)</t>
        </is>
      </c>
      <c r="C9" s="9" t="inlineStr">
        <is>
          <t>Зависание на этапе КП: 12 дней без ответа (норма 48ч)</t>
        </is>
      </c>
      <c r="D9" s="10" t="n">
        <v>850000</v>
      </c>
      <c r="E9" s="41" t="inlineStr">
        <is>
          <t>🔴 КРИТИЧЕСКИЙ</t>
        </is>
      </c>
      <c r="F9" s="9" t="inlineStr">
        <is>
          <t>Запросить статус у КАМа Петрова, согласовать скидку/рассрочку</t>
        </is>
      </c>
      <c r="G9" s="42" t="inlineStr">
        <is>
          <t>В РАБОТЕ</t>
        </is>
      </c>
      <c r="H9" s="43" t="inlineStr">
        <is>
          <t>Добрый день, Алексей! Вижу, наш расчет по договору согласован. Чтобы зафиксировать спец-условия сентября со скидкой 7%, предлагаю сегодня подписать спецификацию. Слот для звонка: 14:30. Удобно?</t>
        </is>
      </c>
    </row>
    <row r="10" ht="42" customHeight="1">
      <c r="A10" s="41" t="n">
        <v>2</v>
      </c>
      <c r="B10" s="9" t="inlineStr">
        <is>
          <t>Звонок C-505 / Сделка D-109 (ООО «ПромКомплект»)</t>
        </is>
      </c>
      <c r="C10" s="9" t="inlineStr">
        <is>
          <t>Менеджер сорвал контакт (балл речи 2/13), клиент ушел в отказ</t>
        </is>
      </c>
      <c r="D10" s="10" t="n">
        <v>600000</v>
      </c>
      <c r="E10" s="41" t="inlineStr">
        <is>
          <t>🔴 КРИТИЧЕСКИЙ</t>
        </is>
      </c>
      <c r="F10" s="9" t="inlineStr">
        <is>
          <t>Личный звонок РОПа ЛПР до 12:00: перехват сделки от лица руководства</t>
        </is>
      </c>
      <c r="G10" s="42" t="inlineStr">
        <is>
          <t>В РАБОТЕ</t>
        </is>
      </c>
      <c r="H10" s="43" t="inlineStr">
        <is>
          <t>Михаил Сергеевич, добрый день! Это Дмитрий Иванов, коммерческий директор. Прослушал вчерашний диалог с нашим менеджером — приношу извинения за неполную консультацию. Лично подготовил для вас проект с расширенной гарантией 24 мес. Уделите 5 минут?</t>
        </is>
      </c>
    </row>
    <row r="11" ht="42" customHeight="1">
      <c r="A11" s="41" t="n">
        <v>3</v>
      </c>
      <c r="B11" s="9" t="inlineStr">
        <is>
          <t>Звонок C-503 / Сделка D-106 (ООО «СнабСервис»)</t>
        </is>
      </c>
      <c r="C11" s="9" t="inlineStr">
        <is>
          <t>В диалоге не зафиксирована дата встречи (балл речи 6/13)</t>
        </is>
      </c>
      <c r="D11" s="10" t="n">
        <v>280000</v>
      </c>
      <c r="E11" s="41" t="inlineStr">
        <is>
          <t>🟡 СРЕДНИЙ</t>
        </is>
      </c>
      <c r="F11" s="9" t="inlineStr">
        <is>
          <t>Поставить задачу менеджеру Петрову: перезвонить и назначить слот встречи</t>
        </is>
      </c>
      <c r="G11" s="42" t="inlineStr">
        <is>
          <t>В РАБОТЕ</t>
        </is>
      </c>
      <c r="H11" s="43" t="inlineStr">
        <is>
          <t>Игорь, приветствую! Направил вам 2 слота на онлайн-демо платформы: сегодня в 16:00 или завтра в 11:30. За 15 минут покажем связку с вашей CRM. Какой слот забронировать?</t>
        </is>
      </c>
    </row>
    <row r="12" ht="42" customHeight="1">
      <c r="A12" s="41" t="n">
        <v>4</v>
      </c>
      <c r="B12" s="9" t="inlineStr">
        <is>
          <t>Сделка D-107 (ООО «ТехноПром»)</t>
        </is>
      </c>
      <c r="C12" s="9" t="inlineStr">
        <is>
          <t>Счет просрочен на 9 дней (сумма 150 000 ₽)</t>
        </is>
      </c>
      <c r="D12" s="10" t="n">
        <v>150000</v>
      </c>
      <c r="E12" s="41" t="inlineStr">
        <is>
          <t>🟡 СРЕДНИЙ</t>
        </is>
      </c>
      <c r="F12" s="9" t="inlineStr">
        <is>
          <t>Отправить триггерное напоминание в WhatsApp бухгалтеру клиента</t>
        </is>
      </c>
      <c r="G12" s="42" t="inlineStr">
        <is>
          <t>В РАБОТЕ</t>
        </is>
      </c>
      <c r="H12" s="43" t="inlineStr">
        <is>
          <t>Ольга, здравствуйте! Бухгалтерия напоминает: по счету INV-203 сегодня крайний день резерва оборудования по льготному курсу. Выставить ссылку на моментальную оплату через СБП?</t>
        </is>
      </c>
    </row>
    <row r="13" ht="42" customHeight="1">
      <c r="A13" s="41" t="n">
        <v>5</v>
      </c>
      <c r="B13" s="9" t="inlineStr">
        <is>
          <t>Сделка D-103 (ООО «ИнвестХолдинг»)</t>
        </is>
      </c>
      <c r="C13" s="9" t="inlineStr">
        <is>
          <t>Нагрузка 80%, 4 ключевые сделки висят на РОПе</t>
        </is>
      </c>
      <c r="D13" s="10" t="n">
        <v>850000</v>
      </c>
      <c r="E13" s="41" t="inlineStr">
        <is>
          <t>🟡 СРЕДНИЙ</t>
        </is>
      </c>
      <c r="F13" s="9" t="inlineStr">
        <is>
          <t>Делегировать 2 входящие сделки на КАМа (у КАМа загрузка всего 4%)</t>
        </is>
      </c>
      <c r="G13" s="42" t="inlineStr">
        <is>
          <t>В РАБОТЕ</t>
        </is>
      </c>
      <c r="H13" s="43" t="inlineStr">
        <is>
          <t>Регламентное действие: передать права ответственного по сделке D-102 на КАМа Петрова (свободная емкость 75%). РОПу оставить контроль ключевых контрольных точек.</t>
        </is>
      </c>
    </row>
    <row r="14" ht="24" customHeight="1">
      <c r="A14" s="26" t="n"/>
      <c r="B14" s="27" t="inlineStr">
        <is>
          <t>ИТОГО ДЕНЕГ В ЗОНЕ РИСКА СЕГОДНЯ:</t>
        </is>
      </c>
      <c r="C14" s="26" t="n"/>
      <c r="D14" s="28">
        <f>SUM(D9:D13)</f>
        <v/>
      </c>
      <c r="E14" s="27" t="inlineStr">
        <is>
          <t>СПАСЕННАЯ ВЫРУЧКА:</t>
        </is>
      </c>
      <c r="F14" s="44" t="inlineStr">
        <is>
          <t>При выполнении всех 5 действий</t>
        </is>
      </c>
      <c r="G14" s="29" t="inlineStr">
        <is>
          <t>100% защита</t>
        </is>
      </c>
      <c r="H14" s="26" t="n"/>
    </row>
    <row r="17" ht="24" customHeight="1">
      <c r="E17" s="45" t="inlineStr">
        <is>
          <t>⏱️ ЭКСПРЕСС-РЕГЛАМЕНТ РОПа (15 МИНУТ/ДЕНЬ)</t>
        </is>
      </c>
    </row>
    <row r="18" ht="20" customHeight="1">
      <c r="E18" s="42" t="inlineStr">
        <is>
          <t>09:00 - 09:05</t>
        </is>
      </c>
      <c r="F18" s="9" t="inlineStr">
        <is>
          <t>Проверка ночного ИИ-аудита: 2 звонка с браком (&lt;9 баллов)</t>
        </is>
      </c>
      <c r="G18" s="46" t="n"/>
      <c r="H18" s="46" t="n"/>
    </row>
    <row r="19" ht="20" customHeight="1">
      <c r="E19" s="42" t="inlineStr">
        <is>
          <t>09:05 - 09:10</t>
        </is>
      </c>
      <c r="F19" s="9" t="inlineStr">
        <is>
          <t>Перехват сделки D-109 (600 т.р.) и звонок ЛПР до 12:00</t>
        </is>
      </c>
      <c r="G19" s="46" t="n"/>
      <c r="H19" s="46" t="n"/>
    </row>
    <row r="20" ht="20" customHeight="1">
      <c r="E20" s="42" t="inlineStr">
        <is>
          <t>09:10 - 09:13</t>
        </is>
      </c>
      <c r="F20" s="9" t="inlineStr">
        <is>
          <t>Согласование спецусловий по D-104 (850 т.р.)</t>
        </is>
      </c>
      <c r="G20" s="46" t="n"/>
      <c r="H20" s="46" t="n"/>
    </row>
    <row r="21" ht="20" customHeight="1">
      <c r="E21" s="42" t="inlineStr">
        <is>
          <t>09:13 - 09:15</t>
        </is>
      </c>
      <c r="F21" s="9" t="inlineStr">
        <is>
          <t>Делегирование 2 сделок с РОПа на свободного КАМа</t>
        </is>
      </c>
      <c r="G21" s="46" t="n"/>
      <c r="H21" s="46" t="n"/>
    </row>
    <row r="22" ht="20" customHeight="1">
      <c r="E22" s="17" t="inlineStr">
        <is>
          <t>Результат:</t>
        </is>
      </c>
      <c r="F22" s="47" t="inlineStr">
        <is>
          <t>2 730 000 ₽ защищено от слива за 15 минут</t>
        </is>
      </c>
      <c r="G22" s="46" t="n"/>
      <c r="H22" s="46" t="n"/>
    </row>
  </sheetData>
  <mergeCells count="10">
    <mergeCell ref="F20:H20"/>
    <mergeCell ref="E17:H17"/>
    <mergeCell ref="F19:H19"/>
    <mergeCell ref="F22:H22"/>
    <mergeCell ref="A7:H7"/>
    <mergeCell ref="F18:H18"/>
    <mergeCell ref="E4:H4"/>
    <mergeCell ref="A1:H1"/>
    <mergeCell ref="F21:H21"/>
    <mergeCell ref="E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6" customWidth="1" min="4" max="4"/>
    <col width="12" customWidth="1" min="5" max="5"/>
    <col width="32" customWidth="1" min="6" max="6"/>
    <col width="38" customWidth="1" min="7" max="7"/>
    <col width="26" customWidth="1" min="8" max="8"/>
    <col width="22" customWidth="1" min="9" max="9"/>
    <col width="34" customWidth="1" min="10" max="10"/>
  </cols>
  <sheetData>
    <row r="1" ht="36" customHeight="1">
      <c r="A1" s="1" t="inlineStr">
        <is>
          <t>🎙️ РЕЧЕВАЯ ИИ-АНАЛИТИКА: 13 ПАРАМЕТРОВ WHISPER + LLM</t>
        </is>
      </c>
    </row>
    <row r="2" ht="22" customHeight="1">
      <c r="A2" s="2" t="inlineStr">
        <is>
          <t>📄 1. One-Pager</t>
        </is>
      </c>
      <c r="B2" s="2" t="inlineStr">
        <is>
          <t>⚡ 2. Пульс компании</t>
        </is>
      </c>
      <c r="C2" s="2" t="inlineStr">
        <is>
          <t>📋 3. Пульт РОПа</t>
        </is>
      </c>
      <c r="D2" s="2" t="inlineStr">
        <is>
          <t>💸 4. 7 Грехов ОП</t>
        </is>
      </c>
      <c r="E2" s="2" t="inlineStr">
        <is>
          <t>🎯 5. Action Center</t>
        </is>
      </c>
      <c r="F2" s="3" t="inlineStr">
        <is>
          <t>🎙️ 6. ИИ-Аудит</t>
        </is>
      </c>
      <c r="G2" s="2" t="inlineStr">
        <is>
          <t>⚡ 7. Экспресс 3 цифры</t>
        </is>
      </c>
      <c r="H2" s="2" t="inlineStr">
        <is>
          <t>🧪 8. QA Suite</t>
        </is>
      </c>
      <c r="I2" s="2" t="inlineStr">
        <is>
          <t>⚙️ 9. Настройки</t>
        </is>
      </c>
    </row>
    <row r="3" ht="20" customHeight="1">
      <c r="A3" s="36" t="inlineStr">
        <is>
          <t>Звонков проанализировано</t>
        </is>
      </c>
      <c r="B3" s="48" t="inlineStr">
        <is>
          <t>Средний балл качества</t>
        </is>
      </c>
      <c r="D3" s="36" t="inlineStr">
        <is>
          <t>Доля фиксации Next Step</t>
        </is>
      </c>
      <c r="E3" s="37" t="inlineStr">
        <is>
          <t>Диалогов с браком (&lt;9)</t>
        </is>
      </c>
      <c r="F3" s="37" t="inlineStr">
        <is>
          <t>Сумма пайплайна под угрозой</t>
        </is>
      </c>
      <c r="H3" s="37" t="inlineStr">
        <is>
          <t>Финансовый вердикт ИИ</t>
        </is>
      </c>
    </row>
    <row r="4" ht="30" customHeight="1">
      <c r="A4" s="38" t="n">
        <v>6</v>
      </c>
      <c r="B4" s="49" t="inlineStr">
        <is>
          <t>9.5 из 13</t>
        </is>
      </c>
      <c r="D4" s="38" t="inlineStr">
        <is>
          <t>66.7%</t>
        </is>
      </c>
      <c r="E4" s="39" t="n">
        <v>2</v>
      </c>
      <c r="F4" s="20" t="n">
        <v>880000</v>
      </c>
      <c r="H4" s="50" t="inlineStr">
        <is>
          <t>🚨 ВЫСОКИЙ РИСК СЛИВА VIP-КЛИЕНТА</t>
        </is>
      </c>
    </row>
    <row r="6" ht="24" customHeight="1">
      <c r="A6" s="4" t="inlineStr">
        <is>
          <t>📋 РЕЕСТР ПРОБЛЕМНЫХ ЗВОНКОВ И РЕКОМЕНДАЦИИ ИИ (СИНХРОНИЗАЦИЯ С CRM)</t>
        </is>
      </c>
    </row>
    <row r="7" ht="26" customHeight="1">
      <c r="A7" s="24" t="inlineStr">
        <is>
          <t>ID звонка</t>
        </is>
      </c>
      <c r="B7" s="24" t="inlineStr">
        <is>
          <t>ID сделки</t>
        </is>
      </c>
      <c r="C7" s="24" t="inlineStr">
        <is>
          <t>Менеджер ID</t>
        </is>
      </c>
      <c r="D7" s="24" t="inlineStr">
        <is>
          <t>Длительность</t>
        </is>
      </c>
      <c r="E7" s="24" t="inlineStr">
        <is>
          <t>Балл /13</t>
        </is>
      </c>
      <c r="F7" s="24" t="inlineStr">
        <is>
          <t>Ошибка диалога</t>
        </is>
      </c>
      <c r="G7" s="24" t="inlineStr">
        <is>
          <t>ИИ-рекомендация</t>
        </is>
      </c>
      <c r="H7" s="24" t="inlineStr">
        <is>
          <t>Сумма сделки под угрозой, ₽</t>
        </is>
      </c>
      <c r="I7" s="24" t="inlineStr">
        <is>
          <t>Уровень фин. риска</t>
        </is>
      </c>
      <c r="J7" s="24" t="inlineStr">
        <is>
          <t>Срочное действие РОПа</t>
        </is>
      </c>
    </row>
    <row r="8" ht="22" customHeight="1">
      <c r="A8" s="25" t="inlineStr">
        <is>
          <t>C-505</t>
        </is>
      </c>
      <c r="B8" s="25" t="inlineStr">
        <is>
          <t>D-109</t>
        </is>
      </c>
      <c r="C8" s="9" t="inlineStr">
        <is>
          <t>102 (Петров)</t>
        </is>
      </c>
      <c r="D8" s="25" t="inlineStr">
        <is>
          <t>210 сек</t>
        </is>
      </c>
      <c r="E8" s="51" t="n">
        <v>2</v>
      </c>
      <c r="F8" s="9" t="inlineStr">
        <is>
          <t>Срыв контакта / грубость</t>
        </is>
      </c>
      <c r="G8" s="9" t="inlineStr">
        <is>
          <t>Личный звонок РОПа с извинениями</t>
        </is>
      </c>
      <c r="H8" s="10" t="n">
        <v>600000</v>
      </c>
      <c r="I8" s="25" t="inlineStr">
        <is>
          <t>🔴 ВЫСОКИЙ (VIP-чек)</t>
        </is>
      </c>
      <c r="J8" s="9" t="inlineStr">
        <is>
          <t>🚨 Личный перезвон РОПа ЛПР</t>
        </is>
      </c>
    </row>
    <row r="9" ht="22" customHeight="1">
      <c r="A9" s="25" t="inlineStr">
        <is>
          <t>C-503</t>
        </is>
      </c>
      <c r="B9" s="25" t="inlineStr">
        <is>
          <t>D-106</t>
        </is>
      </c>
      <c r="C9" s="9" t="inlineStr">
        <is>
          <t>102 (Петров)</t>
        </is>
      </c>
      <c r="D9" s="25" t="inlineStr">
        <is>
          <t>180 сек</t>
        </is>
      </c>
      <c r="E9" s="51" t="n">
        <v>6</v>
      </c>
      <c r="F9" s="9" t="inlineStr">
        <is>
          <t>Нет фиксации даты встречи</t>
        </is>
      </c>
      <c r="G9" s="9" t="inlineStr">
        <is>
          <t>Направить 2 слота в мессенджер</t>
        </is>
      </c>
      <c r="H9" s="10" t="n">
        <v>280000</v>
      </c>
      <c r="I9" s="25" t="inlineStr">
        <is>
          <t>🟡 СРЕДНИЙ</t>
        </is>
      </c>
      <c r="J9" s="9" t="inlineStr">
        <is>
          <t>Тренинг менеджера по скрипту</t>
        </is>
      </c>
    </row>
    <row r="10" ht="22" customHeight="1">
      <c r="A10" s="25" t="inlineStr">
        <is>
          <t>C-502</t>
        </is>
      </c>
      <c r="B10" s="25" t="inlineStr">
        <is>
          <t>D-104</t>
        </is>
      </c>
      <c r="C10" s="9" t="inlineStr">
        <is>
          <t>101 (Сидоров)</t>
        </is>
      </c>
      <c r="D10" s="25" t="inlineStr">
        <is>
          <t>310 сек</t>
        </is>
      </c>
      <c r="E10" s="52" t="n">
        <v>11</v>
      </c>
      <c r="F10" s="9" t="inlineStr">
        <is>
          <t>Слабая отработка возражения цены</t>
        </is>
      </c>
      <c r="G10" s="9" t="inlineStr">
        <is>
          <t>Предложить расчет окупаемости и рассрочку</t>
        </is>
      </c>
      <c r="H10" s="10" t="n">
        <v>850000</v>
      </c>
      <c r="I10" s="25" t="inlineStr">
        <is>
          <t>🟢 КОНТРОЛЬ</t>
        </is>
      </c>
      <c r="J10" s="9" t="inlineStr">
        <is>
          <t>Перепроверить отправку КП</t>
        </is>
      </c>
    </row>
    <row r="11" ht="22" customHeight="1">
      <c r="A11" s="25" t="inlineStr">
        <is>
          <t>C-504</t>
        </is>
      </c>
      <c r="B11" s="25" t="inlineStr">
        <is>
          <t>D-107</t>
        </is>
      </c>
      <c r="C11" s="9" t="inlineStr">
        <is>
          <t>103 (Иванова)</t>
        </is>
      </c>
      <c r="D11" s="25" t="inlineStr">
        <is>
          <t>540 сек</t>
        </is>
      </c>
      <c r="E11" s="52" t="n">
        <v>12</v>
      </c>
      <c r="F11" s="9" t="inlineStr">
        <is>
          <t>Не выявлен дедлайн бюджета</t>
        </is>
      </c>
      <c r="G11" s="9" t="inlineStr">
        <is>
          <t>Задать прямой вопрос о сроках согласования</t>
        </is>
      </c>
      <c r="H11" s="10" t="n">
        <v>150000</v>
      </c>
      <c r="I11" s="25" t="inlineStr">
        <is>
          <t>🟢 КОНТРОЛЬ</t>
        </is>
      </c>
      <c r="J11" s="9" t="inlineStr">
        <is>
          <t>Контроль выставления счета</t>
        </is>
      </c>
    </row>
    <row r="12" ht="22" customHeight="1">
      <c r="A12" s="25" t="inlineStr">
        <is>
          <t>C-501</t>
        </is>
      </c>
      <c r="B12" s="25" t="inlineStr">
        <is>
          <t>D-101</t>
        </is>
      </c>
      <c r="C12" s="9" t="inlineStr">
        <is>
          <t>102 (Петров)</t>
        </is>
      </c>
      <c r="D12" s="25" t="inlineStr">
        <is>
          <t>420 сек</t>
        </is>
      </c>
      <c r="E12" s="52" t="n">
        <v>13</v>
      </c>
      <c r="F12" s="9" t="inlineStr">
        <is>
          <t>Без дефектов (Эталонный диалог)</t>
        </is>
      </c>
      <c r="G12" s="9" t="inlineStr">
        <is>
          <t>Использовать в базе знаний компании</t>
        </is>
      </c>
      <c r="H12" s="10" t="n">
        <v>700000</v>
      </c>
      <c r="I12" s="25" t="inlineStr">
        <is>
          <t>⭐ ЭТАЛОН</t>
        </is>
      </c>
      <c r="J12" s="9" t="inlineStr">
        <is>
          <t>Похвала сотрудника на летучке</t>
        </is>
      </c>
    </row>
    <row r="13" ht="22" customHeight="1">
      <c r="A13" s="25" t="inlineStr">
        <is>
          <t>C-506</t>
        </is>
      </c>
      <c r="B13" s="25" t="inlineStr">
        <is>
          <t>D-108</t>
        </is>
      </c>
      <c r="C13" s="9" t="inlineStr">
        <is>
          <t>103 (Иванова)</t>
        </is>
      </c>
      <c r="D13" s="25" t="inlineStr">
        <is>
          <t>290 сек</t>
        </is>
      </c>
      <c r="E13" s="52" t="n">
        <v>13</v>
      </c>
      <c r="F13" s="9" t="inlineStr">
        <is>
          <t>Без дефектов (Эталонный диалог)</t>
        </is>
      </c>
      <c r="G13" s="9" t="inlineStr">
        <is>
          <t>Быстрый квалификационный переход</t>
        </is>
      </c>
      <c r="H13" s="10" t="n">
        <v>320000</v>
      </c>
      <c r="I13" s="25" t="inlineStr">
        <is>
          <t>⭐ ЭТАЛОН</t>
        </is>
      </c>
      <c r="J13" s="9" t="inlineStr">
        <is>
          <t>Перевод сделки на этап демо</t>
        </is>
      </c>
    </row>
    <row r="14" ht="24" customHeight="1">
      <c r="A14" s="26" t="n"/>
      <c r="B14" s="27" t="inlineStr">
        <is>
          <t>ИТОГО ПОТЕРЬ ИЗ-ЗА БРАКА ЗВОНКОВ:</t>
        </is>
      </c>
      <c r="C14" s="26" t="n"/>
      <c r="D14" s="26" t="n"/>
      <c r="E14" s="26" t="n"/>
      <c r="F14" s="26" t="n"/>
      <c r="G14" s="26" t="n"/>
      <c r="H14" s="28">
        <f>SUM(H8:H9)</f>
        <v/>
      </c>
      <c r="I14" s="53" t="inlineStr">
        <is>
          <t>ИТОГО В РИСКЕ</t>
        </is>
      </c>
      <c r="J14" s="44" t="inlineStr">
        <is>
          <t>Срочный разбор с менеджерами</t>
        </is>
      </c>
    </row>
    <row r="16" ht="26" customHeight="1">
      <c r="A16" s="45" t="inlineStr">
        <is>
          <t>🎙️ ЭТАЛОННАЯ СИСТЕМА 13 КРИТЕРИЕВ ОЦЕНКИ ЗВОНКОВ (WHISPER LARGE V3 + LLM SUPERVISOR)</t>
        </is>
      </c>
    </row>
    <row r="17" ht="26" customHeight="1">
      <c r="A17" s="24" t="inlineStr">
        <is>
          <t>№</t>
        </is>
      </c>
      <c r="B17" s="24" t="inlineStr">
        <is>
          <t>Параметр оценки диалога</t>
        </is>
      </c>
      <c r="C17" s="24" t="inlineStr">
        <is>
          <t>Вес</t>
        </is>
      </c>
      <c r="D17" s="24" t="inlineStr">
        <is>
          <t>Приоритет</t>
        </is>
      </c>
      <c r="E17" s="24" t="inlineStr">
        <is>
          <t>Что проверяет алгоритм ИИ (Суть критерия)</t>
        </is>
      </c>
      <c r="F17" s="24" t="inlineStr">
        <is>
          <t>Маркеры брака и речевые дефекты</t>
        </is>
      </c>
      <c r="G17" s="54" t="n"/>
      <c r="H17" s="24" t="inlineStr">
        <is>
          <t>Coaching Tip: как обучить менеджера и предотвратить слив</t>
        </is>
      </c>
      <c r="I17" s="54" t="n"/>
      <c r="J17" s="54" t="n"/>
    </row>
    <row r="18" ht="32" customHeight="1">
      <c r="A18" s="41" t="n">
        <v>1</v>
      </c>
      <c r="B18" s="7" t="inlineStr">
        <is>
          <t>Жёсткий Next Step</t>
        </is>
      </c>
      <c r="C18" s="41" t="inlineStr">
        <is>
          <t>2.0x</t>
        </is>
      </c>
      <c r="D18" s="16" t="inlineStr">
        <is>
          <t>🔴 P0 (Критический)</t>
        </is>
      </c>
      <c r="E18" s="9" t="inlineStr">
        <is>
          <t>Зафиксирована точная дата и время следующего контакта (календарный слот)</t>
        </is>
      </c>
      <c r="F18" s="9" t="inlineStr">
        <is>
          <t>«Я вам перезвоню на днях», «Подумайте, наберите», отпускание без времени</t>
        </is>
      </c>
      <c r="G18" s="9" t="n"/>
      <c r="H18" s="9" t="inlineStr">
        <is>
          <t>Внедрить обязательный вопрос в конце диалога: «Во вторник в 14:30 или в среду в 11:00 удобно?»</t>
        </is>
      </c>
      <c r="I18" s="9" t="n"/>
      <c r="J18" s="9" t="n"/>
    </row>
    <row r="19" ht="32" customHeight="1">
      <c r="A19" s="41" t="n">
        <v>2</v>
      </c>
      <c r="B19" s="7" t="inlineStr">
        <is>
          <t>Инициатива диалога</t>
        </is>
      </c>
      <c r="C19" s="41" t="inlineStr">
        <is>
          <t>1.0x</t>
        </is>
      </c>
      <c r="D19" s="19" t="inlineStr">
        <is>
          <t>🟡 P1 (Высокий)</t>
        </is>
      </c>
      <c r="E19" s="9" t="inlineStr">
        <is>
          <t>Менеджер ведёт диалог вопросами, держит сценарий, а не работает автоответчиком</t>
        </is>
      </c>
      <c r="F19" s="9" t="inlineStr">
        <is>
          <t>Клиент задает все вопросы сам, менеджер только отвечает короткими репликами</t>
        </is>
      </c>
      <c r="G19" s="9" t="n"/>
      <c r="H19" s="9" t="inlineStr">
        <is>
          <t>Правило «Ответ + Встречный вопрос». Завершать каждую реплику квалифицирующим вопросом.</t>
        </is>
      </c>
      <c r="I19" s="9" t="n"/>
      <c r="J19" s="9" t="n"/>
    </row>
    <row r="20" ht="32" customHeight="1">
      <c r="A20" s="41" t="n">
        <v>3</v>
      </c>
      <c r="B20" s="7" t="inlineStr">
        <is>
          <t>Квалификация ЛПР / ЛВПР</t>
        </is>
      </c>
      <c r="C20" s="41" t="inlineStr">
        <is>
          <t>1.5x</t>
        </is>
      </c>
      <c r="D20" s="16" t="inlineStr">
        <is>
          <t>🔴 P0 (Критический)</t>
        </is>
      </c>
      <c r="E20" s="9" t="inlineStr">
        <is>
          <t>Установлен статус собеседника: принимает ли решения по бюджету и согласованию</t>
        </is>
      </c>
      <c r="F20" s="9" t="inlineStr">
        <is>
          <t>Трата 40 минут на презентацию инженеру или секретарю без полномочий подписания</t>
        </is>
      </c>
      <c r="G20" s="9" t="n"/>
      <c r="H20" s="9" t="inlineStr">
        <is>
          <t>«Кто кроме вас участвует в согласовании проекта и утверждении финансового бюджета?»</t>
        </is>
      </c>
      <c r="I20" s="9" t="n"/>
      <c r="J20" s="9" t="n"/>
    </row>
    <row r="21" ht="32" customHeight="1">
      <c r="A21" s="41" t="n">
        <v>4</v>
      </c>
      <c r="B21" s="7" t="inlineStr">
        <is>
          <t>Выявление болей и срочности</t>
        </is>
      </c>
      <c r="C21" s="41" t="inlineStr">
        <is>
          <t>1.2x</t>
        </is>
      </c>
      <c r="D21" s="19" t="inlineStr">
        <is>
          <t>🟡 P1 (Высокий)</t>
        </is>
      </c>
      <c r="E21" s="9" t="inlineStr">
        <is>
          <t>Понятна ли бизнес-задача клиента, текущие потери и дедлайн решения проблемы</t>
        </is>
      </c>
      <c r="F21" s="9" t="inlineStr">
        <is>
          <t>Менеджер сразу начинает презентовать продукт, не узнав текущую ситуацию клиента</t>
        </is>
      </c>
      <c r="G21" s="9" t="n"/>
      <c r="H21" s="9" t="inlineStr">
        <is>
          <t>Сначала диагностика по методологии SPIN/BANT, затем презентация под конкретную боль.</t>
        </is>
      </c>
      <c r="I21" s="9" t="n"/>
      <c r="J21" s="9" t="n"/>
    </row>
    <row r="22" ht="32" customHeight="1">
      <c r="A22" s="41" t="n">
        <v>5</v>
      </c>
      <c r="B22" s="7" t="inlineStr">
        <is>
          <t>Отработка возражения «Дорого»</t>
        </is>
      </c>
      <c r="C22" s="41" t="inlineStr">
        <is>
          <t>1.5x</t>
        </is>
      </c>
      <c r="D22" s="16" t="inlineStr">
        <is>
          <t>🔴 P0 (Критический)</t>
        </is>
      </c>
      <c r="E22" s="9" t="inlineStr">
        <is>
          <t>Обоснование ценности, расчет ROI/окупаемости, рассрочка (без моментальной скидки)</t>
        </is>
      </c>
      <c r="F22" s="9" t="inlineStr">
        <is>
          <t>Моментальная скидка при первом сомнении клиента или согласие («Да, у нас недешево»)</t>
        </is>
      </c>
      <c r="G22" s="9" t="n"/>
      <c r="H22" s="9" t="inlineStr">
        <is>
          <t>Обосновать окупаемость: показать, сколько клиент теряет каждый день без внедрения решения.</t>
        </is>
      </c>
      <c r="I22" s="9" t="n"/>
      <c r="J22" s="9" t="n"/>
    </row>
    <row r="23" ht="32" customHeight="1">
      <c r="A23" s="41" t="n">
        <v>6</v>
      </c>
      <c r="B23" s="7" t="inlineStr">
        <is>
          <t>Отработка «Я подумаю»</t>
        </is>
      </c>
      <c r="C23" s="41" t="inlineStr">
        <is>
          <t>1.0x</t>
        </is>
      </c>
      <c r="D23" s="19" t="inlineStr">
        <is>
          <t>🟡 P1 (Высокий)</t>
        </is>
      </c>
      <c r="E23" s="9" t="inlineStr">
        <is>
          <t>Вскрытие истинного сомнения клиента, а не молчаливое отпускание в архив</t>
        </is>
      </c>
      <c r="F23" s="9" t="inlineStr">
        <is>
          <t>«Хорошо, думайте, ждем вашего звонка», завершение диалога на неопределенности</t>
        </is>
      </c>
      <c r="G23" s="9" t="n"/>
      <c r="H23" s="9" t="inlineStr">
        <is>
          <t>«Алексей, обычно говорят 'подумаю', когда смущает цена или функционал. Что именно из этого?»</t>
        </is>
      </c>
      <c r="I23" s="9" t="n"/>
      <c r="J23" s="9" t="n"/>
    </row>
    <row r="24" ht="32" customHeight="1">
      <c r="A24" s="41" t="n">
        <v>7</v>
      </c>
      <c r="B24" s="7" t="inlineStr">
        <is>
          <t>Презентация через кейсы и цифры</t>
        </is>
      </c>
      <c r="C24" s="41" t="inlineStr">
        <is>
          <t>1.0x</t>
        </is>
      </c>
      <c r="D24" s="19" t="inlineStr">
        <is>
          <t>🟡 P1 (Высокий)</t>
        </is>
      </c>
      <c r="E24" s="9" t="inlineStr">
        <is>
          <t>Приведение аналогичных проектов, оцифрованных результатов и сроков возврата</t>
        </is>
      </c>
      <c r="F24" s="9" t="inlineStr">
        <is>
          <t>Абстрактные слова «мы надежные», «у нас высокое качество» без конкретных фактов</t>
        </is>
      </c>
      <c r="G24" s="9" t="n"/>
      <c r="H24" s="9" t="inlineStr">
        <is>
          <t>Показать схожий кейс из отрасли клиента: «Для завода X мы сократили потери на 1.4 млн ₽ за 21 день».</t>
        </is>
      </c>
      <c r="I24" s="9" t="n"/>
      <c r="J24" s="9" t="n"/>
    </row>
    <row r="25" ht="32" customHeight="1">
      <c r="A25" s="41" t="n">
        <v>8</v>
      </c>
      <c r="B25" s="7" t="inlineStr">
        <is>
          <t>Попытка закрытия сделки</t>
        </is>
      </c>
      <c r="C25" s="41" t="inlineStr">
        <is>
          <t>1.5x</t>
        </is>
      </c>
      <c r="D25" s="16" t="inlineStr">
        <is>
          <t>🔴 P0 (Критический)</t>
        </is>
      </c>
      <c r="E25" s="9" t="inlineStr">
        <is>
          <t>Прямое предложение заключить договор, забронировать слот аудита или выставить счет</t>
        </is>
      </c>
      <c r="F25" s="9" t="inlineStr">
        <is>
          <t>Разговор закончился тепло, но менеджер не предложил сделать следующий шаг к оплате</t>
        </is>
      </c>
      <c r="G25" s="9" t="n"/>
      <c r="H25" s="9" t="inlineStr">
        <is>
          <t>«Если все параметры подходят, предлагаю сегодня запустить пилот. Куда отправить договор?»</t>
        </is>
      </c>
      <c r="I25" s="9" t="n"/>
      <c r="J25" s="9" t="n"/>
    </row>
    <row r="26" ht="32" customHeight="1">
      <c r="A26" s="41" t="n">
        <v>9</v>
      </c>
      <c r="B26" s="7" t="inlineStr">
        <is>
          <t>Регламент приветствия и повестка</t>
        </is>
      </c>
      <c r="C26" s="41" t="inlineStr">
        <is>
          <t>0.8x</t>
        </is>
      </c>
      <c r="D26" s="55" t="inlineStr">
        <is>
          <t>🟢 P2 (Стандарт)</t>
        </is>
      </c>
      <c r="E26" s="9" t="inlineStr">
        <is>
          <t>Представление имени, компании, уточнение времени и согласование цели разговора</t>
        </is>
      </c>
      <c r="F26" s="9" t="inlineStr">
        <is>
          <t>Невнятное приветствие, вопрос «Вам удобно говорить?» без обозначения повестки</t>
        </is>
      </c>
      <c r="G26" s="9" t="n"/>
      <c r="H26" s="9" t="inlineStr">
        <is>
          <t>«Добрый день! Дмитрий, компания RevOps. Звоню по вашей заявке на аудит воронки. Уделите 5 минут?»</t>
        </is>
      </c>
      <c r="I26" s="9" t="n"/>
      <c r="J26" s="9" t="n"/>
    </row>
    <row r="27" ht="32" customHeight="1">
      <c r="A27" s="41" t="n">
        <v>10</v>
      </c>
      <c r="B27" s="7" t="inlineStr">
        <is>
          <t>Чистота речи и уверенность</t>
        </is>
      </c>
      <c r="C27" s="41" t="inlineStr">
        <is>
          <t>0.8x</t>
        </is>
      </c>
      <c r="D27" s="55" t="inlineStr">
        <is>
          <t>🟢 P2 (Стандарт)</t>
        </is>
      </c>
      <c r="E27" s="9" t="inlineStr">
        <is>
          <t>Отсутствие слов-паразитов («как бы», «э-э-э»), пауз и извиняющихся интонаций при цене</t>
        </is>
      </c>
      <c r="F27" s="9" t="inlineStr">
        <is>
          <t>Дрожащий голос при озвучивании чека, слова сомнения («может быть», «наверное»)</t>
        </is>
      </c>
      <c r="G27" s="9" t="n"/>
      <c r="H27" s="9" t="inlineStr">
        <is>
          <t>Отработать блок цены на тренажере: уверенная пауза после озвучивания стоимости.</t>
        </is>
      </c>
      <c r="I27" s="9" t="n"/>
      <c r="J27" s="9" t="n"/>
    </row>
    <row r="28" ht="32" customHeight="1">
      <c r="A28" s="41" t="n">
        <v>11</v>
      </c>
      <c r="B28" s="7" t="inlineStr">
        <is>
          <t>Слушание клиента (Talk/Listen)</t>
        </is>
      </c>
      <c r="C28" s="41" t="inlineStr">
        <is>
          <t>1.2x</t>
        </is>
      </c>
      <c r="D28" s="19" t="inlineStr">
        <is>
          <t>🟡 P1 (Высокий)</t>
        </is>
      </c>
      <c r="E28" s="9" t="inlineStr">
        <is>
          <t>Менеджер слушает клиента не менее 45–50% общего времени разговора</t>
        </is>
      </c>
      <c r="F28" s="9" t="inlineStr">
        <is>
          <t>Монолог менеджера &gt; 70% времени: клиент молчит и теряет фокус внимания</t>
        </is>
      </c>
      <c r="G28" s="9" t="n"/>
      <c r="H28" s="9" t="inlineStr">
        <is>
          <t>Держать баланс 50/50. Задавать открытые вопросы и давать клиенту выговориться о проблеме.</t>
        </is>
      </c>
      <c r="I28" s="9" t="n"/>
      <c r="J28" s="9" t="n"/>
    </row>
    <row r="29" ht="32" customHeight="1">
      <c r="A29" s="41" t="n">
        <v>12</v>
      </c>
      <c r="B29" s="7" t="inlineStr">
        <is>
          <t>Фиксация договорённостей</t>
        </is>
      </c>
      <c r="C29" s="41" t="inlineStr">
        <is>
          <t>1.0x</t>
        </is>
      </c>
      <c r="D29" s="55" t="inlineStr">
        <is>
          <t>🟢 P2 (Стандарт)</t>
        </is>
      </c>
      <c r="E29" s="9" t="inlineStr">
        <is>
          <t>Резюмирование договоренностей перед окончанием звонка: кто, что и когда делает</t>
        </is>
      </c>
      <c r="F29" s="9" t="inlineStr">
        <is>
          <t>Диалог оборвался, у клиента и менеджера разное понимание следующих действий</t>
        </is>
      </c>
      <c r="G29" s="9" t="n"/>
      <c r="H29" s="9" t="inlineStr">
        <is>
          <t>«Итак, резюмирую: я отправляю КП в WhatsApp до 15:00, а завтра в 11:00 мы созваниваемся по условиям».</t>
        </is>
      </c>
      <c r="I29" s="9" t="n"/>
      <c r="J29" s="9" t="n"/>
    </row>
    <row r="30" ht="32" customHeight="1">
      <c r="A30" s="41" t="n">
        <v>13</v>
      </c>
      <c r="B30" s="7" t="inlineStr">
        <is>
          <t>Защита маржинальности</t>
        </is>
      </c>
      <c r="C30" s="41" t="inlineStr">
        <is>
          <t>1.5x</t>
        </is>
      </c>
      <c r="D30" s="16" t="inlineStr">
        <is>
          <t>🔴 P0 (Критический)</t>
        </is>
      </c>
      <c r="E30" s="9" t="inlineStr">
        <is>
          <t>Отсутствие необоснованных скидок без встречных уступок по объему или предоплате</t>
        </is>
      </c>
      <c r="F30" s="9" t="inlineStr">
        <is>
          <t>Раздача скидок из маржи компании без требования 100% предоплаты или большего объема</t>
        </is>
      </c>
      <c r="G30" s="9" t="n"/>
      <c r="H30" s="9" t="inlineStr">
        <is>
          <t>Скидка возможна только в обмен на ценность: «Готовы дать 5% при оплате счета в течение 24 часов».</t>
        </is>
      </c>
      <c r="I30" s="9" t="n"/>
      <c r="J30" s="9" t="n"/>
    </row>
  </sheetData>
  <mergeCells count="37">
    <mergeCell ref="F4:G4"/>
    <mergeCell ref="F29:G29"/>
    <mergeCell ref="B3:C3"/>
    <mergeCell ref="F19:G19"/>
    <mergeCell ref="F25:G25"/>
    <mergeCell ref="H17:J17"/>
    <mergeCell ref="F3:G3"/>
    <mergeCell ref="F21:G21"/>
    <mergeCell ref="F24:G24"/>
    <mergeCell ref="F30:G30"/>
    <mergeCell ref="H22:J22"/>
    <mergeCell ref="H28:J28"/>
    <mergeCell ref="H19:J19"/>
    <mergeCell ref="F20:G20"/>
    <mergeCell ref="F18:G18"/>
    <mergeCell ref="H27:J27"/>
    <mergeCell ref="H3:J3"/>
    <mergeCell ref="F26:G26"/>
    <mergeCell ref="F17:G17"/>
    <mergeCell ref="A1:J1"/>
    <mergeCell ref="H24:J24"/>
    <mergeCell ref="H18:J18"/>
    <mergeCell ref="A6:J6"/>
    <mergeCell ref="H23:J23"/>
    <mergeCell ref="F23:G23"/>
    <mergeCell ref="H30:J30"/>
    <mergeCell ref="F22:G22"/>
    <mergeCell ref="F28:G28"/>
    <mergeCell ref="A16:J16"/>
    <mergeCell ref="H26:J26"/>
    <mergeCell ref="F27:G27"/>
    <mergeCell ref="H29:J29"/>
    <mergeCell ref="H20:J20"/>
    <mergeCell ref="H4:J4"/>
    <mergeCell ref="H25:J25"/>
    <mergeCell ref="B4:C4"/>
    <mergeCell ref="H21:J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44" customWidth="1" min="3" max="3"/>
    <col width="22" customWidth="1" min="4" max="4"/>
    <col width="26" customWidth="1" min="5" max="5"/>
    <col width="22" customWidth="1" min="6" max="6"/>
    <col width="44" customWidth="1" min="7" max="7"/>
    <col width="38" customWidth="1" min="8" max="8"/>
  </cols>
  <sheetData>
    <row r="1" ht="36" customHeight="1">
      <c r="A1" s="1" t="inlineStr">
        <is>
          <t>💸 ДИАГНОСТИЧЕСКИЙ АУДИТ УПУЩЕННОЙ ПРИБЫЛИ И УЗКИХ МЕСТ ОТДЕЛА ПРОДАЖ</t>
        </is>
      </c>
    </row>
    <row r="2" ht="22" customHeight="1">
      <c r="A2" s="2" t="inlineStr">
        <is>
          <t>📄 1. One-Pager</t>
        </is>
      </c>
      <c r="B2" s="2" t="inlineStr">
        <is>
          <t>⚡ 2. Пульс компании</t>
        </is>
      </c>
      <c r="C2" s="2" t="inlineStr">
        <is>
          <t>📋 3. Пульт РОПа</t>
        </is>
      </c>
      <c r="D2" s="3" t="inlineStr">
        <is>
          <t>💸 4. 7 Грехов ОП</t>
        </is>
      </c>
      <c r="E2" s="2" t="inlineStr">
        <is>
          <t>🎯 5. Action Center</t>
        </is>
      </c>
      <c r="F2" s="2" t="inlineStr">
        <is>
          <t>🎙️ 6. ИИ-Аудит</t>
        </is>
      </c>
      <c r="G2" s="2" t="inlineStr">
        <is>
          <t>⚡ 7. Экспресс 3 цифры</t>
        </is>
      </c>
      <c r="H2" s="2" t="inlineStr">
        <is>
          <t>🧪 8. QA Suite</t>
        </is>
      </c>
    </row>
    <row r="4" ht="20" customHeight="1">
      <c r="A4" s="36" t="inlineStr">
        <is>
          <t>Фактическая выручка месяца</t>
        </is>
      </c>
      <c r="B4" s="48" t="inlineStr">
        <is>
          <t>Взвешенный пайплайн в работе</t>
        </is>
      </c>
      <c r="C4" s="37" t="inlineStr">
        <is>
          <t>Выявленная упущенная прибыль</t>
        </is>
      </c>
      <c r="D4" s="56" t="inlineStr">
        <is>
          <t>Потенциал выручки (To-Be)</t>
        </is>
      </c>
      <c r="E4" s="56" t="inlineStr">
        <is>
          <t>Ожидаемый чистый ROI</t>
        </is>
      </c>
      <c r="G4" s="56" t="inlineStr">
        <is>
          <t>Срок окупаемости проекта</t>
        </is>
      </c>
    </row>
    <row r="5" ht="32" customHeight="1">
      <c r="A5" s="57" t="n">
        <v>1650000</v>
      </c>
      <c r="B5" s="22" t="n">
        <v>2754000</v>
      </c>
      <c r="C5" s="20" t="n">
        <v>7001000</v>
      </c>
      <c r="D5" s="21" t="n">
        <v>8651000</v>
      </c>
      <c r="E5" s="58" t="inlineStr">
        <is>
          <t>367%</t>
        </is>
      </c>
      <c r="G5" s="58" t="inlineStr">
        <is>
          <t>6 дн.</t>
        </is>
      </c>
    </row>
    <row r="7" ht="24" customHeight="1">
      <c r="A7" s="4" t="inlineStr">
        <is>
          <t>🔴 7 СМЕРТНЫХ ГРЕХОВ ОТДЕЛА ПРОДАЖ (АНАТОМИЯ СБОЕВ И ИХ УСТРАНЕНИЕ)</t>
        </is>
      </c>
    </row>
    <row r="8" ht="26" customHeight="1">
      <c r="A8" s="24" t="inlineStr">
        <is>
          <t>№</t>
        </is>
      </c>
      <c r="B8" s="24" t="inlineStr">
        <is>
          <t>Смертный грех ОП (Системный сбой)</t>
        </is>
      </c>
      <c r="C8" s="24" t="inlineStr">
        <is>
          <t>Симптом и диагностика в компании</t>
        </is>
      </c>
      <c r="D8" s="24" t="inlineStr">
        <is>
          <t>Объем базы в риске</t>
        </is>
      </c>
      <c r="E8" s="24" t="inlineStr">
        <is>
          <t>Упущенная выгода / Риск, ₽</t>
        </is>
      </c>
      <c r="F8" s="24" t="inlineStr">
        <is>
          <t>Приоритет</t>
        </is>
      </c>
      <c r="G8" s="24" t="inlineStr">
        <is>
          <t>Как закрывает наша платформа</t>
        </is>
      </c>
      <c r="H8" s="24" t="inlineStr">
        <is>
          <t>Ожидаемый эффект</t>
        </is>
      </c>
    </row>
    <row r="9" ht="36" customHeight="1">
      <c r="A9" s="41" t="inlineStr">
        <is>
          <t>1</t>
        </is>
      </c>
      <c r="B9" s="7" t="inlineStr">
        <is>
          <t>«Черный ящик» CRM: иллюзорный пайплайн</t>
        </is>
      </c>
      <c r="C9" s="9" t="inlineStr">
        <is>
          <t>В CRM висит 5.3 млн ₽, но реальный взвешенный объем всего 2.6 млн ₽. Фаундер живет в иллюзии плана</t>
        </is>
      </c>
      <c r="D9" s="59" t="n">
        <v>5530000</v>
      </c>
      <c r="E9" s="10" t="n">
        <v>2776000</v>
      </c>
      <c r="F9" s="60" t="inlineStr">
        <is>
          <t>🔴 P0 (Критический)</t>
        </is>
      </c>
      <c r="G9" s="9" t="inlineStr">
        <is>
          <t>Взвешенный прогноз воронки (SSOT) + исключение зомби-сделок</t>
        </is>
      </c>
      <c r="H9" s="9" t="inlineStr">
        <is>
          <t>100% точность прогноза Run-Rate без иллюзий</t>
        </is>
      </c>
    </row>
    <row r="10" ht="36" customHeight="1">
      <c r="A10" s="41" t="inlineStr">
        <is>
          <t>2</t>
        </is>
      </c>
      <c r="B10" s="7" t="inlineStr">
        <is>
          <t>«Кладбище сделок»: срыв регламентов SLA</t>
        </is>
      </c>
      <c r="C10" s="9" t="inlineStr">
        <is>
          <t>Сделки маринуются на этапе КП по 12–14 дней (норма 48ч). Вероятность закрытия падает на 45%</t>
        </is>
      </c>
      <c r="D10" s="59" t="n">
        <v>3850000</v>
      </c>
      <c r="E10" s="10" t="n">
        <v>1732500</v>
      </c>
      <c r="F10" s="60" t="inlineStr">
        <is>
          <t>🔴 P0 (Критический)</t>
        </is>
      </c>
      <c r="G10" s="9" t="inlineStr">
        <is>
          <t>Авторадар зависания сделок + эскалация РОПу на 3-й день</t>
        </is>
      </c>
      <c r="H10" s="9" t="inlineStr">
        <is>
          <t>+45% к конверсии этапа КП в оплату</t>
        </is>
      </c>
    </row>
    <row r="11" ht="36" customHeight="1">
      <c r="A11" s="41" t="inlineStr">
        <is>
          <t>3</t>
        </is>
      </c>
      <c r="B11" s="7" t="inlineStr">
        <is>
          <t>РОП — «играющий тренер» и узкое горлышко</t>
        </is>
      </c>
      <c r="C11" s="9" t="inlineStr">
        <is>
          <t>РОП ведет 80% сделок и перегружен (нагрузка 80%), а КАМы простаивают с 4% загрузки. Сделки тухнут без внимания</t>
        </is>
      </c>
      <c r="D11" s="59" t="n">
        <v>850000</v>
      </c>
      <c r="E11" s="10" t="n">
        <v>255000</v>
      </c>
      <c r="F11" s="60" t="inlineStr">
        <is>
          <t>🔴 P0 (Критический)</t>
        </is>
      </c>
      <c r="G11" s="9" t="inlineStr">
        <is>
          <t>Матрица емкости (Capacity Planning) + автоперелив сделок на КАМов</t>
        </is>
      </c>
      <c r="H11" s="9" t="inlineStr">
        <is>
          <t>Разгрузка РОПа на 60% для управления и коучинга</t>
        </is>
      </c>
    </row>
    <row r="12" ht="36" customHeight="1">
      <c r="A12" s="41" t="inlineStr">
        <is>
          <t>4</t>
        </is>
      </c>
      <c r="B12" s="7" t="inlineStr">
        <is>
          <t>Менеджеры-автоответчики и слив звонков</t>
        </is>
      </c>
      <c r="C12" s="9" t="inlineStr">
        <is>
          <t>В 33% звонков не зафиксирован Next Step. Средний балл речи &lt; 9/13. Лиды уходят в «подумаю»</t>
        </is>
      </c>
      <c r="D12" s="59" t="n">
        <v>5530000</v>
      </c>
      <c r="E12" s="10" t="n">
        <v>1382500</v>
      </c>
      <c r="F12" s="60" t="inlineStr">
        <is>
          <t>🔴 P0 (Критический)</t>
        </is>
      </c>
      <c r="G12" s="9" t="inlineStr">
        <is>
          <t>13-факторная речевая аналитика + чек-листы BANT + мотивация от речи</t>
        </is>
      </c>
      <c r="H12" s="9" t="inlineStr">
        <is>
          <t>+30% к конверсии из первого звонка во встречу</t>
        </is>
      </c>
    </row>
    <row r="13" ht="36" customHeight="1">
      <c r="A13" s="41" t="inlineStr">
        <is>
          <t>5</t>
        </is>
      </c>
      <c r="B13" s="7" t="inlineStr">
        <is>
          <t>«Кладбище отказников» без реактивации</t>
        </is>
      </c>
      <c r="C13" s="9" t="inlineStr">
        <is>
          <t>1 млн ₽ списан в отказ (L1 «дорого», L2 «подумаю»). База брошена в архиве без повторного прогрева</t>
        </is>
      </c>
      <c r="D13" s="59" t="n">
        <v>1000000</v>
      </c>
      <c r="E13" s="10" t="n">
        <v>440000</v>
      </c>
      <c r="F13" s="61" t="inlineStr">
        <is>
          <t>🟡 P1 (Высокий)</t>
        </is>
      </c>
      <c r="G13" s="9" t="inlineStr">
        <is>
          <t>Agentic AI Recovery Engine: сегментация отказников + офферы даунсейла</t>
        </is>
      </c>
      <c r="H13" s="9" t="inlineStr">
        <is>
          <t>Возврат до 20–30% списанной выручки из архива</t>
        </is>
      </c>
    </row>
    <row r="14" ht="36" customHeight="1">
      <c r="A14" s="41" t="inlineStr">
        <is>
          <t>6</t>
        </is>
      </c>
      <c r="B14" s="7" t="inlineStr">
        <is>
          <t>Зависшая дебиторка и кассовые разрывы</t>
        </is>
      </c>
      <c r="C14" s="9" t="inlineStr">
        <is>
          <t>Счета выставлены, но не оплачены (DSO &gt; 25 дней). 330к просрочки грозит кассовым разрывом</t>
        </is>
      </c>
      <c r="D14" s="59" t="n">
        <v>330000</v>
      </c>
      <c r="E14" s="10" t="n">
        <v>330000</v>
      </c>
      <c r="F14" s="61" t="inlineStr">
        <is>
          <t>🟡 P1 (Высокий)</t>
        </is>
      </c>
      <c r="G14" s="9" t="inlineStr">
        <is>
          <t>Платежный календарь DSO + триггерные AI-уведомления бухгалтерии клиента</t>
        </is>
      </c>
      <c r="H14" s="9" t="inlineStr">
        <is>
          <t>Сокращение срока дебиторки DSO с 27 до 7 дней</t>
        </is>
      </c>
    </row>
    <row r="15" ht="36" customHeight="1">
      <c r="A15" s="41" t="inlineStr">
        <is>
          <t>7</t>
        </is>
      </c>
      <c r="B15" s="7" t="inlineStr">
        <is>
          <t>Слив маркетинга и война с отделом продаж</t>
        </is>
      </c>
      <c r="C15" s="9" t="inlineStr">
        <is>
          <t>Google Ads слил 85 000 ₽ с ROMI -100% (0 оплат). Деньги сожжены без сквозного контроля окупаемости</t>
        </is>
      </c>
      <c r="D15" s="59" t="n">
        <v>850000</v>
      </c>
      <c r="E15" s="10" t="n">
        <v>85000</v>
      </c>
      <c r="F15" s="61" t="inlineStr">
        <is>
          <t>🟡 P1 (Высокий)</t>
        </is>
      </c>
      <c r="G15" s="9" t="inlineStr">
        <is>
          <t>Сквозная RevOps-атрибуция W-Shaped: автоотключение убыточных связок</t>
        </is>
      </c>
      <c r="H15" s="9" t="inlineStr">
        <is>
          <t>Экономия рекламного бюджета + перелив в прибыльный Контур/Директ</t>
        </is>
      </c>
    </row>
    <row r="16" ht="24" customHeight="1">
      <c r="A16" s="26" t="n"/>
      <c r="B16" s="27" t="inlineStr">
        <is>
          <t>ИТОГО ВЫЯВЛЕННЫХ ПОТЕРЬ И РИСКОВ В МЕСЯЦ:</t>
        </is>
      </c>
      <c r="C16" s="26" t="n"/>
      <c r="D16" s="62">
        <f>SUM(D9:D15)</f>
        <v/>
      </c>
      <c r="E16" s="28">
        <f>SUM(E9:E15)</f>
        <v/>
      </c>
      <c r="F16" s="53" t="inlineStr">
        <is>
          <t>ИТОГО ПОТЕРЬ</t>
        </is>
      </c>
      <c r="G16" s="44" t="inlineStr">
        <is>
          <t>Потенциал возврата в кассу</t>
        </is>
      </c>
      <c r="H16" s="29" t="inlineStr">
        <is>
          <t>Окупаемость за счет устранения узких мест</t>
        </is>
      </c>
    </row>
    <row r="18" ht="26" customHeight="1">
      <c r="A18" s="45" t="inlineStr">
        <is>
          <t>🚀 ЭКОНОМИКА ПРОЕКТА ОПТИМИЗАЦИИ И СРОК ОКУПАЕМОСТИ ДЛЯ КЛИЕНТА</t>
        </is>
      </c>
    </row>
    <row r="19" ht="24" customHeight="1">
      <c r="A19" s="5" t="inlineStr">
        <is>
          <t>Параметр экономики проекта</t>
        </is>
      </c>
      <c r="D19" s="5" t="inlineStr">
        <is>
          <t>Значение</t>
        </is>
      </c>
      <c r="E19" s="5" t="inlineStr">
        <is>
          <t>Комментарий и логика расчета</t>
        </is>
      </c>
    </row>
    <row r="20" ht="22" customHeight="1">
      <c r="A20" s="7" t="inlineStr">
        <is>
          <t>Стоимость проекта оптимизации ОП</t>
        </is>
      </c>
      <c r="B20" s="46" t="n"/>
      <c r="C20" s="46" t="n"/>
      <c r="D20" s="63" t="n">
        <v>450000</v>
      </c>
      <c r="E20" s="9" t="inlineStr">
        <is>
          <t>Фиксированная стоимость внедрения (4 недели спринтов)</t>
        </is>
      </c>
      <c r="F20" s="46" t="n"/>
      <c r="G20" s="46" t="n"/>
      <c r="H20" s="46" t="n"/>
    </row>
    <row r="21" ht="22" customHeight="1">
      <c r="A21" s="7" t="inlineStr">
        <is>
          <t>Ожидаемый возврат выручки (M1 факт)</t>
        </is>
      </c>
      <c r="B21" s="46" t="n"/>
      <c r="C21" s="46" t="n"/>
      <c r="D21" s="64" t="n">
        <v>2100300</v>
      </c>
      <c r="E21" s="9" t="inlineStr">
        <is>
          <t>Консервативный ориентир: устранение всего 30% найденных узких мест</t>
        </is>
      </c>
      <c r="F21" s="46" t="n"/>
      <c r="G21" s="46" t="n"/>
      <c r="H21" s="46" t="n"/>
    </row>
    <row r="22" ht="22" customHeight="1">
      <c r="A22" s="7" t="inlineStr">
        <is>
          <t>Чистая прибыль собственника за вычетом услуг</t>
        </is>
      </c>
      <c r="B22" s="46" t="n"/>
      <c r="C22" s="46" t="n"/>
      <c r="D22" s="64">
        <f>D21-D20</f>
        <v/>
      </c>
      <c r="E22" s="9" t="inlineStr">
        <is>
          <t>Чистый денежный плюс в кассе компании в первый же месяц</t>
        </is>
      </c>
      <c r="F22" s="46" t="n"/>
      <c r="G22" s="46" t="n"/>
      <c r="H22" s="46" t="n"/>
    </row>
    <row r="23" ht="22" customHeight="1">
      <c r="A23" s="7" t="inlineStr">
        <is>
          <t>Чистый ROI инвестиций в проект</t>
        </is>
      </c>
      <c r="B23" s="46" t="n"/>
      <c r="C23" s="46" t="n"/>
      <c r="D23" s="65">
        <f>(D22/D20)*100 &amp; "%"</f>
        <v/>
      </c>
      <c r="E23" s="9" t="inlineStr">
        <is>
          <t>Процент отдачи на каждый вложенный рубль</t>
        </is>
      </c>
      <c r="F23" s="46" t="n"/>
      <c r="G23" s="46" t="n"/>
      <c r="H23" s="46" t="n"/>
    </row>
    <row r="24" ht="22" customHeight="1">
      <c r="A24" s="7" t="inlineStr">
        <is>
          <t>Срок полной окупаемости проекта</t>
        </is>
      </c>
      <c r="B24" s="46" t="n"/>
      <c r="C24" s="46" t="n"/>
      <c r="D24" s="65">
        <f>ROUND(D20/(D21/30), 0) &amp; " дн."</f>
        <v/>
      </c>
      <c r="E24" s="9" t="inlineStr">
        <is>
          <t>Количество дней работы ОП до полной окупаемости чека внедрения</t>
        </is>
      </c>
      <c r="F24" s="46" t="n"/>
      <c r="G24" s="46" t="n"/>
      <c r="H24" s="46" t="n"/>
    </row>
    <row r="26" ht="28" customHeight="1">
      <c r="A26" s="66" t="inlineStr">
        <is>
          <t>👉 УТВЕРДИТЬ ПРОЕКТ ОПТИМИЗАЦИИ И СФОРМИРОВАТЬ ИНВОЙС (450 000 ₽)</t>
        </is>
      </c>
    </row>
    <row r="27">
      <c r="A27" s="34" t="inlineStr">
        <is>
          <t>Не готовы к спринту? 👉 Бесплатный тест-драйв на 3 звонках на вкладке «⚡ Экспресс_Калькулятор_3_Цифры»</t>
        </is>
      </c>
    </row>
    <row r="28">
      <c r="A28" s="35" t="inlineStr">
        <is>
          <t>🔒 Безопасный B2B-расчет: безналичный платеж по счету (УПД / Диадок) • 152-ФЗ РФ • Старт спринта за 24 часа</t>
        </is>
      </c>
    </row>
  </sheetData>
  <mergeCells count="23">
    <mergeCell ref="E5:F5"/>
    <mergeCell ref="A21:C21"/>
    <mergeCell ref="A1:H1"/>
    <mergeCell ref="E22:H22"/>
    <mergeCell ref="E4:F4"/>
    <mergeCell ref="A7:H7"/>
    <mergeCell ref="A23:C23"/>
    <mergeCell ref="A22:C22"/>
    <mergeCell ref="E21:H21"/>
    <mergeCell ref="D19"/>
    <mergeCell ref="A27:H27"/>
    <mergeCell ref="A20:C20"/>
    <mergeCell ref="E24:H24"/>
    <mergeCell ref="A18:H18"/>
    <mergeCell ref="A26:H26"/>
    <mergeCell ref="A19:C19"/>
    <mergeCell ref="E23:H23"/>
    <mergeCell ref="E20:H20"/>
    <mergeCell ref="G5:H5"/>
    <mergeCell ref="E19:H19"/>
    <mergeCell ref="A24:C24"/>
    <mergeCell ref="G4:H4"/>
    <mergeCell ref="A28:H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8" customWidth="1" min="4" max="4"/>
    <col width="6" customWidth="1" min="5" max="5"/>
    <col width="26" customWidth="1" min="6" max="6"/>
    <col width="28" customWidth="1" min="7" max="7"/>
    <col width="20" customWidth="1" min="8" max="8"/>
    <col width="44" customWidth="1" min="9" max="9"/>
  </cols>
  <sheetData>
    <row r="1" ht="36" customHeight="1">
      <c r="A1" s="1" t="inlineStr">
        <is>
          <t>📄 REVOPS ENTERPRISE EXECUTIVE ONE-PAGER (УПРАВЛЕНЧЕСКИЙ ДАЙДЖЕСТ)</t>
        </is>
      </c>
    </row>
    <row r="2" ht="22" customHeight="1">
      <c r="A2" s="3" t="inlineStr">
        <is>
          <t>📄 1. One-Pager</t>
        </is>
      </c>
      <c r="B2" s="2" t="inlineStr">
        <is>
          <t>⚡ 2. Пульс компании</t>
        </is>
      </c>
      <c r="C2" s="2" t="inlineStr">
        <is>
          <t>📋 3. Пульт РОПа</t>
        </is>
      </c>
      <c r="D2" s="2" t="inlineStr">
        <is>
          <t>💸 4. 7 Грехов ОП</t>
        </is>
      </c>
      <c r="E2" s="2" t="inlineStr">
        <is>
          <t>🎯 5. Action Center</t>
        </is>
      </c>
      <c r="F2" s="2" t="inlineStr">
        <is>
          <t>🎙️ 6. ИИ-Аудит</t>
        </is>
      </c>
      <c r="G2" s="2" t="inlineStr">
        <is>
          <t>⚡ 7. Экспресс 3 цифры</t>
        </is>
      </c>
      <c r="H2" s="2" t="inlineStr">
        <is>
          <t>🧪 8. QA Suite</t>
        </is>
      </c>
      <c r="I2" s="2" t="inlineStr">
        <is>
          <t>⚙️ 9. Настройки</t>
        </is>
      </c>
    </row>
    <row r="4" ht="20" customHeight="1">
      <c r="A4" s="36" t="inlineStr">
        <is>
          <t>Выручка (Факт Closed-Won)</t>
        </is>
      </c>
      <c r="B4" s="36" t="inlineStr">
        <is>
          <t>% Выполнения плана</t>
        </is>
      </c>
      <c r="C4" s="36" t="inlineStr">
        <is>
          <t>Взвешенный прогноз (SSOT)</t>
        </is>
      </c>
      <c r="D4" s="36" t="inlineStr">
        <is>
          <t>Run-Rate касса (Прогноз)</t>
        </is>
      </c>
      <c r="E4" s="36" t="inlineStr">
        <is>
          <t>Активный пайплайн в работе</t>
        </is>
      </c>
      <c r="F4" s="36" t="inlineStr">
        <is>
          <t>Сделок под угрозой SLA</t>
        </is>
      </c>
      <c r="G4" s="36" t="inlineStr">
        <is>
          <t>Качество речи ОП (ИИ)</t>
        </is>
      </c>
      <c r="H4" s="56" t="inlineStr">
        <is>
          <t>Data Quality Index</t>
        </is>
      </c>
    </row>
    <row r="5" ht="30" customHeight="1">
      <c r="A5" s="57" t="n">
        <v>1650000</v>
      </c>
      <c r="B5" s="38" t="inlineStr">
        <is>
          <t>33.0%</t>
        </is>
      </c>
      <c r="C5" s="67" t="n">
        <v>2754000</v>
      </c>
      <c r="D5" s="57" t="n">
        <v>1706897</v>
      </c>
      <c r="E5" s="57" t="n">
        <v>5530000</v>
      </c>
      <c r="F5" s="68" t="inlineStr">
        <is>
          <t>4</t>
        </is>
      </c>
      <c r="G5" s="38" t="inlineStr">
        <is>
          <t>73.1%</t>
        </is>
      </c>
      <c r="H5" s="58" t="inlineStr">
        <is>
          <t>100.0%</t>
        </is>
      </c>
    </row>
    <row r="7" ht="24" customHeight="1">
      <c r="A7" s="4" t="inlineStr">
        <is>
          <t>📊 ВОРОНКА ПРОДАЖ &amp; УЗКИЕ ГОРЛЫШКИ (AS-IS)</t>
        </is>
      </c>
      <c r="F7" s="4" t="inlineStr">
        <is>
          <t>🚨 ТОП-5 КРИТИЧЕСКИХ РИСКОВ ВЫРУЧКИ (ACTION CENTER)</t>
        </is>
      </c>
    </row>
    <row r="8" ht="24" customHeight="1">
      <c r="A8" s="24" t="inlineStr">
        <is>
          <t>Этап сделки</t>
        </is>
      </c>
      <c r="B8" s="24" t="inlineStr">
        <is>
          <t>Сделок</t>
        </is>
      </c>
      <c r="C8" s="24" t="inlineStr">
        <is>
          <t>Объем, ₽</t>
        </is>
      </c>
      <c r="D8" s="24" t="inlineStr">
        <is>
          <t>SLA норматив (ч)</t>
        </is>
      </c>
      <c r="F8" s="24" t="inlineStr">
        <is>
          <t>Сделка / Клиент</t>
        </is>
      </c>
      <c r="G8" s="24" t="inlineStr">
        <is>
          <t>Проблема &amp; Симптом</t>
        </is>
      </c>
      <c r="H8" s="24" t="inlineStr">
        <is>
          <t>Сумма в риске, ₽</t>
        </is>
      </c>
      <c r="I8" s="24" t="inlineStr">
        <is>
          <t>Срочное действие РОПа</t>
        </is>
      </c>
    </row>
    <row r="9" ht="22" customHeight="1">
      <c r="A9" s="9" t="inlineStr">
        <is>
          <t>1. Новый лид</t>
        </is>
      </c>
      <c r="B9" s="25" t="n">
        <v>1</v>
      </c>
      <c r="C9" s="10" t="n">
        <v>950000</v>
      </c>
      <c r="D9" s="25" t="n">
        <v>24</v>
      </c>
      <c r="F9" s="7" t="inlineStr">
        <is>
          <t>D-104 (ООО Вектор)</t>
        </is>
      </c>
      <c r="G9" s="9" t="inlineStr">
        <is>
          <t>КП без ответа &gt; 48ч</t>
        </is>
      </c>
      <c r="H9" s="13" t="n">
        <v>850000</v>
      </c>
      <c r="I9" s="9" t="inlineStr">
        <is>
          <t>Повторный контакт с ЛПР + звонок РОПа</t>
        </is>
      </c>
    </row>
    <row r="10" ht="22" customHeight="1">
      <c r="A10" s="9" t="inlineStr">
        <is>
          <t>2. Квалификация / ЛПР</t>
        </is>
      </c>
      <c r="B10" s="25" t="n">
        <v>1</v>
      </c>
      <c r="C10" s="10" t="n">
        <v>120000</v>
      </c>
      <c r="D10" s="25" t="n">
        <v>48</v>
      </c>
      <c r="F10" s="7" t="inlineStr">
        <is>
          <t>D-103 (ИнвестХолдинг)</t>
        </is>
      </c>
      <c r="G10" s="9" t="inlineStr">
        <is>
          <t>Просрочен счёт на оплату</t>
        </is>
      </c>
      <c r="H10" s="13" t="n">
        <v>150000</v>
      </c>
      <c r="I10" s="9" t="inlineStr">
        <is>
          <t>Дожим счета через AI-бота + автозвонок</t>
        </is>
      </c>
    </row>
    <row r="11" ht="22" customHeight="1">
      <c r="A11" s="9" t="inlineStr">
        <is>
          <t>3. Встреча / Демо</t>
        </is>
      </c>
      <c r="B11" s="25" t="n">
        <v>1</v>
      </c>
      <c r="C11" s="10" t="n">
        <v>280000</v>
      </c>
      <c r="D11" s="25" t="n">
        <v>120</v>
      </c>
      <c r="F11" s="7" t="inlineStr">
        <is>
          <t>D-109 (ПромКомплект)</t>
        </is>
      </c>
      <c r="G11" s="9" t="inlineStr">
        <is>
          <t>Критический брак речи (&lt;9)</t>
        </is>
      </c>
      <c r="H11" s="13" t="n">
        <v>600000</v>
      </c>
      <c r="I11" s="9" t="inlineStr">
        <is>
          <t>Личный перезвон РОПа ЛПР до 12:00</t>
        </is>
      </c>
    </row>
    <row r="12" ht="22" customHeight="1">
      <c r="A12" s="9" t="inlineStr">
        <is>
          <t>4. КП и согласование</t>
        </is>
      </c>
      <c r="B12" s="25" t="n">
        <v>2</v>
      </c>
      <c r="C12" s="10" t="n">
        <v>3850000</v>
      </c>
      <c r="D12" s="25" t="n">
        <v>48</v>
      </c>
      <c r="F12" s="7" t="inlineStr">
        <is>
          <t>D-106 (СнабСервис)</t>
        </is>
      </c>
      <c r="G12" s="9" t="inlineStr">
        <is>
          <t>Зависание на этапе КП</t>
        </is>
      </c>
      <c r="H12" s="13" t="n">
        <v>280000</v>
      </c>
      <c r="I12" s="9" t="inlineStr">
        <is>
          <t>Эскалация РОПу, согласование слота</t>
        </is>
      </c>
    </row>
    <row r="13" ht="22" customHeight="1">
      <c r="A13" s="9" t="inlineStr">
        <is>
          <t>5. Счет выставлен</t>
        </is>
      </c>
      <c r="B13" s="25" t="n">
        <v>2</v>
      </c>
      <c r="C13" s="10" t="n">
        <v>330000</v>
      </c>
      <c r="D13" s="25" t="n">
        <v>72</v>
      </c>
      <c r="F13" s="7" t="inlineStr">
        <is>
          <t>D-107 (ТехноПром)</t>
        </is>
      </c>
      <c r="G13" s="9" t="inlineStr">
        <is>
          <t>Крупная сделка без движения</t>
        </is>
      </c>
      <c r="H13" s="13" t="n">
        <v>3000000</v>
      </c>
      <c r="I13" s="9" t="inlineStr">
        <is>
          <t>Подключение генерального директора</t>
        </is>
      </c>
    </row>
    <row r="14" ht="22" customHeight="1">
      <c r="A14" s="9" t="inlineStr">
        <is>
          <t>6. Успешно реализовано</t>
        </is>
      </c>
      <c r="B14" s="25" t="n">
        <v>2</v>
      </c>
      <c r="C14" s="10" t="n">
        <v>1650000</v>
      </c>
      <c r="D14" s="25" t="n">
        <v>0</v>
      </c>
    </row>
    <row r="16" ht="28" customHeight="1">
      <c r="A16" s="69" t="inlineStr">
        <is>
          <t>🎯 ГЛАВНЫЙ ФОКУС РУКОВОДСТВА ДО КОНЦА МЕСЯЦА: Перехват сделки D-104 (850 000 ₽) и перераспределение 3 лидов с перегруженного РОПа на КАМов.</t>
        </is>
      </c>
    </row>
  </sheetData>
  <mergeCells count="6">
    <mergeCell ref="F7:I7"/>
    <mergeCell ref="A1:I1"/>
    <mergeCell ref="A7:D7"/>
    <mergeCell ref="H5:I5"/>
    <mergeCell ref="H4:I4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4" customWidth="1" min="3" max="3"/>
    <col width="54" customWidth="1" min="4" max="4"/>
    <col width="24" customWidth="1" min="5" max="5"/>
    <col width="36" customWidth="1" min="6" max="6"/>
  </cols>
  <sheetData>
    <row r="1" ht="36" customHeight="1">
      <c r="A1" s="1" t="inlineStr">
        <is>
          <t>🔐 ЮРИДИЧЕСКИЙ КОНТУР БЕЗОПАСНОСТИ И ОБЕЗЛИЧИВАНИЯ ПДН (152-ФЗ РФ)</t>
        </is>
      </c>
    </row>
    <row r="2" ht="22" customHeight="1">
      <c r="A2" s="2" t="inlineStr">
        <is>
          <t>📄 1. One-Pager</t>
        </is>
      </c>
      <c r="B2" s="2" t="inlineStr">
        <is>
          <t>⚡ 2. Пульс компании</t>
        </is>
      </c>
      <c r="C2" s="2" t="inlineStr">
        <is>
          <t>📋 3. Пульт РОПа</t>
        </is>
      </c>
      <c r="D2" s="2" t="inlineStr">
        <is>
          <t>💸 4. 7 Грехов ОП</t>
        </is>
      </c>
      <c r="E2" s="2" t="inlineStr">
        <is>
          <t>🎯 5. Action Center</t>
        </is>
      </c>
      <c r="F2" s="2" t="inlineStr">
        <is>
          <t>🎙️ 6. ИИ-Аудит</t>
        </is>
      </c>
    </row>
    <row r="4" ht="24" customHeight="1">
      <c r="A4" s="4" t="inlineStr">
        <is>
          <t>🛡️ ГАРАНТИЯ СООТВЕТСТВИЯ ЗАКОНОДАТЕЛЬСТВУ И РЕГЛАМЕНТАМ БЕЗОПАСНОСТИ РФ</t>
        </is>
      </c>
    </row>
    <row r="5" ht="26" customHeight="1">
      <c r="A5" s="24" t="inlineStr">
        <is>
          <t>№</t>
        </is>
      </c>
      <c r="B5" s="24" t="inlineStr">
        <is>
          <t>Параметр безопасности</t>
        </is>
      </c>
      <c r="C5" s="24" t="inlineStr">
        <is>
          <t>Требование законодательства РФ</t>
        </is>
      </c>
      <c r="D5" s="24" t="inlineStr">
        <is>
          <t>Архитектурная реализация платформы RevOps</t>
        </is>
      </c>
      <c r="E5" s="24" t="inlineStr">
        <is>
          <t>Статус проверки</t>
        </is>
      </c>
      <c r="F5" s="24" t="inlineStr">
        <is>
          <t>Юридическое обоснование</t>
        </is>
      </c>
    </row>
    <row r="6" ht="28" customHeight="1">
      <c r="A6" s="41" t="n">
        <v>1</v>
      </c>
      <c r="B6" s="7" t="inlineStr">
        <is>
          <t>Локализация баз данных</t>
        </is>
      </c>
      <c r="C6" s="9" t="inlineStr">
        <is>
          <t>Хранение ПДн граждан РФ строго на серверах в РФ</t>
        </is>
      </c>
      <c r="D6" s="9" t="inlineStr">
        <is>
          <t>Дата-центры в Москве (Yandex Cloud / Selectel), аттестация ФСТЭК УЗ 1-2</t>
        </is>
      </c>
      <c r="E6" s="58" t="inlineStr">
        <is>
          <t>✅ 100% Соответствие</t>
        </is>
      </c>
      <c r="F6" s="9" t="inlineStr">
        <is>
          <t>ст. 18.1 Федерального закона № 152-ФЗ</t>
        </is>
      </c>
    </row>
    <row r="7" ht="28" customHeight="1">
      <c r="A7" s="41" t="n">
        <v>2</v>
      </c>
      <c r="B7" s="7" t="inlineStr">
        <is>
          <t>Криптографическая токенизация</t>
        </is>
      </c>
      <c r="C7" s="9" t="inlineStr">
        <is>
          <t>Запрет передачи персональных данных во внешние контуры</t>
        </is>
      </c>
      <c r="D7" s="9" t="inlineStr">
        <is>
          <t>Модуль PIISanitizer: замена телефонов, ФИО и карт на токены [PHONE_TOKEN_X]</t>
        </is>
      </c>
      <c r="E7" s="58" t="inlineStr">
        <is>
          <t>✅ Автоматически</t>
        </is>
      </c>
      <c r="F7" s="9" t="inlineStr">
        <is>
          <t>ст. 6 Федерального закона № 152-ФЗ</t>
        </is>
      </c>
    </row>
    <row r="8" ht="28" customHeight="1">
      <c r="A8" s="41" t="n">
        <v>3</v>
      </c>
      <c r="B8" s="7" t="inlineStr">
        <is>
          <t>Срок хранения аудиозаписей</t>
        </is>
      </c>
      <c r="C8" s="9" t="inlineStr">
        <is>
          <t>Удаление данных после достижения цели обработки</t>
        </is>
      </c>
      <c r="D8" s="9" t="inlineStr">
        <is>
          <t>Автоматическое безвозвратное удаление исходных аудио через 30 дней</t>
        </is>
      </c>
      <c r="E8" s="58" t="inlineStr">
        <is>
          <t>✅ Настроено в cron</t>
        </is>
      </c>
      <c r="F8" s="9" t="inlineStr">
        <is>
          <t>ст. 5 Федерального закона № 152-ФЗ</t>
        </is>
      </c>
    </row>
    <row r="9" ht="28" customHeight="1">
      <c r="A9" s="41" t="n">
        <v>4</v>
      </c>
      <c r="B9" s="7" t="inlineStr">
        <is>
          <t>Согласие сотрудников ОП</t>
        </is>
      </c>
      <c r="C9" s="9" t="inlineStr">
        <is>
          <t>Уведомление персонала о контроле качества переговоров</t>
        </is>
      </c>
      <c r="D9" s="9" t="inlineStr">
        <is>
          <t>Готовый пакет документов: Приказ, Положение о контроле, Согласие</t>
        </is>
      </c>
      <c r="E9" s="58" t="inlineStr">
        <is>
          <t>✅ Комплект включен</t>
        </is>
      </c>
      <c r="F9" s="9" t="inlineStr">
        <is>
          <t>ст. 86 Трудового Кодекса РФ</t>
        </is>
      </c>
    </row>
    <row r="10" ht="28" customHeight="1">
      <c r="A10" s="41" t="n">
        <v>5</v>
      </c>
      <c r="B10" s="7" t="inlineStr">
        <is>
          <t>Юридический статус исполнителя</t>
        </is>
      </c>
      <c r="C10" s="9" t="inlineStr">
        <is>
          <t>Прозрачность расчетов с юридическими лицами</t>
        </is>
      </c>
      <c r="D10" s="9" t="inlineStr">
        <is>
          <t>Плательщик НПД (Самозанятый), чек приложения «Мой Налог», договор, акт</t>
        </is>
      </c>
      <c r="E10" s="58" t="inlineStr">
        <is>
          <t>✅ Безопасно для бухгалтерии</t>
        </is>
      </c>
      <c r="F10" s="9" t="inlineStr">
        <is>
          <t>ст. 15 Федерального закона № 422-ФЗ</t>
        </is>
      </c>
    </row>
    <row r="11" ht="28" customHeight="1">
      <c r="A11" s="41" t="n">
        <v>6</v>
      </c>
      <c r="B11" s="7" t="inlineStr">
        <is>
          <t>Гарантия конфиденциальности NDA</t>
        </is>
      </c>
      <c r="C11" s="9" t="inlineStr">
        <is>
          <t>Защита коммерческой тайны и клиентской базы компании</t>
        </is>
      </c>
      <c r="D11" s="9" t="inlineStr">
        <is>
          <t>Подписание двустороннего соглашения о неразглашении конфиденциальных данных</t>
        </is>
      </c>
      <c r="E11" s="58" t="inlineStr">
        <is>
          <t>✅ Подписание в ЭДО</t>
        </is>
      </c>
      <c r="F11" s="9" t="inlineStr">
        <is>
          <t>Федеральный закон № 98-ФЗ «О коммерческой тайне»</t>
        </is>
      </c>
    </row>
  </sheetData>
  <mergeCells count="2"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2026-10-01T10:06:25Z</dcterms:created>
  <dcterms:modified xmlns:dcterms="http://purl.org/dc/terms/" xmlns:xsi="http://www.w3.org/2001/XMLSchema-instance" xsi:type="dcterms:W3CDTF">2026-10-01T10:06:25Z</dcterms:modified>
</cp:coreProperties>
</file>