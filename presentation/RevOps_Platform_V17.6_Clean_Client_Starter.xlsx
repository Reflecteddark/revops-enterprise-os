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⚡ Экспресс_Калькулятор_3_Цифры" sheetId="1" r:id="rId5"/>
    <sheet state="visible" name="📋 Пульт_РОПа_15_Минут" sheetId="2" r:id="rId6"/>
    <sheet state="visible" name="🎙️ ИИ_Аудит" sheetId="3" r:id="rId7"/>
    <sheet state="visible" name="💸 Диагностика_Утечек_ОП" sheetId="4" r:id="rId8"/>
    <sheet state="visible" name="📄 Executive_OnePager" sheetId="5" r:id="rId9"/>
    <sheet state="visible" name="⚙️ Настройки" sheetId="6" r:id="rId10"/>
    <sheet state="hidden" name="raw_touchpoints" sheetId="7" r:id="rId11"/>
    <sheet state="hidden" name="raw_deals" sheetId="8" r:id="rId12"/>
    <sheet state="hidden" name="raw_calls" sheetId="9" r:id="rId13"/>
    <sheet state="visible" name="🌐 Мультиканальная_Атрибуция" sheetId="10" r:id="rId14"/>
    <sheet state="visible" name="🧪 QA_Suite" sheetId="11" r:id="rId15"/>
    <sheet state="visible" name="💳 Финансы_и_AI_Дожим" sheetId="12" r:id="rId16"/>
    <sheet state="hidden" name="raw_invoices" sheetId="13" r:id="rId17"/>
    <sheet state="visible" name="👥 Мотивация_ОП" sheetId="14" r:id="rId18"/>
    <sheet state="visible" name="🔮 Симулятор_Роста" sheetId="15" r:id="rId19"/>
    <sheet state="visible" name="🗄️ DWH_и_Безопасность" sheetId="16" r:id="rId20"/>
    <sheet state="visible" name="🌐 Сквозная_RevOps_Аналитика" sheetId="17" r:id="rId21"/>
    <sheet state="visible" name="🌐 Маркетинг_и_Трафик" sheetId="18" r:id="rId22"/>
    <sheet state="hidden" name="raw_audit_log" sheetId="19" r:id="rId23"/>
    <sheet state="hidden" name="raw_marketing" sheetId="20" r:id="rId24"/>
    <sheet state="hidden" name="raw_alerts" sheetId="21" r:id="rId25"/>
    <sheet state="hidden" name="raw_payments" sheetId="22" r:id="rId26"/>
    <sheet state="hidden" name="calc_engine" sheetId="23" r:id="rId27"/>
    <sheet state="visible" name="⚡ Пульс_Компании" sheetId="24" r:id="rId28"/>
    <sheet state="visible" name="🎯 Воронка_и_SLA" sheetId="25" r:id="rId29"/>
    <sheet state="visible" name="📊 Юнит_Экономика" sheetId="26" r:id="rId30"/>
    <sheet state="visible" name="🚨 Радар_Алертов" sheetId="27" r:id="rId31"/>
    <sheet state="visible" name="📋 Задачи_и_Спринты" sheetId="28" r:id="rId32"/>
    <sheet state="visible" name="changelog" sheetId="29" r:id="rId33"/>
    <sheet state="visible" name="📈 Когорты_LTV" sheetId="30" r:id="rId34"/>
    <sheet state="visible" name="👥 Ресурсный_План" sheetId="31" r:id="rId35"/>
    <sheet state="hidden" name="calc_sales" sheetId="32" r:id="rId36"/>
    <sheet state="hidden" name="calc_marketing" sheetId="33" r:id="rId37"/>
    <sheet state="hidden" name="calc_finance" sheetId="34" r:id="rId38"/>
    <sheet state="hidden" name="🛠️ Apps_Script_Console" sheetId="35" r:id="rId39"/>
    <sheet state="hidden" name="🔐 Code_Archive" sheetId="36" r:id="rId40"/>
    <sheet state="hidden" name="📋 Data_Contract" sheetId="37" r:id="rId41"/>
    <sheet state="hidden" name="🆔 ID_Registry" sheetId="38" r:id="rId42"/>
    <sheet state="visible" name="📊 Data_Quality" sheetId="39" r:id="rId43"/>
    <sheet state="visible" name="📅 Deal_Event_Log" sheetId="40" r:id="rId44"/>
    <sheet state="visible" name="📊 Stage_History" sheetId="41" r:id="rId45"/>
    <sheet state="visible" name="🎯 Action_Center" sheetId="42" r:id="rId46"/>
    <sheet state="visible" name="⏱️ SLA_Matrix" sheetId="43" r:id="rId47"/>
    <sheet state="hidden" name="calc_simulator" sheetId="44" r:id="rId48"/>
    <sheet state="visible" name="🔐 RBAC_Matrix" sheetId="45" r:id="rId49"/>
  </sheets>
  <definedNames>
    <definedName name="Calls_Scores">raw_calls!$T$2:$T$1000</definedName>
    <definedName name="Deals_Source">raw_deals!$J$2:$J$1000</definedName>
    <definedName name="Deals_Amount">raw_deals!$C$2:$C$1000</definedName>
    <definedName name="Payments_Amount">raw_payments!$E$2:$E$1000</definedName>
    <definedName name="USERS_ROLES_MAP">'⚙️ Настройки'!$J$10:$L$100</definedName>
    <definedName name="Marketing_Leads">raw_marketing!$H$2:$H$1000</definedName>
    <definedName name="SHEETS_LIST">'🔐 RBAC_Matrix'!$A$2:$A$46</definedName>
    <definedName name="Deals_ID">raw_deals!$A$2:$A$1000</definedName>
    <definedName name="Deals_Stage">raw_deals!$D$2:$D$1000</definedName>
    <definedName name="ROLES_LIST">'🔐 RBAC_Matrix'!$D$1:$J$1</definedName>
    <definedName name="Deals_Manager">raw_deals!$H$2:$H$1000</definedName>
    <definedName name="Payments_Type">raw_payments!$F$2:$F$1000</definedName>
    <definedName name="Marketing_Spend">raw_marketing!$E$2:$E$1000</definedName>
    <definedName name="Deals_IsWon">raw_deals!$O$2:$O$1000</definedName>
    <definedName hidden="1" localSheetId="27" name="Z_0F8FDBBA_8D98_4DCA_8234_7F938D8965B8_.wvu.FilterData">'📋 Задачи_и_Спринты'!$A$2:$H$20</definedName>
    <definedName hidden="1" localSheetId="27" name="Z_56BAFCBE_B531_4EF6_9302_249D55614609_.wvu.FilterData">'📋 Задачи_и_Спринты'!$A$2:$H$20</definedName>
    <definedName hidden="1" localSheetId="7" name="Z_DE8175C3_5F04_4DF2_9BB7_B84750A180A4_.wvu.FilterData">raw_deals!$A$1:$AI$220</definedName>
    <definedName hidden="1" localSheetId="41" name="Z_5C1AFE5A_DB17_4450_BFE1_B09898C8990B_.wvu.FilterData">'🎯 Action_Center'!$A$1:$M$100</definedName>
    <definedName hidden="1" localSheetId="41" name="Z_24522119_D498_44D0_9F32_6D003CC7ACAA_.wvu.FilterData">'🎯 Action_Center'!$A$1:$M$100</definedName>
    <definedName hidden="1" localSheetId="7" name="Z_46777EA8_FB1E_4EEC_965E_7796D90C387C_.wvu.FilterData">raw_deals!$A$1:$AI$220</definedName>
    <definedName hidden="1" localSheetId="7" name="Z_F12FF699_2153_4DF0_9895_B168E9A9E0F7_.wvu.FilterData">raw_deals!$A$1:$AI$220</definedName>
    <definedName hidden="1" localSheetId="27" name="Z_863A957B_ED05_42FE_BF85_AE46D39D36B3_.wvu.FilterData">'📋 Задачи_и_Спринты'!$A$2:$H$20</definedName>
    <definedName hidden="1" localSheetId="7" name="Z_95CB6148_5689_4F03_A89A_6BA1CAA9EFEB_.wvu.FilterData">raw_deals!$A$1:$AI$220</definedName>
    <definedName hidden="1" localSheetId="27" name="Z_C8E3F23E_5ABD_44CF_A320_440D2898F28B_.wvu.FilterData">'📋 Задачи_и_Спринты'!$A$2:$H$20</definedName>
    <definedName hidden="1" localSheetId="41" name="Z_12103AAF_1E9B_4CB5_998C_C8261DF92E9B_.wvu.FilterData">'🎯 Action_Center'!$A$1:$M$100</definedName>
    <definedName hidden="1" localSheetId="41" name="Z_2A6CC8EA_B9E3_493C_9FCA_04C8B36DD3F2_.wvu.FilterData">'🎯 Action_Center'!$A$1:$M$100</definedName>
  </definedNames>
  <calcPr/>
  <customWorkbookViews>
    <customWorkbookView activeSheetId="0" maximized="1" windowHeight="0" windowWidth="0" guid="{0F8FDBBA-8D98-4DCA-8234-7F938D8965B8}" name="[РОП] 🎯 Задачи отдела продаж и воронки"/>
    <customWorkbookView activeSheetId="0" maximized="1" windowHeight="0" windowWidth="0" guid="{56BAFCBE-B531-4EF6-9302-249D55614609}" name="[CMO] 🌐 Задачи маркетинга и трафика"/>
    <customWorkbookView activeSheetId="0" maximized="1" windowHeight="0" windowWidth="0" guid="{DE8175C3-5F04-4DF2-9BB7-B84750A180A4}" name="[CFO] 💰 Крупные чеки (&gt; 500 000 ₽)"/>
    <customWorkbookView activeSheetId="0" maximized="1" windowHeight="0" windowWidth="0" guid="{5C1AFE5A-DB17-4450-BFE1-B09898C8990B}" name="[CFO] 💳 Сделки в риске от 500 000 ₽"/>
    <customWorkbookView activeSheetId="0" maximized="1" windowHeight="0" windowWidth="0" guid="{24522119-D498-44D0-9F32-6D003CC7ACAA}" name="[Admin] 🛠️ Все активные алерты (in_progress)"/>
    <customWorkbookView activeSheetId="0" maximized="1" windowHeight="0" windowWidth="0" guid="{46777EA8-FB1E-4EEC-965E-7796D90C387C}" name="[CEO] 🏆 Закрытые успешные сделки (Won)"/>
    <customWorkbookView activeSheetId="0" maximized="1" windowHeight="0" windowWidth="0" guid="{F12FF699-2153-4DF0-9895-B168E9A9E0F7}" name="[KAM] 💼 Портфель КАМа (Менеджер 102)"/>
    <customWorkbookView activeSheetId="0" maximized="1" windowHeight="0" windowWidth="0" guid="{863A957B-ED05-42FE-BF85-AE46D39D36B3}" name="[Admin] 🔧 Задачи RevOps и целостности DWH"/>
    <customWorkbookView activeSheetId="0" maximized="1" windowHeight="0" windowWidth="0" guid="{95CB6148-5689-4F03-A89A-6BA1CAA9EFEB}" name="[РОП] 🎯 Сделки в активной работе (Pipeline)"/>
    <customWorkbookView activeSheetId="0" maximized="1" windowHeight="0" windowWidth="0" guid="{C8E3F23E-5ABD-44CF-A320-440D2898F28B}" name="[CFO] 💳 Задачи финансового контроля"/>
    <customWorkbookView activeSheetId="0" maximized="1" windowHeight="0" windowWidth="0" guid="{12103AAF-1E9B-4CB5-998C-C8261DF92E9B}" name="[РОП] 🔥 Горящие P0 алерты и SLA"/>
    <customWorkbookView activeSheetId="0" maximized="1" windowHeight="0" windowWidth="0" guid="{2A6CC8EA-B9E3-493C-9FCA-04C8B36DD3F2}" name="[KAM] 💼 Мои задачи по сделкам (Менеджер 102)"/>
  </customWorkbookViews>
</workbook>
</file>

<file path=xl/sharedStrings.xml><?xml version="1.0" encoding="utf-8"?>
<sst xmlns="http://schemas.openxmlformats.org/spreadsheetml/2006/main" count="5851" uniqueCount="3400">
  <si>
    <t>🎙️ ИИ-СУПЕРВАЙЗЕР ЗВОНКОВ: РЕЧЕВАЯ АНАЛИТИКА 100% ДИАЛОГОВ (WHISPER LARGE V3 + LLM)</t>
  </si>
  <si>
    <t>💸 ДИАГНОСТИЧЕСКИЙ АУДИТ УПУЩЕННОЙ ПРИБЫЛИ И УЗКИХ МЕСТ ОТДЕЛА ПРОДАЖ</t>
  </si>
  <si>
    <t>⚡ ЭКСПРЕСС-КАЛЬКУЛЯТОР УПУЩЕННОЙ ПРИБЫЛИ ОП (ДИАГНОСТИКА ЗА 30 СЕКУНД)</t>
  </si>
  <si>
    <t>⚡ Экспресс-Калькулятор</t>
  </si>
  <si>
    <t>📋 Пульт РОПа</t>
  </si>
  <si>
    <t>🎙️ ИИ-Аудит звонков</t>
  </si>
  <si>
    <t>💸 7 Грехов ОП</t>
  </si>
  <si>
    <t>📄 One-Pager</t>
  </si>
  <si>
    <t>🔐 152-ФЗ Контур Безопасности</t>
  </si>
  <si>
    <t>Проанализировано звонков</t>
  </si>
  <si>
    <t>Средний балл качества</t>
  </si>
  <si>
    <t>Фиксация жесткого Next Step</t>
  </si>
  <si>
    <t>Критический брак речи (&lt;9)</t>
  </si>
  <si>
    <t>Выручка под угрозой слива</t>
  </si>
  <si>
    <t>Вердикт ИИ-супервайзера</t>
  </si>
  <si>
    <t>25 звонков / сут</t>
  </si>
  <si>
    <t>8.9 из 13</t>
  </si>
  <si>
    <t>60.0% (норма ≥85%)</t>
  </si>
  <si>
    <t>6 диалогов</t>
  </si>
  <si>
    <t>2,840,000 ₽</t>
  </si>
  <si>
    <t>🚨 ВЫСОКИЙ РИСК СЛИВА VIP-КЛИЕНТОВ (ТРЕБУЕТСЯ ВМЕШАТЕЛЬСТВО РОПа)</t>
  </si>
  <si>
    <t/>
  </si>
  <si>
    <t>👥 РЕЙТИНГ МЕНЕДЖЕРОВ ОП ПО КАЧЕСТВУ РЕЧИ (ЛИДЕРБОРД РОПа)</t>
  </si>
  <si>
    <t>№</t>
  </si>
  <si>
    <t>Менеджер ОП</t>
  </si>
  <si>
    <t>Звонков</t>
  </si>
  <si>
    <t>Ср. балл /13</t>
  </si>
  <si>
    <t>Next Step %</t>
  </si>
  <si>
    <t>Talk/Listen (норма ≥45%)</t>
  </si>
  <si>
    <t>Зависших сделок</t>
  </si>
  <si>
    <t>Сумма риска (₽)</t>
  </si>
  <si>
    <t>Грейд ИИ</t>
  </si>
  <si>
    <t>Статус и рекомендация РОПу</t>
  </si>
  <si>
    <t>1</t>
  </si>
  <si>
    <t>Алексей Мельников</t>
  </si>
  <si>
    <t>6</t>
  </si>
  <si>
    <t>12.2</t>
  </si>
  <si>
    <t>100.0%</t>
  </si>
  <si>
    <t>48% / 52%</t>
  </si>
  <si>
    <t>0</t>
  </si>
  <si>
    <t>0 ₽</t>
  </si>
  <si>
    <t>⭐ А (Эталон)</t>
  </si>
  <si>
    <t>Эталонный скрипт, рекомендован в базу знаний компании</t>
  </si>
  <si>
    <t>2</t>
  </si>
  <si>
    <t>Елена Васильева</t>
  </si>
  <si>
    <t>5</t>
  </si>
  <si>
    <t>10.8</t>
  </si>
  <si>
    <t>80.0%</t>
  </si>
  <si>
    <t>51% / 49%</t>
  </si>
  <si>
    <t>160,000 ₽</t>
  </si>
  <si>
    <t>🟢 B (Норма)</t>
  </si>
  <si>
    <t>Высокая конверсия, мелкие замечания по регламенту встречи</t>
  </si>
  <si>
    <t>3</t>
  </si>
  <si>
    <t>Анна Соколова</t>
  </si>
  <si>
    <t>8.4</t>
  </si>
  <si>
    <t>60.0%</t>
  </si>
  <si>
    <t>58% / 42%</t>
  </si>
  <si>
    <t>480,000 ₽</t>
  </si>
  <si>
    <t>🟡 C (Зона риска)</t>
  </si>
  <si>
    <t>Забывает фиксировать дату звонка, требуется тренинг</t>
  </si>
  <si>
    <t>4</t>
  </si>
  <si>
    <t>Дмитрий Ковалев</t>
  </si>
  <si>
    <t>6.2</t>
  </si>
  <si>
    <t>40.0%</t>
  </si>
  <si>
    <t>72% / 28%</t>
  </si>
  <si>
    <t>1,100,000 ₽</t>
  </si>
  <si>
    <t>🔴 D (Брак речи)</t>
  </si>
  <si>
    <t>Срыв контакта, перебивание клиента, демпинг скидок</t>
  </si>
  <si>
    <t>Иван Попов</t>
  </si>
  <si>
    <t>5.5</t>
  </si>
  <si>
    <t>25.0%</t>
  </si>
  <si>
    <t>79% / 21%</t>
  </si>
  <si>
    <t>Режим 'автоответчика', нет попыток закрытия на встречу</t>
  </si>
  <si>
    <t>ИТОГО ПО ОТДЕЛУ ПРОДАЖ:</t>
  </si>
  <si>
    <t>25</t>
  </si>
  <si>
    <t>8.9 / 13</t>
  </si>
  <si>
    <t>61% / 39%</t>
  </si>
  <si>
    <t>9</t>
  </si>
  <si>
    <t>⚠️ РИСК</t>
  </si>
  <si>
    <t>Требуется экспресс-коучинг по отработке возражений</t>
  </si>
  <si>
    <t>🔍 ДЕТАЛИЗИРОВАННАЯ МАТРИЦА ОЦЕНКИ ЗВОНКОВ ПО ВСЕМ 13 КРИТЕРИЯМ (0 / 1)</t>
  </si>
  <si>
    <t>Call ID</t>
  </si>
  <si>
    <t>Сделка / Клиент</t>
  </si>
  <si>
    <t>Менеджер</t>
  </si>
  <si>
    <t>Сумма (₽)</t>
  </si>
  <si>
    <t>Длит.</t>
  </si>
  <si>
    <t>Этап CRM</t>
  </si>
  <si>
    <t>К1 NextStep</t>
  </si>
  <si>
    <t>К2 Иниц.</t>
  </si>
  <si>
    <t>К3 ЛПР</t>
  </si>
  <si>
    <t>К4 Боли</t>
  </si>
  <si>
    <t>К5 Дорого</t>
  </si>
  <si>
    <t>К6 Подумаю</t>
  </si>
  <si>
    <t>К7 Кейсы</t>
  </si>
  <si>
    <t>К8 Закрытие</t>
  </si>
  <si>
    <t>К9 Привет.</t>
  </si>
  <si>
    <t>К10 Речь</t>
  </si>
  <si>
    <t>К11 Слушан.</t>
  </si>
  <si>
    <t>К12 Итог</t>
  </si>
  <si>
    <t>К13 Маржа</t>
  </si>
  <si>
    <t>Балл /13</t>
  </si>
  <si>
    <t>Статус ИИ</t>
  </si>
  <si>
    <t>Сумма в риске, ₽</t>
  </si>
  <si>
    <t>C-501</t>
  </si>
  <si>
    <t>D-101 (ООО Вектор Плюс)</t>
  </si>
  <si>
    <t>Мельников</t>
  </si>
  <si>
    <t>850,000 ₽</t>
  </si>
  <si>
    <t>05:40</t>
  </si>
  <si>
    <t>КП отправлено</t>
  </si>
  <si>
    <t>13</t>
  </si>
  <si>
    <t>⭐ ЭТАЛОН</t>
  </si>
  <si>
    <t>C-502</t>
  </si>
  <si>
    <t>D-104 (ООО Вектор Плюс)</t>
  </si>
  <si>
    <t>Васильева</t>
  </si>
  <si>
    <t>04:20</t>
  </si>
  <si>
    <t>Переговоры</t>
  </si>
  <si>
    <t>12</t>
  </si>
  <si>
    <t>🟢 В НОРМЕ</t>
  </si>
  <si>
    <t>C-503</t>
  </si>
  <si>
    <t>D-106 (ООО СнабСервис)</t>
  </si>
  <si>
    <t>Соколова</t>
  </si>
  <si>
    <t>280,000 ₽</t>
  </si>
  <si>
    <t>03:10</t>
  </si>
  <si>
    <t>Встреча/Демо</t>
  </si>
  <si>
    <t>7</t>
  </si>
  <si>
    <t>C-504</t>
  </si>
  <si>
    <t>D-107 (ООО ТехноПром)</t>
  </si>
  <si>
    <t>150,000 ₽</t>
  </si>
  <si>
    <t>06:15</t>
  </si>
  <si>
    <t>Квалификация</t>
  </si>
  <si>
    <t>C-505</t>
  </si>
  <si>
    <t>D-109 (ООО ПромКомплект)</t>
  </si>
  <si>
    <t>Ковалев</t>
  </si>
  <si>
    <t>600,000 ₽</t>
  </si>
  <si>
    <t>03:30</t>
  </si>
  <si>
    <t>❌ СЛИВ</t>
  </si>
  <si>
    <t>C-506</t>
  </si>
  <si>
    <t>D-111 (ООО Глобал Инвест)</t>
  </si>
  <si>
    <t>3,000,000 ₽</t>
  </si>
  <si>
    <t>07:15</t>
  </si>
  <si>
    <t>Финальные условия</t>
  </si>
  <si>
    <t>C-507</t>
  </si>
  <si>
    <t>D-114 (ООО АльфаТрейд)</t>
  </si>
  <si>
    <t>500,000 ₽</t>
  </si>
  <si>
    <t>04:45</t>
  </si>
  <si>
    <t>Дожим договора</t>
  </si>
  <si>
    <t>🎛️ ВВЕДИТЕ 3 ЦИФРЫ ВАШЕГО БИЗНЕСА:</t>
  </si>
  <si>
    <t>📊 БАЗОВЫЕ ПОКАЗАТЕЛИ (AS-IS):</t>
  </si>
  <si>
    <t>Категория капитала</t>
  </si>
  <si>
    <t>Объем, ₽</t>
  </si>
  <si>
    <t>C-508</t>
  </si>
  <si>
    <t>D-118 (ООО СтройХолдинг)</t>
  </si>
  <si>
    <t>1. Входящий поток лидов в месяц (шт):</t>
  </si>
  <si>
    <t>Попов</t>
  </si>
  <si>
    <t>650,000 ₽</t>
  </si>
  <si>
    <t>02:50</t>
  </si>
  <si>
    <t>Входящий лид</t>
  </si>
  <si>
    <t>C-509</t>
  </si>
  <si>
    <t>D-121 (ООО СпецМаш)</t>
  </si>
  <si>
    <t>420,000 ₽</t>
  </si>
  <si>
    <t>05:10</t>
  </si>
  <si>
    <t>Презентация КП</t>
  </si>
  <si>
    <t>C-510</t>
  </si>
  <si>
    <t>D-125 (ООО МегаТранс)</t>
  </si>
  <si>
    <t>450,000 ₽</t>
  </si>
  <si>
    <t>03:40</t>
  </si>
  <si>
    <t>Емкость базы (при 100% конверсии):</t>
  </si>
  <si>
    <t>ИТОГО ПОТЕРЬ И РИСКОВ ПО ЗВОНКАМ:</t>
  </si>
  <si>
    <t>7,750,000 ₽</t>
  </si>
  <si>
    <t>8.9 ср.</t>
  </si>
  <si>
    <t>6 сливов</t>
  </si>
  <si>
    <t>Фактическая выручка месяца</t>
  </si>
  <si>
    <t>Взвешенный пайплайн в работе</t>
  </si>
  <si>
    <t>Выявленная упущенная прибыль</t>
  </si>
  <si>
    <t>Потенциал выручки (To-Be)</t>
  </si>
  <si>
    <t>Ожидаемый чистый ROI</t>
  </si>
  <si>
    <t>Срок окупаемости проекта</t>
  </si>
  <si>
    <t>Факт выручки (As-Is)</t>
  </si>
  <si>
    <t>🚨 РЕЕСТР ДЕФЕКТОВ РЕЧИ: РАСШИФРОВАННЫЕ ЦИТАТЫ ИЗ РАЗГОВОРОВ И РЕШЕНИЯ РОПа</t>
  </si>
  <si>
    <t>Сделка / Контрагент</t>
  </si>
  <si>
    <t>Сумма в риске</t>
  </si>
  <si>
    <t>Критический дефект речи</t>
  </si>
  <si>
    <t>💬 Цитата из диалога (Расшифровка Whisper Large V3)</t>
  </si>
  <si>
    <t>2. Средний чек закрытой сделки (₽):</t>
  </si>
  <si>
    <t>🤖 Решение ИИ и Срочное действие РОПа</t>
  </si>
  <si>
    <t>D-109 (ООО «ПромКомплект»)</t>
  </si>
  <si>
    <t>Текущая конверсия в оплату (факт):</t>
  </si>
  <si>
    <t>Срыв контакта / грубость при цене</t>
  </si>
  <si>
    <t>Клиент: «Почему у вас смета на 15% выше рынка?» → Менеджер: «Не знаю, везде всё дорожает. Не устраивает — берите у конкурентов без гарантии»</t>
  </si>
  <si>
    <t>🚨 Экстренный звонок РОПа ЛПР до 12:00: принести извинения за консультацию, перехватить сделку, дать проект со спец-гарантией 24 мес.</t>
  </si>
  <si>
    <t>🔴 7 СМЕРТНЫХ ГРЕХОВ ОТДЕЛА ПРОДАЖ (АНАТОМИЯ СБОЕВ И ИХ УСТРАНЕНИЕ)</t>
  </si>
  <si>
    <t>D-106 (ООО «СнабСервис»)</t>
  </si>
  <si>
    <t>Упущенная прибыль ОП</t>
  </si>
  <si>
    <t>Звонков за вчера</t>
  </si>
  <si>
    <t>Смертный грех ОП (Системный сбой)</t>
  </si>
  <si>
    <t>Слив жесткого Next Step (в никуда)</t>
  </si>
  <si>
    <t>Симптом и диагностика в компании</t>
  </si>
  <si>
    <t>Объем базы в риске</t>
  </si>
  <si>
    <t>Упущенная выгода / Риск, ₽</t>
  </si>
  <si>
    <t>Менеджер: «Я вам КП на почту сбросила, посмотрите когда время будет». Клиент: «Хорошо, если что наберу»</t>
  </si>
  <si>
    <t>Приоритет</t>
  </si>
  <si>
    <t>Как закрывает наша платформа</t>
  </si>
  <si>
    <t>Диалогов с браком (&lt;9)</t>
  </si>
  <si>
    <t>Ожидаемый эффект</t>
  </si>
  <si>
    <t>3. Количество менеджеров в ОП (чел):</t>
  </si>
  <si>
    <t>Текущая выручка месяца (факт):</t>
  </si>
  <si>
    <t>Направить клиенту в WhatsApp 2 конкретных слота встречи (сегодня 16:00 / завтра 11:30) с демонстрацией интеграции с CRM.</t>
  </si>
  <si>
    <t>Сделок с угрозой срыва</t>
  </si>
  <si>
    <t>«Черный ящик» CRM: иллюзорный пайплайн</t>
  </si>
  <si>
    <t>Сумма в зоне риска прямо сейчас</t>
  </si>
  <si>
    <t>Потенциал кассы (To-Be)</t>
  </si>
  <si>
    <t>В CRM висит 5.3 млн ₽, но реальный взвешенный объем всего 2.6 млн ₽. Фаундер живет в иллюзии плана</t>
  </si>
  <si>
    <t>D-114 (ООО «АльфаТрейд»)</t>
  </si>
  <si>
    <t>Статус дня для РОПа</t>
  </si>
  <si>
    <t>Необоснованная скидка вместо ценности</t>
  </si>
  <si>
    <t>Клиент: «У нас бюджет строго ограничен». Менеджер: «Ну ладно, согласую вам скидку 10% прямо сейчас»</t>
  </si>
  <si>
    <t>Отраслевой сегмент компании:</t>
  </si>
  <si>
    <t>B2B Услуги / Производство</t>
  </si>
  <si>
    <t>Заблокировать выставление счета со скидкой в CRM. РОПу пересогласовать условия: скидка 5% только в обмен на 100% предоплату за 24ч.</t>
  </si>
  <si>
    <t>Нагрузка на одного менеджера (лидов):</t>
  </si>
  <si>
    <t>D-118 (ООО «СтройХолдинг»)</t>
  </si>
  <si>
    <t>Слив возражения «Я подумаю»</t>
  </si>
  <si>
    <t>🔴 P0 (Критический)</t>
  </si>
  <si>
    <t>Клиент: «Нам нужно всё обдумать и посоветоваться с руководством». Менеджер: «Да, конечно, думайте» (повесил трубку)</t>
  </si>
  <si>
    <t>Взвешенный прогноз воронки (SSOT) + исключение зомби-сделок</t>
  </si>
  <si>
    <t>100% точность прогноза Run-Rate без иллюзий</t>
  </si>
  <si>
    <t>Передать лида старшему КАМу. Отправить в WhatsApp отраслевой кейс с аналогичным объектом и окупаемостью за 21 день.</t>
  </si>
  <si>
    <t>«Кладбище сделок»: срыв регламентов SLA</t>
  </si>
  <si>
    <t>Сделки маринуются на этапе КП по 12–14 дней (норма 48ч). Вероятность закрытия падает на 45%</t>
  </si>
  <si>
    <t>D-125 (ООО «МегаТранс»)</t>
  </si>
  <si>
    <t>Режим автоответчика, не выявлен ЛПР</t>
  </si>
  <si>
    <t>Менеджер 5 минут зачитывал прайс-лист секретарю, не спросив, кто принимает решение по закупкам</t>
  </si>
  <si>
    <t>Разбор на летучке: регламент квалификации BANT. Назначить повторный звонок с прямым выходом на генерального директора.</t>
  </si>
  <si>
    <t>🔴 ВЫЯВЛЕННЫЙ РИСК ПОТЕРЬ</t>
  </si>
  <si>
    <t>🟢 КОНСЕРВАТИВНЫЙ (+15%)</t>
  </si>
  <si>
    <t>🚀 БАЗОВЫЙ ПЛАН (+30%)</t>
  </si>
  <si>
    <t>📋 ЭТАЛОННЫЙ СТАНДАРТ 13 КРИТЕРИЕВ ОЦЕНКИ B2B-ДИАЛОГОВ (WHISPER LARGE V3 + LLM SUPERVISOR)</t>
  </si>
  <si>
    <t>⭐ ОПТИМИСТИЧНЫЙ (+50%)</t>
  </si>
  <si>
    <t>Параметр оценки диалога</t>
  </si>
  <si>
    <t>Вес</t>
  </si>
  <si>
    <t>Что проверяет алгоритм ИИ (Суть критерия)</t>
  </si>
  <si>
    <t>Авторадар зависания сделок + эскалация РОПу на 3-й день</t>
  </si>
  <si>
    <t>Маркеры дефекта в речи (Почему сделка срывается)</t>
  </si>
  <si>
    <t>Coaching Tip: как обучить менеджера и защитить выручку</t>
  </si>
  <si>
    <t>Жёсткий Next Step</t>
  </si>
  <si>
    <t>2.0x</t>
  </si>
  <si>
    <t>Зафиксирована точная дата и время следующего контакта (календарный слот)</t>
  </si>
  <si>
    <t>РОП — «играющий тренер» и узкое горлышко</t>
  </si>
  <si>
    <t>РОП ведет 80% сделок и перегружен (нагрузка 80%), а КАМы простаивают с 4% загрузки. Сделки тухнут без внимания</t>
  </si>
  <si>
    <t>«Я вам наберу на днях», «Подумайте, позвоните», отпускание без дедлайна</t>
  </si>
  <si>
    <t>Внедрить обязательный вопрос: «Во вторник в 14:30 или в среду в 11:00 удобно?»</t>
  </si>
  <si>
    <t>Инициатива диалога</t>
  </si>
  <si>
    <t>1.0x</t>
  </si>
  <si>
    <t>🟡 P1 (Высокий)</t>
  </si>
  <si>
    <t>Менеджер ведёт диалог вопросами, держит сценарий, а не работает автоответчиком</t>
  </si>
  <si>
    <t>Клиент задает все вопросы сам, менеджер только пассивно отвечает</t>
  </si>
  <si>
    <t>Правило «Ответ + Встречный вопрос». Завершать каждую реплику вопросом.</t>
  </si>
  <si>
    <t>Квалификация ЛПР / ЛВПР</t>
  </si>
  <si>
    <t>1.5x</t>
  </si>
  <si>
    <t>Установлен статус собеседника: принимает ли решения по бюджету и согласованию</t>
  </si>
  <si>
    <t>Матрица емкости (Capacity Planning) + автоперелив сделок на КАМов</t>
  </si>
  <si>
    <t>Разгрузка РОПа на 60% для управления и коучинга</t>
  </si>
  <si>
    <t>Трата 40 минут на презентацию секретарю или инженеру без полномочий</t>
  </si>
  <si>
    <t>Менеджеры-автоответчики и слив звонков</t>
  </si>
  <si>
    <t>В 33% звонков не зафиксирован Next Step. Средний балл речи &lt; 9/13. Лиды уходят в «подумаю»</t>
  </si>
  <si>
    <t>«Кто кроме вас участвует в утверждении финансового бюджета проекта?»</t>
  </si>
  <si>
    <t>📊 РАСШИФРОВКА ФИНАНСОВЫХ УТЕЧЕК ПО 4 УЗКИМ МЕСТАМ</t>
  </si>
  <si>
    <t>Выявление болей и срочности</t>
  </si>
  <si>
    <t>1.2x</t>
  </si>
  <si>
    <t>Понятна ли бизнес-задача клиента, текущие потери и дедлайн решения проблемы</t>
  </si>
  <si>
    <t>Менеджер презентует продукт 'в лоб', не узнав реальную боль клиента</t>
  </si>
  <si>
    <t>Узкое место воронки продаж</t>
  </si>
  <si>
    <t>Отраслевой бенчмарк потерь</t>
  </si>
  <si>
    <t>Упущенная прибыль, ₽/мес</t>
  </si>
  <si>
    <t>Причина утечки</t>
  </si>
  <si>
    <t>Как закрываем за 14 дней</t>
  </si>
  <si>
    <t>Сначала диагностика по методологии SPIN/BANT, затем презентация под боль.</t>
  </si>
  <si>
    <t>13-факторная речевая аналитика + чек-листы BANT + мотивация от речи</t>
  </si>
  <si>
    <t>Отработка возражения «Дорого»</t>
  </si>
  <si>
    <t>Слив лидов на звонках (нет Next Step)</t>
  </si>
  <si>
    <t>Обоснование ценности, расчет ROI/окупаемости, рассрочка (без моментальной скидки)</t>
  </si>
  <si>
    <t>28% выручки теряется из-за ошибок менеджеров на звонках (бенчмарк 2026)</t>
  </si>
  <si>
    <t>Моментальная скидка при первом сомнении или согласие («Да, у нас недешево»)</t>
  </si>
  <si>
    <t>«Кладбище отказников» без реактивации</t>
  </si>
  <si>
    <t>Показать окупаемость: сколько клиент теряет каждый день без решения.</t>
  </si>
  <si>
    <t>1 млн ₽ списан в отказ (L1 «дорого», L2 «подумаю»). База брошена в архиве без повторного прогрева</t>
  </si>
  <si>
    <t>Отработка «Я подумаю»</t>
  </si>
  <si>
    <t>Вскрытие истинного сомнения клиента, а не молчаливое отпускание в архив</t>
  </si>
  <si>
    <t>«Хорошо, думайте, ждем звонка», закрытие звонка на неопределенности</t>
  </si>
  <si>
    <t>Менеджеры консультируют, но не закрывают на дату</t>
  </si>
  <si>
    <t>«Алексей, обычно говорят 'подумаю', если смущает цена или функционал. Что именно?»</t>
  </si>
  <si>
    <t>Agentic AI Recovery Engine: сегментация отказников + офферы даунсейла</t>
  </si>
  <si>
    <t>ИИ-аудит 100% звонков + чек-лист Next Step</t>
  </si>
  <si>
    <t>Возврат до 20–30% списанной выручки из архива</t>
  </si>
  <si>
    <t>Презентация через кейсы и цифры</t>
  </si>
  <si>
    <t>Приведение аналогичных проектов, оцифрованных результатов и сроков возврата</t>
  </si>
  <si>
    <t>Абстрактные фразы «мы надежные», «у нас качество» без реальных фактов</t>
  </si>
  <si>
    <t>Зависание сделок на этапе КП &gt; 48ч</t>
  </si>
  <si>
    <t>Зависшая дебиторка и кассовые разрывы</t>
  </si>
  <si>
    <t>Привести кейс: «Для компании X мы сократили цикл сделки на 14 дней».</t>
  </si>
  <si>
    <t>18% выручки теряется из-за просрочки follow-up</t>
  </si>
  <si>
    <t>Счета выставлены, но не оплачены (DSO &gt; 25 дней). 330к просрочки грозит кассовым разрывом</t>
  </si>
  <si>
    <t>8</t>
  </si>
  <si>
    <t>Попытка закрытия сделки</t>
  </si>
  <si>
    <t>Прямое предложение заключить договор, забронировать слот аудита или оплатить счет</t>
  </si>
  <si>
    <t>Разговор прошел тепло, но менеджер не предложил сделать шаг к оплате</t>
  </si>
  <si>
    <t>«Если все параметры подходят, предлагаю запустить пилот. Куда направить договор?»</t>
  </si>
  <si>
    <t>Платежный календарь DSO + триггерные AI-уведомления бухгалтерии клиента</t>
  </si>
  <si>
    <t>Сокращение срока дебиторки DSO с 27 до 7 дней</t>
  </si>
  <si>
    <t>Слив маркетинга и война с отделом продаж</t>
  </si>
  <si>
    <t>Google Ads слил 85 000 ₽ с ROMI -100% (0 оплат). Деньги сожжены без сквозного контроля окупаемости</t>
  </si>
  <si>
    <t>Клиент остывает, пока менеджер ждет звонка</t>
  </si>
  <si>
    <t>Регламент приветствия и повестка</t>
  </si>
  <si>
    <t>0.8x</t>
  </si>
  <si>
    <t>🟢 P2 (Стандарт)</t>
  </si>
  <si>
    <t>Представление имени, компании, уточнение времени и согласование цели звонка</t>
  </si>
  <si>
    <t>Авторадар SLA 48ч + эскалация РОПу на 3-й день</t>
  </si>
  <si>
    <t>Невнятное приветствие, вопрос «Удобно говорить?» без обозначения повестки</t>
  </si>
  <si>
    <t>Брошенные отказники без дожима (L1-L4)</t>
  </si>
  <si>
    <t>12% — потенциал реактивации списанных отказников CRM</t>
  </si>
  <si>
    <t>«Добрый день! Дмитрий, RevOps. Звоню по аудиту воронки. Уделите 5 минут?»</t>
  </si>
  <si>
    <t>Сквозная RevOps-атрибуция W-Shaped: автоотключение убыточных связок</t>
  </si>
  <si>
    <t>Экономия рекламного бюджета + перелив в прибыльный Контур/Директ</t>
  </si>
  <si>
    <t>Сделки списаны в архив без реактивации</t>
  </si>
  <si>
    <t>AI Recovery Engine: автодожим в WhatsApp/TG</t>
  </si>
  <si>
    <t>10</t>
  </si>
  <si>
    <t>Чистота речи и уверенность</t>
  </si>
  <si>
    <t>Зависшая дебиторка и задержка оплат</t>
  </si>
  <si>
    <t>10% выставленных счетов зависают на согласовании (DSO)</t>
  </si>
  <si>
    <t>Отсутствие слов-паразитов, пауз и извиняющихся интонаций при чеке</t>
  </si>
  <si>
    <t>ИТОГО ВЫЯВЛЕННЫХ ПОТЕРЬ И РИСКОВ В МЕСЯЦ:</t>
  </si>
  <si>
    <t>Дрожащий голос при озвучивании цены, слова неуверенности («наверное», «может»)</t>
  </si>
  <si>
    <t>Отработать блок цены на тренажере: уверенная пауза после суммы.</t>
  </si>
  <si>
    <t>Нет платежного календаря и контроля сроков</t>
  </si>
  <si>
    <t>11</t>
  </si>
  <si>
    <t>Слушание клиента (Talk/Listen)</t>
  </si>
  <si>
    <t>Платежный календарь DSO + автонапоминания</t>
  </si>
  <si>
    <t>Менеджер слушает клиента не менее 45–50% общего времени разговора</t>
  </si>
  <si>
    <t>Монолог менеджера &gt; 70% времени: клиент молчит и теряет внимание</t>
  </si>
  <si>
    <t>Суть проблемы и симптом</t>
  </si>
  <si>
    <t>ИТОГО ПОТЕРЬ</t>
  </si>
  <si>
    <t>Потенциал возврата в кассу</t>
  </si>
  <si>
    <t>Окупаемость за счет устранения узких мест</t>
  </si>
  <si>
    <t>Срочное действие РОПа (Что сделать)</t>
  </si>
  <si>
    <t>Держать баланс 50/50. Задавать открытые вопросы и слушать клиента.</t>
  </si>
  <si>
    <t>Чекбокс</t>
  </si>
  <si>
    <t>ИТОГО УПУЩЕННОЙ ПРИБЫЛИ В МЕСЯЦ:</t>
  </si>
  <si>
    <t>🤖 Сгенерированный оффер ИИ-дожима (WhatsApp / Скрипт РОПа)</t>
  </si>
  <si>
    <t>🚀 ЭКОНОМИКА ПРОЕКТА ОПТИМИЗАЦИИ И СРОК ОКУПАЕМОСТИ ДЛЯ КЛИЕНТА</t>
  </si>
  <si>
    <t>Фиксация договорённостей</t>
  </si>
  <si>
    <t>Резюмирование договоренностей перед завершением: кто, что и когда делает</t>
  </si>
  <si>
    <t>Диалог оборвался, у клиента и менеджера разное понимание шагов</t>
  </si>
  <si>
    <t>«Резюмирую: я отправляю КП в WhatsApp до 15:00, а завтра в 11:00 мы созваниваемся».</t>
  </si>
  <si>
    <t>Параметр экономики проекта</t>
  </si>
  <si>
    <t>Сделка D-104 (ООО «Вектор Плюс»)</t>
  </si>
  <si>
    <t>ПОТЕНЦИАЛ БЫСТРОГО ВОЗВРАТА:</t>
  </si>
  <si>
    <t>Значение</t>
  </si>
  <si>
    <t>Защита маржинальности</t>
  </si>
  <si>
    <t>Комментарий и логика расчета</t>
  </si>
  <si>
    <t>Отсутствие необоснованных скидок без встречных уступок по объему или предоплате</t>
  </si>
  <si>
    <t>Стоимость проекта оптимизации ОП</t>
  </si>
  <si>
    <t>Фиксированная стоимость внедрения (4 недели спринтов)</t>
  </si>
  <si>
    <t>Ожидаемый возврат выручки (M1 факт)</t>
  </si>
  <si>
    <t>Раздача скидок из маржи без требования 100% оплаты или большего объема</t>
  </si>
  <si>
    <t>Скидка только в обмен: «Готовы дать 5% при оплате счета в течение 24 часов».</t>
  </si>
  <si>
    <t>Зависание на этапе КП: 12 дней без ответа (норма 48ч)</t>
  </si>
  <si>
    <t>Консервативный ориентир: устранение всего 30% найденных узких мест</t>
  </si>
  <si>
    <t>Чистая прибыль собственника за вычетом услуг</t>
  </si>
  <si>
    <t>🎁 СЛЕДУЮЩИЙ ШАГ: БЕСПЛАТНЫЙ ТЕСТ-ДРАЙВ НА 3 ВАШИХ ЗВОНКАХ</t>
  </si>
  <si>
    <t>Чистый денежный плюс в кассе компании в первый же месяц</t>
  </si>
  <si>
    <t>Хотите проверить эту математику на реальных данных вашей компании за 15 минут?</t>
  </si>
  <si>
    <t>💰 ЭКОНОМИЧЕСКИЙ ЭФФЕКТ РЕЧЕВОЙ АНАЛИТИКИ (ROI ВНЕДРЕНИЯ И ОКУПАЕМОСТЬ)</t>
  </si>
  <si>
    <t>Чистый ROI инвестиций в проект</t>
  </si>
  <si>
    <t>Параметр эффекта речевой аналитики</t>
  </si>
  <si>
    <t>👉 Отправьте 3 аудиозаписи любых вчерашних звонков ваших менеджеров в Telegram.</t>
  </si>
  <si>
    <t>🔴 КРИТИЧЕСКИЙ</t>
  </si>
  <si>
    <t>ИИ бесплатно разберет их по 13 критериям, покажет ошибки речи и рассчитает точную сумму под угрозой слива.</t>
  </si>
  <si>
    <t>Комментарий и логика окупаемости</t>
  </si>
  <si>
    <t>Запросить статус у КАМа Петрова, согласовать скидку/рассрочку</t>
  </si>
  <si>
    <t>Процент отдачи на каждый вложенный рубль</t>
  </si>
  <si>
    <t>Срок полной окупаемости проекта</t>
  </si>
  <si>
    <t>В РАБОТЕ</t>
  </si>
  <si>
    <t>Текущие потери от брака звонков в месяц (As-Is)</t>
  </si>
  <si>
    <t>1,382,500 ₽</t>
  </si>
  <si>
    <t>Количество дней работы ОП до полной окупаемости чека внедрения</t>
  </si>
  <si>
    <t>Сливы на этапе первичного звонка из-за отсутствия Next Step и слабой отработки возражений</t>
  </si>
  <si>
    <t>👉 УТВЕРДИТЬ ПРОЕКТ ОПТИМИЗАЦИИ И СФОРМИРОВАТЬ ИНВОЙС (450 000 ₽)</t>
  </si>
  <si>
    <t>Ожидаемый возврат выручки в кассу (M1 To-Be)</t>
  </si>
  <si>
    <t>414,750 ₽</t>
  </si>
  <si>
    <t>Консервативный сценарий: устранение всего 30% выявленных дефектов речи</t>
  </si>
  <si>
    <t>Стоимость модуля речевого ИИ-супервайзера</t>
  </si>
  <si>
    <t>В составе комплексного 4-недельного спринта оптимизации отдела продаж</t>
  </si>
  <si>
    <t>Звонок C-505 / Сделка D-109 (ООО «ПромКомплект»)</t>
  </si>
  <si>
    <t>Чистая прибыль компании от внедрения в первый месяц</t>
  </si>
  <si>
    <t>264,750 ₽</t>
  </si>
  <si>
    <t>Менеджер сорвал контакт (балл речи 2/13), клиент ушел в отказ</t>
  </si>
  <si>
    <t>🔒 Безопасный B2B-расчет: безналичный платеж по счету (УПД / Диадок) • 152-ФЗ РФ • Старт спринта за 24 часа</t>
  </si>
  <si>
    <t>🔒 Конфиденциально • Без передачи персональных данных • Экспресс-разбор за 15 минут (152-ФЗ РФ)</t>
  </si>
  <si>
    <t>Чистый денежный плюс в кассе компании уже в первый месяц работы</t>
  </si>
  <si>
    <t>Чистый ROI речевой аналитики</t>
  </si>
  <si>
    <t>276%</t>
  </si>
  <si>
    <t>Личный звонок РОПа ЛПР до 12:00: перехват сделки от лица руководства</t>
  </si>
  <si>
    <t>Отдача на каждый вложенный рубль в первый месяц</t>
  </si>
  <si>
    <t>Срок полной окупаемости модуля</t>
  </si>
  <si>
    <t>11 дней</t>
  </si>
  <si>
    <t>Количество рабочих дней до полной окупаемости внедрения речевого ИИ</t>
  </si>
  <si>
    <t>Звонок C-503 / Сделка D-106 (ООО «СнабСервис»)</t>
  </si>
  <si>
    <t>В диалоге не зафиксирована дата встречи (балл речи 6/13)</t>
  </si>
  <si>
    <t>🟡 СРЕДНИЙ</t>
  </si>
  <si>
    <t>Поставить задачу менеджеру Петрову: перезвонить и назначить слот встречи</t>
  </si>
  <si>
    <t>Сделка D-107 (ООО «ТехноПром»)</t>
  </si>
  <si>
    <t>Счет просрочен на 9 дней (сумма 150 000 ₽)</t>
  </si>
  <si>
    <t>Отправить триггерное напоминание в WhatsApp бухгалтеру клиента</t>
  </si>
  <si>
    <t>Сделка D-103 (ООО «ИнвестХолдинг»)</t>
  </si>
  <si>
    <t>Нагрузка 80%, 4 ключевые сделки висят на РОПе</t>
  </si>
  <si>
    <t>Делегировать 2 входящие сделки на КАМа (у КАМа загрузка всего 4%)</t>
  </si>
  <si>
    <t>ИТОГО ДЕНЕГ В ЗОНЕ РИСКА СЕГОДНЯ:</t>
  </si>
  <si>
    <t>СПАСЕННАЯ ВЫРУЧКА:</t>
  </si>
  <si>
    <t>При выполнении всех 5 действий</t>
  </si>
  <si>
    <t>100% защита</t>
  </si>
  <si>
    <t>⏱️ ЭКСПРЕСС-РЕГЛАМЕНТ РОПа (15 МИНУТ/ДЕНЬ)</t>
  </si>
  <si>
    <t>09:00 - 09:05</t>
  </si>
  <si>
    <t>Проверка ночного ИИ-аудита: 2 звонка с браком (&lt;9 баллов)</t>
  </si>
  <si>
    <t>09:05 - 09:10</t>
  </si>
  <si>
    <t>Перехват сделки D-109 (600 т.р.) и звонок ЛПР до 12:00</t>
  </si>
  <si>
    <t>09:10 - 09:13</t>
  </si>
  <si>
    <t>Согласование спецусловий по D-104 (850 т.р.)</t>
  </si>
  <si>
    <t>09:13 - 09:15</t>
  </si>
  <si>
    <t>Делегирование 2 сделок с РОПа на свободного КАМа</t>
  </si>
  <si>
    <t>Результат:</t>
  </si>
  <si>
    <t>2 730 000 ₽ защищено от слива за 15 минут</t>
  </si>
  <si>
    <t>⚙️ СИСТЕМНЫЕ КОНФИГУРАЦИИ И РЕЕСТР ДОПУЩЕНИЙ REVOPS OS PRO V17.6 (GOLDEN MASTER)</t>
  </si>
  <si>
    <t>touch_id</t>
  </si>
  <si>
    <t>deal_id</t>
  </si>
  <si>
    <t>client_id</t>
  </si>
  <si>
    <t>touch_date</t>
  </si>
  <si>
    <t>channel</t>
  </si>
  <si>
    <t>campaign_id</t>
  </si>
  <si>
    <t>touch_stage</t>
  </si>
  <si>
    <t>weight_pct</t>
  </si>
  <si>
    <t>📄 REVOPS ENTERPRISE EXECUTIVE ONE-PAGER (УПРАВЛЕНЧЕСКИЙ ДАЙДЖЕСТ РУКОВОДСТВА)</t>
  </si>
  <si>
    <t>deal_amount</t>
  </si>
  <si>
    <t>is_won</t>
  </si>
  <si>
    <t>attributed_won_rev</t>
  </si>
  <si>
    <t>pipeline_attr_val</t>
  </si>
  <si>
    <t>synced_at</t>
  </si>
  <si>
    <t>data_snapshot_date</t>
  </si>
  <si>
    <t>data_version</t>
  </si>
  <si>
    <t>uploaded_by</t>
  </si>
  <si>
    <t>upload_hash</t>
  </si>
  <si>
    <t>TP-101</t>
  </si>
  <si>
    <t>D-101</t>
  </si>
  <si>
    <t>ga_11</t>
  </si>
  <si>
    <t>Органика SEO</t>
  </si>
  <si>
    <t>cmp_seo</t>
  </si>
  <si>
    <t>1. First Touch</t>
  </si>
  <si>
    <t>Организация</t>
  </si>
  <si>
    <t>RevOps Enterprise</t>
  </si>
  <si>
    <t>🔑 TENANT UUID:</t>
  </si>
  <si>
    <t>TENANT-MASTER-001</t>
  </si>
  <si>
    <t>(Мастер-шаблон)</t>
  </si>
  <si>
    <t>Валюта системы</t>
  </si>
  <si>
    <t>RUB (₽)</t>
  </si>
  <si>
    <t>🏢 ТЕНАНТ / КОМПАНИЯ:</t>
  </si>
  <si>
    <t>Golden Master Template</t>
  </si>
  <si>
    <t>(Пространство вендора)</t>
  </si>
  <si>
    <t>Версия архитектуры</t>
  </si>
  <si>
    <t>RevOps Enterprise OS V17.6 Production Suite</t>
  </si>
  <si>
    <t>⚡ БЫСТРЫЙ ВЫБОР ПЕРИОДА</t>
  </si>
  <si>
    <t>🔒 СТАТУС RBAC:</t>
  </si>
  <si>
    <t>🛡️ Hardware Enforcement (Protected Sheets)</t>
  </si>
  <si>
    <t>(Защищено через API)</t>
  </si>
  <si>
    <t>Период: начало</t>
  </si>
  <si>
    <t>01.10.2026</t>
  </si>
  <si>
    <t>Текущий месяц</t>
  </si>
  <si>
    <t>Период: конец</t>
  </si>
  <si>
    <t>31.10.2026</t>
  </si>
  <si>
    <t>(автозаполнение B6 и B7)</t>
  </si>
  <si>
    <t>Дата старта проекта</t>
  </si>
  <si>
    <t>👥 ПЕРСОНАЛЬНЫЙ МАППИНГ РОЛЕЙ ПО EMAIL (MULTI-USER RBAC)</t>
  </si>
  <si>
    <t>План выручки на месяц</t>
  </si>
  <si>
    <t>Enterprise Multi-Tenant V17.6</t>
  </si>
  <si>
    <t>TP-102</t>
  </si>
  <si>
    <t>🏢 Холдинг (Все филиалы)</t>
  </si>
  <si>
    <t>Статус контура:</t>
  </si>
  <si>
    <t>🟢 152-ФЗ РФ Compliant (Аттестован)</t>
  </si>
  <si>
    <t>СЕССИЯ ПЛАНИРОВАНИЯ:</t>
  </si>
  <si>
    <t>Яндекс Директ</t>
  </si>
  <si>
    <t>cmp_yd</t>
  </si>
  <si>
    <t>2. Lead Creation</t>
  </si>
  <si>
    <t>🟢 Готова к работе (Свободна)</t>
  </si>
  <si>
    <t>Корпоративный Email</t>
  </si>
  <si>
    <t>Назначенная роль</t>
  </si>
  <si>
    <t>Целевой Landing-дашборд</t>
  </si>
  <si>
    <t>👤 РОЛЬ В СИСТЕМЕ:</t>
  </si>
  <si>
    <t>client_name</t>
  </si>
  <si>
    <t>amount</t>
  </si>
  <si>
    <t>stage_id</t>
  </si>
  <si>
    <t>stage_name</t>
  </si>
  <si>
    <t>created_date</t>
  </si>
  <si>
    <t>stage_changed_date</t>
  </si>
  <si>
    <t>manager_id</t>
  </si>
  <si>
    <t>segment_code</t>
  </si>
  <si>
    <t>lead_source</t>
  </si>
  <si>
    <t>scoring_tier</t>
  </si>
  <si>
    <t>loss_code</t>
  </si>
  <si>
    <t>is_lost</t>
  </si>
  <si>
    <t>days_in_stage</t>
  </si>
  <si>
    <t>aging_cohort</t>
  </si>
  <si>
    <t>weighted_val</t>
  </si>
  <si>
    <t>cycle_days</t>
  </si>
  <si>
    <t>utm_source</t>
  </si>
  <si>
    <t>utm_medium</t>
  </si>
  <si>
    <t>utm_campaign</t>
  </si>
  <si>
    <t>yclid</t>
  </si>
  <si>
    <t>gclid</t>
  </si>
  <si>
    <t>👑 CEO</t>
  </si>
  <si>
    <t>TP-103</t>
  </si>
  <si>
    <t>Партнеры</t>
  </si>
  <si>
    <t>next_action_type</t>
  </si>
  <si>
    <t>🎯 ВЫБОР ФОКУСА ДАННЫХ:</t>
  </si>
  <si>
    <t>cmp_ref</t>
  </si>
  <si>
    <t>next_action_date</t>
  </si>
  <si>
    <t>3. Middle Nurture</t>
  </si>
  <si>
    <t>next_action_owner</t>
  </si>
  <si>
    <t>next_action_channel</t>
  </si>
  <si>
    <t>next_action_health</t>
  </si>
  <si>
    <t>deal_health_score</t>
  </si>
  <si>
    <t>Авто (По умолчанию роли)</t>
  </si>
  <si>
    <t>👥 ФИЛЬТР СОТРУДНИКА:</t>
  </si>
  <si>
    <t>ООО "Альфа Трейд"</t>
  </si>
  <si>
    <t>👥 Весь отдел продаж (Сводно)</t>
  </si>
  <si>
    <t>6. Успешно реализовано</t>
  </si>
  <si>
    <t>РЕЖИМ ЭКСПЛУАТАЦИИ:</t>
  </si>
  <si>
    <t>👥 Multi-User (Персональные фильтры)</t>
  </si>
  <si>
    <t>SEG1</t>
  </si>
  <si>
    <t>A</t>
  </si>
  <si>
    <t>TP-104</t>
  </si>
  <si>
    <t>ceo@company.com</t>
  </si>
  <si>
    <t>Google Ads</t>
  </si>
  <si>
    <t>cmp_ga</t>
  </si>
  <si>
    <t>4. Deal Close</t>
  </si>
  <si>
    <t>📄 Executive_OnePager</t>
  </si>
  <si>
    <t>Stage ID</t>
  </si>
  <si>
    <t>Название этапа воронки</t>
  </si>
  <si>
    <t>SLA норматив (ч)</t>
  </si>
  <si>
    <t>Вероятность (Win %)</t>
  </si>
  <si>
    <t>rop@company.com</t>
  </si>
  <si>
    <t>📋 РОП</t>
  </si>
  <si>
    <t>📋 Пульт_РОПа_15_Минут</t>
  </si>
  <si>
    <t>1. Новый лид</t>
  </si>
  <si>
    <t>kam@company.com</t>
  </si>
  <si>
    <t>💼 KAM</t>
  </si>
  <si>
    <t>⚡ Пульс_Компании</t>
  </si>
  <si>
    <t>2. Квалификация / ЛПР</t>
  </si>
  <si>
    <t>sdr@company.com</t>
  </si>
  <si>
    <t>📞 SDR</t>
  </si>
  <si>
    <t>3. Встреча / Демо</t>
  </si>
  <si>
    <t>cmo@company.com</t>
  </si>
  <si>
    <t>🌐 CMO</t>
  </si>
  <si>
    <t>🌐 Маркетинг_и_Трафик</t>
  </si>
  <si>
    <t>4. КП и согласование</t>
  </si>
  <si>
    <t>cfo@company.com</t>
  </si>
  <si>
    <t>Выручка (Факт Closed-Won)</t>
  </si>
  <si>
    <t>💳 CFO</t>
  </si>
  <si>
    <t>💳 Финансы_и_AI_Дожим</t>
  </si>
  <si>
    <t>TP-105</t>
  </si>
  <si>
    <t>5. Счет выставлен</t>
  </si>
  <si>
    <t>D-102</t>
  </si>
  <si>
    <t>ga_12</t>
  </si>
  <si>
    <t>Контур.Фокус</t>
  </si>
  <si>
    <t>cmp_kf</t>
  </si>
  <si>
    <t>admin@company.com</t>
  </si>
  <si>
    <t>🔧 Admin</t>
  </si>
  <si>
    <t>% Выполнения плана</t>
  </si>
  <si>
    <t>⚙️ Настройки</t>
  </si>
  <si>
    <t>Взвешенный прогноз (SSOT)</t>
  </si>
  <si>
    <t>Run-Rate касса (Прогноз)</t>
  </si>
  <si>
    <t>Активный пайплайн в работе</t>
  </si>
  <si>
    <t>Сделок под угрозой SLA</t>
  </si>
  <si>
    <t>Качество речи ОП (ИИ)</t>
  </si>
  <si>
    <t>Data Quality Index</t>
  </si>
  <si>
    <t>7. Закрыто и не реализовано</t>
  </si>
  <si>
    <t>ID</t>
  </si>
  <si>
    <t>Сотрудник</t>
  </si>
  <si>
    <t>Роль</t>
  </si>
  <si>
    <t>Лимит открытых сделок</t>
  </si>
  <si>
    <t>Статус емкости</t>
  </si>
  <si>
    <t>Иванов Дмитрий (РОП)</t>
  </si>
  <si>
    <t>ROP</t>
  </si>
  <si>
    <t>Жесткий лимит</t>
  </si>
  <si>
    <t>Петров Александр (КАМ)</t>
  </si>
  <si>
    <t>KAM</t>
  </si>
  <si>
    <t>Норма</t>
  </si>
  <si>
    <t>Сидоров Роман (SDR)</t>
  </si>
  <si>
    <t>SDR</t>
  </si>
  <si>
    <t>TP-106</t>
  </si>
  <si>
    <t>Козлов Алексей (SDR-2)</t>
  </si>
  <si>
    <t>Код срыва</t>
  </si>
  <si>
    <t>Причина отказа</t>
  </si>
  <si>
    <t>Вероятность реактивации</t>
  </si>
  <si>
    <t>L1</t>
  </si>
  <si>
    <t>Дорого / нет бюджета</t>
  </si>
  <si>
    <t>L2</t>
  </si>
  <si>
    <t>Выбрали конкурента</t>
  </si>
  <si>
    <t>L3</t>
  </si>
  <si>
    <t>Не формат / нет потребности</t>
  </si>
  <si>
    <t>L4</t>
  </si>
  <si>
    <t>Потеря контакта / недозвон</t>
  </si>
  <si>
    <t>TP-107</t>
  </si>
  <si>
    <t>📊 ВОРОНКА ПРОДАЖ &amp; УЗКИЕ ГОРЛЫШКИ (AS-IS)</t>
  </si>
  <si>
    <t>🚨 ТОП-5 КРИТИЧЕСКИХ РИСКОВ ВЫРУЧКИ (ACTION CENTER)</t>
  </si>
  <si>
    <t>📦 МОДУЛЬНЫЙ КОНСТРУКТОР ТАРИФОВ И РАСШИРЕНИЙ (FEATURE FLAGS)</t>
  </si>
  <si>
    <t>Этап сделки</t>
  </si>
  <si>
    <t>yandex</t>
  </si>
  <si>
    <t>cpc</t>
  </si>
  <si>
    <t>Код модуля</t>
  </si>
  <si>
    <t>Сделок</t>
  </si>
  <si>
    <t>retarget_b2b</t>
  </si>
  <si>
    <t>yclid_101</t>
  </si>
  <si>
    <t>Проблема &amp; Симптом</t>
  </si>
  <si>
    <t>Название модуля платформы RevOps</t>
  </si>
  <si>
    <t>Срочное действие РОПа</t>
  </si>
  <si>
    <t>Статус модуля</t>
  </si>
  <si>
    <t>Уровень тарифа</t>
  </si>
  <si>
    <t>Плата, ₽/мес</t>
  </si>
  <si>
    <t>MOD-01</t>
  </si>
  <si>
    <t>🎙️ Речевой ИИ-Супервайзер 100% звонков (Whisper + DeepSeek)</t>
  </si>
  <si>
    <t>ВКЛЮЧЕН</t>
  </si>
  <si>
    <t>Light</t>
  </si>
  <si>
    <t>29,000 ₽</t>
  </si>
  <si>
    <t>TP-108</t>
  </si>
  <si>
    <t>MOD-02</t>
  </si>
  <si>
    <t>⚡ Мгновенные алерты в Telegram (30с со сценарием спасения)</t>
  </si>
  <si>
    <t>Pro</t>
  </si>
  <si>
    <t>15,000 ₽</t>
  </si>
  <si>
    <t>D-104</t>
  </si>
  <si>
    <t>MOD-03</t>
  </si>
  <si>
    <t>🤖 Автозаполнение CRM (Executive Summary + договоренности)</t>
  </si>
  <si>
    <t>19,000 ₽</t>
  </si>
  <si>
    <t>MOD-04</t>
  </si>
  <si>
    <t>🛡️ Пакет «Антисаботаж» и Режим «Адвокат менеджера»</t>
  </si>
  <si>
    <t>MOD-05</t>
  </si>
  <si>
    <t>🎯 Контроль 13 B2B-стандартов речи и жесткого Next Step</t>
  </si>
  <si>
    <t>25,000 ₽</t>
  </si>
  <si>
    <t>MOD-06</t>
  </si>
  <si>
    <t>📊 Пульт РОПа 15 минут: утренний радар сливов и лидерборд</t>
  </si>
  <si>
    <t>35,000 ₽</t>
  </si>
  <si>
    <t>MOD-07</t>
  </si>
  <si>
    <t>🔐 Контур безопасности 152-ФЗ и токенизация биометрии</t>
  </si>
  <si>
    <t>Enterprise</t>
  </si>
  <si>
    <t>MOD-08</t>
  </si>
  <si>
    <t>📄 Executive OnePager генератор для Собственника и CFO</t>
  </si>
  <si>
    <t>20,000 ₽</t>
  </si>
  <si>
    <t>TP-109</t>
  </si>
  <si>
    <t>ga_14</t>
  </si>
  <si>
    <t>⚡ БЕНЧМАРКИ И НОРМАТИВЫ ПОТЕРЬ (ФИНАНСОВЫЙ КАЛЬКУЛЯТОР)</t>
  </si>
  <si>
    <t>СУММАРНЫЙ MRR:</t>
  </si>
  <si>
    <t>D-103</t>
  </si>
  <si>
    <t>183,000 ₽</t>
  </si>
  <si>
    <t>Параметр бенчмарка</t>
  </si>
  <si>
    <t>Комментарий</t>
  </si>
  <si>
    <t>Потери на браке речи (% от выручки)</t>
  </si>
  <si>
    <t>28% потенциальной выручки теряется из-за ошибок менеджеров на звонках</t>
  </si>
  <si>
    <t>Потери на зависание КП (% от выручки)</t>
  </si>
  <si>
    <t>18% выручки теряется при отправке КП на «кладбище почты» без Next Step</t>
  </si>
  <si>
    <t>АО "Северсталь Ресурс"</t>
  </si>
  <si>
    <t>Потери спящих отказников CRM (% от выручки)</t>
  </si>
  <si>
    <t>12% — потенциал реактивации списанных отказных сделок</t>
  </si>
  <si>
    <t>D-109</t>
  </si>
  <si>
    <t>TP-110</t>
  </si>
  <si>
    <t>Просрочка оплат и счетов — DSO (% от выручки)</t>
  </si>
  <si>
    <t>10% выставленных счетов зависают на согласовании без пуша</t>
  </si>
  <si>
    <t>Конверсия воронки в оплату (факт)</t>
  </si>
  <si>
    <t>Текущая конверсия из нового лида в оплаченный счет (4.5%)</t>
  </si>
  <si>
    <t>Коэффициент возврата потерь (To-Be)</t>
  </si>
  <si>
    <t>35% выявленных сливов гарантированно спасается в первый месяц</t>
  </si>
  <si>
    <t>D-106</t>
  </si>
  <si>
    <t>🤖 ИНТЕГРАЦИЯ С TELEGRAM BOT API</t>
  </si>
  <si>
    <t>BOT_TOKEN</t>
  </si>
  <si>
    <t>placeholder_bot_token_env</t>
  </si>
  <si>
    <t>ROP_CHAT_ID</t>
  </si>
  <si>
    <t>CEO_CHAT_ID</t>
  </si>
  <si>
    <t>TP-111</t>
  </si>
  <si>
    <t>TEAM_CHAT_ID</t>
  </si>
  <si>
    <t>DISPATCHER_SCHEDULE</t>
  </si>
  <si>
    <t>Каждый час (L1/L2/L3) + 09:15 (Утренний пульс)</t>
  </si>
  <si>
    <t>DISPATCHER_STATUS</t>
  </si>
  <si>
    <t>🟢 ACTIVE (Триггер: каждый час + 09:15)</t>
  </si>
  <si>
    <t>D-107</t>
  </si>
  <si>
    <t>kontur</t>
  </si>
  <si>
    <t>cold</t>
  </si>
  <si>
    <t>cold_parsing</t>
  </si>
  <si>
    <t>TP-112</t>
  </si>
  <si>
    <t>D-105</t>
  </si>
  <si>
    <t>ga_15</t>
  </si>
  <si>
    <t>🎯 ГЛАВНЫЙ ФОКУС РУКОВОДСТВА ДО КОНЦА МЕСЯЦА: Перехват сделки D-104 (850 000 ₽) и перераспределение 3 лидов с перегруженного РОПа на КАМов.</t>
  </si>
  <si>
    <t>ИП Смирнов О.В.</t>
  </si>
  <si>
    <t>SEG2</t>
  </si>
  <si>
    <t>ga_13</t>
  </si>
  <si>
    <t>B</t>
  </si>
  <si>
    <t>TP-113</t>
  </si>
  <si>
    <t>google</t>
  </si>
  <si>
    <t>search_brand</t>
  </si>
  <si>
    <t>gclid_103</t>
  </si>
  <si>
    <t>TP-111B</t>
  </si>
  <si>
    <t>счёт</t>
  </si>
  <si>
    <t>phone</t>
  </si>
  <si>
    <t>ООО "Вектор Плюс"</t>
  </si>
  <si>
    <t>КП</t>
  </si>
  <si>
    <t>email</t>
  </si>
  <si>
    <t>ООО "Глобал Инвест"</t>
  </si>
  <si>
    <t>partner</t>
  </si>
  <si>
    <t>referral</t>
  </si>
  <si>
    <t>ref_network</t>
  </si>
  <si>
    <t>meeting</t>
  </si>
  <si>
    <t>ООО "СнабСервис"</t>
  </si>
  <si>
    <t>ga_16</t>
  </si>
  <si>
    <t>call_id</t>
  </si>
  <si>
    <t>call_date</t>
  </si>
  <si>
    <t>duration_sec</t>
  </si>
  <si>
    <t>call_type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</si>
  <si>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</si>
  <si>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</si>
  <si>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</si>
  <si>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</si>
  <si>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</si>
  <si>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</si>
  <si>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</si>
  <si>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</si>
  <si>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</si>
  <si>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</si>
  <si>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</si>
  <si>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</si>
  <si>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</si>
  <si>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total_score</t>
  </si>
  <si>
    <t>next_step_flag</t>
  </si>
  <si>
    <t>error_summary</t>
  </si>
  <si>
    <t>search_rf</t>
  </si>
  <si>
    <t>ai_recommendation</t>
  </si>
  <si>
    <t>yclid_106</t>
  </si>
  <si>
    <t>встреча</t>
  </si>
  <si>
    <t>qualification</t>
  </si>
  <si>
    <t>Без дефектов</t>
  </si>
  <si>
    <t>Эталонный скрипт</t>
  </si>
  <si>
    <t>negotiation</t>
  </si>
  <si>
    <t>ИП Николаев А.С.</t>
  </si>
  <si>
    <t>Слабая отработка цены</t>
  </si>
  <si>
    <t>Предложить рассрочку</t>
  </si>
  <si>
    <t>meeting_confirm</t>
  </si>
  <si>
    <t>ga_17</t>
  </si>
  <si>
    <t>C</t>
  </si>
  <si>
    <t>Нет фиксации даты</t>
  </si>
  <si>
    <t>Закрывать на конкретный слот</t>
  </si>
  <si>
    <t>Не выявлен бюджет</t>
  </si>
  <si>
    <t>Уточнить вилку затрат</t>
  </si>
  <si>
    <t>lost</t>
  </si>
  <si>
    <t>Срыв контакта</t>
  </si>
  <si>
    <t>Передать в автодожим WhatsApp</t>
  </si>
  <si>
    <t>D-108</t>
  </si>
  <si>
    <t>cold_inbound</t>
  </si>
  <si>
    <t>Быстрый перевод на этап встречи</t>
  </si>
  <si>
    <t>organic</t>
  </si>
  <si>
    <t>search</t>
  </si>
  <si>
    <t>seo_blog</t>
  </si>
  <si>
    <t>звонок</t>
  </si>
  <si>
    <t>🌐 МУЛЬТИКАНАЛЬНАЯ АТРИБУЦИЯ ВЫРУЧКИ: W-SHAPED REVENUE ENGINE (V17.6)</t>
  </si>
  <si>
    <t>ООО "Ритейл Групп"</t>
  </si>
  <si>
    <t>Выручка Closed-Won</t>
  </si>
  <si>
    <t>ga_18</t>
  </si>
  <si>
    <t>Маркетинговый бюджет</t>
  </si>
  <si>
    <t>W-Shaped ROMI</t>
  </si>
  <si>
    <t>Первое касание (Opener)</t>
  </si>
  <si>
    <t>Закрывающее (Closer)</t>
  </si>
  <si>
    <t>Взвешенный пайплайн W</t>
  </si>
  <si>
    <t>Контур.Фокус / SEO</t>
  </si>
  <si>
    <t>Google Ads / Контур</t>
  </si>
  <si>
    <t>⚖️ 1. КАЛИБРОВКА МОДЕЛЕЙ АТРИБУЦИИ: FIRST-TOUCH vs LAST-TOUCH vs W-SHAPED</t>
  </si>
  <si>
    <t>Канал привлечения</t>
  </si>
  <si>
    <t>Расход, ₽</t>
  </si>
  <si>
    <t>Last-Touch (V10)</t>
  </si>
  <si>
    <t>W-Shaped (V11)</t>
  </si>
  <si>
    <t>LT ROMI</t>
  </si>
  <si>
    <t>Дельта выручки, ₽</t>
  </si>
  <si>
    <t>Эффект перераспределения</t>
  </si>
  <si>
    <t>Решение RevOps</t>
  </si>
  <si>
    <t>ООО "ПромКомплект"</t>
  </si>
  <si>
    <t>ga_19</t>
  </si>
  <si>
    <t>yclid_109</t>
  </si>
  <si>
    <t>D-110</t>
  </si>
  <si>
    <t>ЗАО "ТехноМаш"</t>
  </si>
  <si>
    <t>ga_20</t>
  </si>
  <si>
    <t>ИТОГО / БАЛАНС:</t>
  </si>
  <si>
    <t>gclid_110</t>
  </si>
  <si>
    <t>✅ 100% Баланс SSOT</t>
  </si>
  <si>
    <t>Полное сохранение выручки</t>
  </si>
  <si>
    <t>🔄 2. РЕЕСТР СКВОЗНЫХ КАСАНИЙ КЛИЕНТОВ (CUSTOMER JOURNEY MULTI-TOUCH FEED)</t>
  </si>
  <si>
    <t>ID касания</t>
  </si>
  <si>
    <t>D-099</t>
  </si>
  <si>
    <t>ID сделки</t>
  </si>
  <si>
    <t>Client ID</t>
  </si>
  <si>
    <t>Дата касания</t>
  </si>
  <si>
    <t>Канал касания</t>
  </si>
  <si>
    <t>Этап в цепочке</t>
  </si>
  <si>
    <t>Вес W-Shaped</t>
  </si>
  <si>
    <t>Атрибутированная выручка</t>
  </si>
  <si>
    <t>ООО "ПромСбыт"</t>
  </si>
  <si>
    <t>ga_08</t>
  </si>
  <si>
    <t>Tier B</t>
  </si>
  <si>
    <t>b2b_context</t>
  </si>
  <si>
    <t>follow-up</t>
  </si>
  <si>
    <t>whatsapp</t>
  </si>
  <si>
    <t>118 РЕГРЕССИОННЫХ ТЕСТОВ (REVOPS ENTERPRISE V17.6)</t>
  </si>
  <si>
    <t>📄 1. One-Pager</t>
  </si>
  <si>
    <t>⚡ 2. Пульс компании</t>
  </si>
  <si>
    <t>📋 3. Пульт РОПа</t>
  </si>
  <si>
    <t>💸 4. 7 Грехов ОП</t>
  </si>
  <si>
    <t>🎯 5. Action Center</t>
  </si>
  <si>
    <t>🎙️ 6. ИИ-Аудит</t>
  </si>
  <si>
    <t>⚡ 7. Экспресс 3 цифры</t>
  </si>
  <si>
    <t>🧪 8. QA Suite</t>
  </si>
  <si>
    <t>⚙️ 9. Настройки</t>
  </si>
  <si>
    <t>🟢 ENTERPRISE READY (100%)</t>
  </si>
  <si>
    <t>Всего тестов</t>
  </si>
  <si>
    <t>Пройдено (PASS)</t>
  </si>
  <si>
    <t>Сбоев (FAIL)</t>
  </si>
  <si>
    <t>Индекс надежности</t>
  </si>
  <si>
    <t>Вердикт надежности</t>
  </si>
  <si>
    <t>Дата валидации</t>
  </si>
  <si>
    <t>Статус аудита</t>
  </si>
  <si>
    <t>03.10.2026</t>
  </si>
  <si>
    <t>Категория</t>
  </si>
  <si>
    <t>Проверяемый инвариант (Assert Description)</t>
  </si>
  <si>
    <t>Формула проверки</t>
  </si>
  <si>
    <t>Ожидание</t>
  </si>
  <si>
    <t>Факт</t>
  </si>
  <si>
    <t>Статус</t>
  </si>
  <si>
    <t>Диагностика для клиента (Vector D Explainability)</t>
  </si>
  <si>
    <t>Рекомендация по исправлению (Auto-Fix)</t>
  </si>
  <si>
    <t>T-01</t>
  </si>
  <si>
    <t>Финансы</t>
  </si>
  <si>
    <t>Closed-Won выручка calc_engine!B19 == SUMIF по stage_id=6</t>
  </si>
  <si>
    <t>Расхождение выручки между calc_engine и raw_deals. Проверьте stage_id закрытых сделок.</t>
  </si>
  <si>
    <t>-</t>
  </si>
  <si>
    <t>T-02</t>
  </si>
  <si>
    <t>First-Touch Won Revenue сходится к B19</t>
  </si>
  <si>
    <t>Сумма First-Touch атрибуции не равна Closed-Won выручке. Проверьте веса FT.</t>
  </si>
  <si>
    <t>T-03</t>
  </si>
  <si>
    <t>Last-Touch Won Revenue сходится к B19</t>
  </si>
  <si>
    <t>Сумма Last-Touch атрибуции не равна Closed-Won выручке. Проверьте веса LT.</t>
  </si>
  <si>
    <t>T-04</t>
  </si>
  <si>
    <t>W-Shaped Won Revenue сходится к B19</t>
  </si>
  <si>
    <t>Сумма W-Shaped выигранной выручки расходится с B19. Проверьте веса в raw_touchpoints!K.</t>
  </si>
  <si>
    <t>T-05</t>
  </si>
  <si>
    <t>Суммарный маркетинг spend B137 сходится с фактом raw_marketing!E</t>
  </si>
  <si>
    <t>Сумма рекламных бюджетов в calc_engine расходится с первичным реестром raw_marketing.</t>
  </si>
  <si>
    <t>T-06</t>
  </si>
  <si>
    <t>Активный пайплайн calc_engine!B17 == SUMIF(raw_deals!D, '&lt;=5', raw_deals!C)</t>
  </si>
  <si>
    <t>Сумма открытых сделок в пайплайне calc_engine расходится с raw_deals.</t>
  </si>
  <si>
    <t>T-07</t>
  </si>
  <si>
    <t>Отсутствие сделок с отрицательной суммой чека (MIN &gt;= 0)</t>
  </si>
  <si>
    <t>Все суммы сделок положительные (мин. чек: 120 000 ₽).</t>
  </si>
  <si>
    <t>T-08</t>
  </si>
  <si>
    <t>Сумма выставленных счетов raw_invoices!G &gt;= Суммы оплат B19</t>
  </si>
  <si>
    <t>Сумма поступивших оплат превышает сумму выставленных счетов.</t>
  </si>
  <si>
    <t>T-09</t>
  </si>
  <si>
    <t>Атрибуция</t>
  </si>
  <si>
    <t>Сумма весов W-Shaped касаний для сделки D-101 == 1.0</t>
  </si>
  <si>
    <t>Сумма весов касаний D-101 не равна 100%. Проверьте калибровку весов.</t>
  </si>
  <si>
    <t>T-10</t>
  </si>
  <si>
    <t>Сумма весов W-Shaped касаний для сделки D-102 == 1.0</t>
  </si>
  <si>
    <t>Сумма весов касаний D-102 не равна 100%.</t>
  </si>
  <si>
    <t>T-11</t>
  </si>
  <si>
    <t>Сумма весов W-Shaped касаний для сделки D-104 == 1.0</t>
  </si>
  <si>
    <t>Сумма весов касаний D-104 расходится с 1.0. Проверьте TP-109..TP-111B.</t>
  </si>
  <si>
    <t>T-12</t>
  </si>
  <si>
    <t>Сумма весов W-Shaped касаний для сделки D-105 == 1.0</t>
  </si>
  <si>
    <t>Сумма весов касаний D-105 не равна 100%.</t>
  </si>
  <si>
    <t>T-13</t>
  </si>
  <si>
    <t>Все веса касаний в строгом диапазоне [0.0, 1.0]</t>
  </si>
  <si>
    <t>В raw_touchpoints!H есть вес &lt;0 или &gt;1.</t>
  </si>
  <si>
    <t>T-14</t>
  </si>
  <si>
    <t>Каждое касание мапится на реальную сделку в raw_deals</t>
  </si>
  <si>
    <t>В raw_touchpoints обнаружено касание с несуществующим deal_id.</t>
  </si>
  <si>
    <t>T-15</t>
  </si>
  <si>
    <t>W-Shaped пайплайн-атрибуция Col L неотрицательна (&gt;= 0)</t>
  </si>
  <si>
    <t>В raw_touchpoints!L обнаружены отрицательные значения атрибуции.</t>
  </si>
  <si>
    <t>T-16</t>
  </si>
  <si>
    <t>Воронка &amp; SLA</t>
  </si>
  <si>
    <t>Все нормативы SLA этапов воронки строго &gt; 0 часов</t>
  </si>
  <si>
    <t>В Настройках указан нулевой или отрицательный SLA-норматив этапа.</t>
  </si>
  <si>
    <t>T-17</t>
  </si>
  <si>
    <t>Количество открытых сделок в воронке (1..5) == calc_engine!B16</t>
  </si>
  <si>
    <t>💳 ФИНАНСОВЫЙ КОНТУР, REVERSE ETL И АГЕНТНЫЙ AI-ДОЖИМ (V17.6 BLOCK I)</t>
  </si>
  <si>
    <t>Фактический Cash-In</t>
  </si>
  <si>
    <t>Ожидаемый Cash-In (30д)</t>
  </si>
  <si>
    <t>Дебиторка (Pending AR)</t>
  </si>
  <si>
    <t>Просрочено (Overdue)</t>
  </si>
  <si>
    <t>DSO (Срок оплаты)</t>
  </si>
  <si>
    <t>Потенциал AI-дожима</t>
  </si>
  <si>
    <t>Количество открытых сделок в воронке расходится с метрикой B16.</t>
  </si>
  <si>
    <t>T-18</t>
  </si>
  <si>
    <t>Все stage_id сделок валидны (целые числа от 1 до 7)</t>
  </si>
  <si>
    <t>В raw_deals!D обнаружен недопустимый номер этапа (вне 1..7).</t>
  </si>
  <si>
    <t>T-19</t>
  </si>
  <si>
    <t>Сделки stage_id=6 строго имеют статус 'Успешно реализовано'</t>
  </si>
  <si>
    <t>📅 1. ПЛАТЕЖНЫЙ КАЛЕНДАРЬ И КОНТРОЛЬ ДЕБИТОРСКОЙ ЗАДОЛЖЕННОСТИ (CASH FLOW 30–60 ДНЕЙ)</t>
  </si>
  <si>
    <t>№ Счета</t>
  </si>
  <si>
    <t>Сделка</t>
  </si>
  <si>
    <t>Контрагент</t>
  </si>
  <si>
    <t>Срок оплаты</t>
  </si>
  <si>
    <t>Сумма, ₽</t>
  </si>
  <si>
    <t>Статус инвойса</t>
  </si>
  <si>
    <t>Просрочка, дн</t>
  </si>
  <si>
    <t>Финансовый риск</t>
  </si>
  <si>
    <t>Регламент финотдела</t>
  </si>
  <si>
    <t>Рассинхрон stage_id=6 и stage_name в raw_deals.</t>
  </si>
  <si>
    <t>T-20</t>
  </si>
  <si>
    <t>Сделки stage_id=7 строго имеют статус 'Закрыто и не реализовано'</t>
  </si>
  <si>
    <t>Рассинхрон stage_id=7 и stage_name в raw_deals.</t>
  </si>
  <si>
    <t>T-21</t>
  </si>
  <si>
    <t>Вероятности этапов в Настройках монотонны (Win% 1 &lt; Win% 5)</t>
  </si>
  <si>
    <t>Вероятность закрытия лида превышает вероятность закрытия выставленного счета.</t>
  </si>
  <si>
    <t>T-22</t>
  </si>
  <si>
    <t>SLA факт рассчитывается без ошибок деления на ноль</t>
  </si>
  <si>
    <t>Ошибка расчета времени нахождения в этапе days_in_stage.</t>
  </si>
  <si>
    <t>T-23</t>
  </si>
  <si>
    <t>Коэффициент соблюдения SLA в диапазоне [0.0, 1.0]</t>
  </si>
  <si>
    <t>Индекс соблюдения SLA calc_engine!B31 вышел за границы 0..100%.</t>
  </si>
  <si>
    <t>T-24</t>
  </si>
  <si>
    <t>ИИ-Аудит речи</t>
  </si>
  <si>
    <t>Средний балл речи calc_engine!B32 в допустимом диапазоне [1, 13]</t>
  </si>
  <si>
    <t>invoice_id</t>
  </si>
  <si>
    <t>Средний чек-лист качества речи вышел за шкалу 13 критериев.</t>
  </si>
  <si>
    <t>T-25</t>
  </si>
  <si>
    <t>issue_date</t>
  </si>
  <si>
    <t>Длительность всех звонков в raw_calls &gt; 0 секунд</t>
  </si>
  <si>
    <t>due_date</t>
  </si>
  <si>
    <t>status</t>
  </si>
  <si>
    <t>paid_date</t>
  </si>
  <si>
    <t>overdue_days</t>
  </si>
  <si>
    <t>В raw_calls обнаружены звонки с нулевой или отрицательной длительностью.</t>
  </si>
  <si>
    <t>INV-201</t>
  </si>
  <si>
    <t>T-26</t>
  </si>
  <si>
    <t>Все звонки привязаны к существующим менеджерам [101..104]</t>
  </si>
  <si>
    <t>paid</t>
  </si>
  <si>
    <t>В raw_calls найден звонок с неизвестным manager_id.</t>
  </si>
  <si>
    <t>T-27</t>
  </si>
  <si>
    <t>Все звонки привязаны к существующим сделкам воронки</t>
  </si>
  <si>
    <t>В raw_calls обнаружен звонок без привязки к сделке D-*.</t>
  </si>
  <si>
    <t>T-28</t>
  </si>
  <si>
    <t>Доля фиксации Next Step calc_engine!B33 в диапазоне [0.0, 1.0]</t>
  </si>
  <si>
    <t>INV-202</t>
  </si>
  <si>
    <t>Конверсия Next Step calc_engine!B33 вышла за пределы 0..100%.</t>
  </si>
  <si>
    <t>T-29</t>
  </si>
  <si>
    <t>Хронометраж звонка в ИИ_Аудит!E17 зафиксирован в формате времени</t>
  </si>
  <si>
    <t>В колонке длительности звонка нарушен формат времени.</t>
  </si>
  <si>
    <t>T-30</t>
  </si>
  <si>
    <t>Выручка под угрозой в ИИ_Аудит!J4 сходится с итогом выборки V27</t>
  </si>
  <si>
    <t>INV-203</t>
  </si>
  <si>
    <t>overdue</t>
  </si>
  <si>
    <t>Сумма финансового риска брака звонков расходится с контрольной суммой выборки.</t>
  </si>
  <si>
    <t>T-31</t>
  </si>
  <si>
    <t>Финансы &amp; DSO</t>
  </si>
  <si>
    <t>DSO (Days Sales Outstanding) calc_engine!B27 неотрицательный</t>
  </si>
  <si>
    <t>INV-204</t>
  </si>
  <si>
    <t>DSO отрицательный. Проверьте формулу оборачиваемости дебиторки.</t>
  </si>
  <si>
    <t>forecast</t>
  </si>
  <si>
    <t>T-32</t>
  </si>
  <si>
    <t>Статусы счетов валидны (paid, overdue, forecast)</t>
  </si>
  <si>
    <t>INV-205</t>
  </si>
  <si>
    <t>В raw_invoices обнаружен неизвестный статус инвойса.</t>
  </si>
  <si>
    <t>T-33</t>
  </si>
  <si>
    <t>Просроченная дебиторка B145 &lt;= общей суммы счетов</t>
  </si>
  <si>
    <t>INV-206</t>
  </si>
  <si>
    <t>Просроченная дебиторка превышает общую сумму выставленных счетов.</t>
  </si>
  <si>
    <t>T-34</t>
  </si>
  <si>
    <t>Cash-In calc_engine!B19 строго равен Closed-Won выручке</t>
  </si>
  <si>
    <t>INV-207</t>
  </si>
  <si>
    <t>Фактические поступления Cash-In расходятся с закрытыми сделками.</t>
  </si>
  <si>
    <t>T-35</t>
  </si>
  <si>
    <t>Отсутствие счетов с отрицательной суммой в raw_invoices!G</t>
  </si>
  <si>
    <t>Обнаружен счет с отрицательной суммой к оплате.</t>
  </si>
  <si>
    <t>T-36</t>
  </si>
  <si>
    <t>Сумма оплаченных счетов (paid) равна Closed-Won выручке B19</t>
  </si>
  <si>
    <t>INV-208</t>
  </si>
  <si>
    <t>Сумма оплаченных инвойсов в реестре raw_invoices расходится с выручкой B19.</t>
  </si>
  <si>
    <t>T-37</t>
  </si>
  <si>
    <t>Алерты &amp; Риски</t>
  </si>
  <si>
    <t>Суммы в raw_alerts!D строго числовые (ISNUMBER)</t>
  </si>
  <si>
    <t>Суммы алертов сохранены как текст, SUM(raw_alerts!D) сломается.</t>
  </si>
  <si>
    <t>T-38</t>
  </si>
  <si>
    <t>Суммы всех зарегистрированных алертов &gt; 0</t>
  </si>
  <si>
    <t>ID Сделки</t>
  </si>
  <si>
    <t>В raw_alerts найден алерт с нулевой или отрицательной суммой риска.</t>
  </si>
  <si>
    <t>T-39</t>
  </si>
  <si>
    <t>Доля базы РОПа calc_engine!B35 в диапазоне [0.0, 1.0]</t>
  </si>
  <si>
    <t>Клиент</t>
  </si>
  <si>
    <t>Пайплайн, ₽</t>
  </si>
  <si>
    <t>Текущий куратор</t>
  </si>
  <si>
    <t>Действие Reverse ETL</t>
  </si>
  <si>
    <t>Новый исполнитель CRM</t>
  </si>
  <si>
    <t>Статус синхронизации</t>
  </si>
  <si>
    <t>API Payload</t>
  </si>
  <si>
    <t>Команда оператора</t>
  </si>
  <si>
    <t>Коэффициент нагрузки РОПа вышел за границы 0..100%.</t>
  </si>
  <si>
    <t>Снятие перегруза РОПа (P0)</t>
  </si>
  <si>
    <t>T-40</t>
  </si>
  <si>
    <t>⚡ ГОТОВО К ПУШУ</t>
  </si>
  <si>
    <t>Нормативные лимиты сделок сотрудников в Настройках &gt; 0</t>
  </si>
  <si>
    <t>{"deal_id":"D-105","manager_id":102}</t>
  </si>
  <si>
    <t>Отправить в CRM</t>
  </si>
  <si>
    <t>Сохранение VIP-кураторства</t>
  </si>
  <si>
    <t>✅ В СИНХРОНЕ</t>
  </si>
  <si>
    <t>{"deal_id":"D-104","manager_id":101}</t>
  </si>
  <si>
    <t>Синхронизировано</t>
  </si>
  <si>
    <t>В Настройках емкости указан нулевой лимит сделок менеджера.</t>
  </si>
  <si>
    <t>T-41</t>
  </si>
  <si>
    <t>Дожим оплаты инвойса</t>
  </si>
  <si>
    <t>Количество активных правил мониторинга в Радаре &gt;= 5</t>
  </si>
  <si>
    <t>{"deal_id":"D-103","stage_id":5}</t>
  </si>
  <si>
    <t>🤖 3. АГЕНТНЫЙ AI-ДОЖИМ ОТКАЗНИКОВ (AGENTIC LOSS RECOVERY &amp; TRANSCRIPT SYNTHESIS)</t>
  </si>
  <si>
    <t>Отказник</t>
  </si>
  <si>
    <t>Потерянный чек</t>
  </si>
  <si>
    <t>В Радаре алертов отключены или удалены базовые триггеры.</t>
  </si>
  <si>
    <t>Суть ошибки по транскрипту LLM</t>
  </si>
  <si>
    <t>T-42</t>
  </si>
  <si>
    <t>Персонализированный AI-оффер дожима</t>
  </si>
  <si>
    <t>РОП Иванов Д. (101) имеет активные сделки в контуре</t>
  </si>
  <si>
    <t>Шанс возврата</t>
  </si>
  <si>
    <t>Статус AI Агента</t>
  </si>
  <si>
    <t>L1 (Дорого)</t>
  </si>
  <si>
    <t>Срыв контакта в звонке C-505 (2 балла): прямой спор по цене</t>
  </si>
  <si>
    <t>Оффер "Enterprise Lite": разбивка платежа на 3 транша по 200 000 ₽ + аудит процессов в подарок</t>
  </si>
  <si>
    <t>WhatsApp Business API</t>
  </si>
  <si>
    <t>🚀 В ОЧЕРЕДИ ОТПРАВКИ</t>
  </si>
  <si>
    <t>У РОПа нет сделок в воронке, проверка перегруза невозможна.</t>
  </si>
  <si>
    <t>T-43</t>
  </si>
  <si>
    <t>Система &amp; Стабильность</t>
  </si>
  <si>
    <t>Отсутствие #REF! в ключевой метрике выручки</t>
  </si>
  <si>
    <t>L2 (Конкурент)</t>
  </si>
  <si>
    <t>Не сформирована ценность интеграции, уход к альтернативе</t>
  </si>
  <si>
    <t>Кейс-сравнение с конкурентом: окупаемость за 1.0 мес + персональная сессия с техническим директором</t>
  </si>
  <si>
    <t>Email + звонок РОПа</t>
  </si>
  <si>
    <t>⚡ ТРЕБУЕТ АППРУВА РОПА</t>
  </si>
  <si>
    <t>Сломана ссылка #REF! в расчете выручки calc_engine!B19.</t>
  </si>
  <si>
    <t>T-44</t>
  </si>
  <si>
    <t>Отсутствие #VALUE! в расчете когорт LTV</t>
  </si>
  <si>
    <t>Ошибка типов данных #VALUE! в когортном анализе.</t>
  </si>
  <si>
    <t>T-45</t>
  </si>
  <si>
    <t>Отсутствие #NAME? во взвешенном пайплайне</t>
  </si>
  <si>
    <t>Неизвестная функция #NAME? в расчетном ядре calc_engine!B18.</t>
  </si>
  <si>
    <t>T-46</t>
  </si>
  <si>
    <t>Отсутствие #DIV/0! в расчете конверсий воронки</t>
  </si>
  <si>
    <t>Деление на ноль #DIV/0! в Win Rate воронки calc_engine!B24.</t>
  </si>
  <si>
    <t>T-47</t>
  </si>
  <si>
    <t>Системная дата calc_engine!$B$1 равна DATE(2026, 9, 29)</t>
  </si>
  <si>
    <t>Дрейф системной даты проекта. Должно быть 2026-09-29.</t>
  </si>
  <si>
    <t>T-48</t>
  </si>
  <si>
    <t>Выбранный филиал / холдинг в Настройках не пустой</t>
  </si>
  <si>
    <t>Сброшен селектор филиала в ⚙️ Настройки!D9.</t>
  </si>
  <si>
    <t>T-49</t>
  </si>
  <si>
    <t>Выбранная роль пользователя в Настройках не пустая</t>
  </si>
  <si>
    <t>Сброшен селектор роли в ⚙️ Настройки!B10.</t>
  </si>
  <si>
    <t>T-50</t>
  </si>
  <si>
    <t>Версия архитектуры в Настройках — Enterprise OS</t>
  </si>
  <si>
    <t>Повреждена строка версии архитектуры в ⚙️ Настройки!B5.</t>
  </si>
  <si>
    <t>T-51</t>
  </si>
  <si>
    <t>Качество данных</t>
  </si>
  <si>
    <t>Интегральный DQ Score платформы ≥ 0.85</t>
  </si>
  <si>
    <t>Индекс качества данных ниже допустимого порога 0.85.</t>
  </si>
  <si>
    <t>T-52</t>
  </si>
  <si>
    <t>Отсутствие незаполненных deal_id в активных сделках</t>
  </si>
  <si>
    <t>Обнаружены строки с контрагентом, но без присвоенного deal_id.</t>
  </si>
  <si>
    <t>T-53</t>
  </si>
  <si>
    <t>Отсутствие дубликатов deal_id в первичном реестре raw_deals</t>
  </si>
  <si>
    <t>👥 СИСТЕМА ДИНАМИЧЕСКОЙ МОТИВАЦИИ И PAYROLL ОП (REVOPS V17.6 BLOCK II)</t>
  </si>
  <si>
    <t>Общий фонд оплаты труда (ФОТ)</t>
  </si>
  <si>
    <t>Обнаружены дубликаты deal_id в CRM реестре raw_deals.</t>
  </si>
  <si>
    <t>Окладная часть</t>
  </si>
  <si>
    <t>T-54</t>
  </si>
  <si>
    <t>История стадий</t>
  </si>
  <si>
    <t>Бонусная часть (Commissions)</t>
  </si>
  <si>
    <t>Stage_History заполнена для всех закрытых сделок</t>
  </si>
  <si>
    <t>Средний чек бонуса</t>
  </si>
  <si>
    <t>Удержано за брак речи</t>
  </si>
  <si>
    <t>Доля ФОТ в выручке компании</t>
  </si>
  <si>
    <t>Закрытые сделки отсутствуют в листе Stage_History.</t>
  </si>
  <si>
    <t>T-55</t>
  </si>
  <si>
    <t>Каждая сделка имеет минимум 1 запись в Stage_History</t>
  </si>
  <si>
    <t>📋 РАСЧЕТНАЯ ВЕДОМОСТЬ НАЧИСЛЕНИЯ ПРЕМИЙ С ПРИВЯЗКОЙ К SLA И КАЧЕСТВУ ДИАЛОГОВ</t>
  </si>
  <si>
    <t>Оклад, ₽</t>
  </si>
  <si>
    <t>Закрыто Won, ₽</t>
  </si>
  <si>
    <t>Базовый %</t>
  </si>
  <si>
    <t>Коэфф. SLA</t>
  </si>
  <si>
    <t>Коэфф. речи (ИИ)</t>
  </si>
  <si>
    <t>Итого на руки, ₽</t>
  </si>
  <si>
    <t>Статус начисления / Корректировки</t>
  </si>
  <si>
    <t>РОП / Team Lead</t>
  </si>
  <si>
    <t>🟢 Бонус за личные закрытия + надбавка речи (+5%)</t>
  </si>
  <si>
    <t>КАМ (Enterprise)</t>
  </si>
  <si>
    <t>Обнаружены сделки без истории переходов по стадиям.</t>
  </si>
  <si>
    <t>T-56</t>
  </si>
  <si>
    <t>Все статусы sla_status принадлежат множеству {В НОРМЕ, СРЫВ}</t>
  </si>
  <si>
    <t>🔴 ДЕПРЕМИРОВАНИЕ (-30% бонуса за срыв звонков C-503/C-505)</t>
  </si>
  <si>
    <t>SDR (Квалификация)</t>
  </si>
  <si>
    <t>🟢 Премия за квалификацию + надбавка речи (+10%)</t>
  </si>
  <si>
    <t>ИТОГО ФОТ:</t>
  </si>
  <si>
    <t>В Stage_History обнаружены некорректные статусы SLA.</t>
  </si>
  <si>
    <t>T-57</t>
  </si>
  <si>
    <t>Next Action</t>
  </si>
  <si>
    <t>Дата следующего шага next_action_date &gt;= created_date</t>
  </si>
  <si>
    <t>💡 ПРАВИЛО РЕВОПС: При среднем балле звонков менеджера ниже 9.0 из 13 (лист «🎙️ ИИ_Аудит»), переменная часть бонуса автоматически дисконтируется на 30%.</t>
  </si>
  <si>
    <t>Обнаружены даты следующего действия предшествующие созданию сделки.</t>
  </si>
  <si>
    <t>T-58</t>
  </si>
  <si>
    <t>Deal Health Score принадлежит отрезку [0, 100]</t>
  </si>
  <si>
    <t>Значения Deal Health Score выходят за диапазон 0..100.</t>
  </si>
  <si>
    <t>T-59</t>
  </si>
  <si>
    <t>SLA &amp; Эскалации</t>
  </si>
  <si>
    <t>Все переходы transition_id покрыты в матрице SLA</t>
  </si>
  <si>
    <t>Не все переходы воронки зафиксированы в SLA_Matrix.</t>
  </si>
  <si>
    <t>T-59-B</t>
  </si>
  <si>
    <t>Нормативы SLA_Matrix монотонны (L1 &lt;= L2 &lt;= L3)</t>
  </si>
  <si>
    <t>Нарушена монотонность эскалационных часов в SLA_Matrix.</t>
  </si>
  <si>
    <t>T-61</t>
  </si>
  <si>
    <t>Индекс соблюдения SLA принадлежит интервалу [0, 1]</t>
  </si>
  <si>
    <t>Индекс SLA выходит за границы допустимого интервала [0, 1].</t>
  </si>
  <si>
    <t>T-62</t>
  </si>
  <si>
    <t>Action_Center не содержит пустых priority у зарегистрированных действий</t>
  </si>
  <si>
    <t>В Action_Center обнаружены задачи без присвоенного приоритета.</t>
  </si>
  <si>
    <t>T-63</t>
  </si>
  <si>
    <t>Межлистовой баланс</t>
  </si>
  <si>
    <t>Расхождение выручки между calc_engine и raw_deals.</t>
  </si>
  <si>
    <t>Проверить stage_id и сумму закрытых сделок в raw_deals.</t>
  </si>
  <si>
    <t>T-64</t>
  </si>
  <si>
    <t>Оплаченная дебиторка calc_engine!B144 == SUMIF по paid</t>
  </si>
  <si>
    <t>Сумма оплаченных счетов расходится с B144.</t>
  </si>
  <si>
    <t>Сверить реестр счетов raw_invoices и банковские выписки.</t>
  </si>
  <si>
    <t>T-65</t>
  </si>
  <si>
    <t>Просроченная задолженность calc_engine!B146 == SUMIF по overdue</t>
  </si>
  <si>
    <t>Сумма просрочки расходится со сводкой B146.</t>
  </si>
  <si>
    <t>Провести ревизию счетов со статусом overdue в raw_invoices.</t>
  </si>
  <si>
    <t>T-66</t>
  </si>
  <si>
    <t>CPL в маркетинге calc_marketing!B6 == calc_engine!B137 / SUM(leads)</t>
  </si>
  <si>
    <t>Стоимость лида CPL расходится между листами.</t>
  </si>
  <si>
    <t>Сверить рекламный расход B137 и число лидов в raw_marketing.</t>
  </si>
  <si>
    <t>T-67</t>
  </si>
  <si>
    <t>ROMI в маркетинге calc_marketing!B8 == (E137 - B137) / B137</t>
  </si>
  <si>
    <t>Показатель окупаемости ROMI не сходится с SSOT.</t>
  </si>
  <si>
    <t>Пересчитать веса атрибуции в raw_touchpoints и расход B137.</t>
  </si>
  <si>
    <t>T-68</t>
  </si>
  <si>
    <t>Ссылочная целостность</t>
  </si>
  <si>
    <t>Каждый звонок имеет привязку к существующей сделке (FK deal_id)</t>
  </si>
  <si>
    <t>Обнаружены звонки без привязки к сделке.</t>
  </si>
  <si>
    <t>Привязать звонок к карточке сделки в CRM.</t>
  </si>
  <si>
    <t>T-69</t>
  </si>
  <si>
    <t>Каждый счёт имеет привязку к сделке (FK deal_id)</t>
  </si>
  <si>
    <t>Обнаружены счета без привязки к сделке.</t>
  </si>
  <si>
    <t>Проставить корректный deal_id в реестре raw_invoices.</t>
  </si>
  <si>
    <t>T-70</t>
  </si>
  <si>
    <t>Каждый платеж имеет привязку к счету или сделке (FK)</t>
  </si>
  <si>
    <t>Обнаружены неидентифицированные платежи.</t>
  </si>
  <si>
    <t>Уточнить контрагента в банке и привязать платеж.</t>
  </si>
  <si>
    <t>T-71</t>
  </si>
  <si>
    <t>Каждое маркетинговое касание имеет сделку в raw_deals</t>
  </si>
  <si>
    <t>Касания в CDP не смаплены со сделками.</t>
  </si>
  <si>
    <t>Запустить сессионный Reverse ETL stitcher в CDP.</t>
  </si>
  <si>
    <t>T-72</t>
  </si>
  <si>
    <t>Уникальность ID</t>
  </si>
  <si>
    <t>Идентификаторы сделок deal_id уникальны (0 дубликатов)</t>
  </si>
  <si>
    <t>🗄️ ENTERPRISE БЕЗОПАСНОСТЬ (RBAC), ЖУРНАЛ АУДИТА И DWH МОСТ (V17.6 MASTER)</t>
  </si>
  <si>
    <t>🔮 СЦЕНАРНЫЙ СИМУЛЯТОР ВЫРУЧКИ И МАСШТАБИРОВАНИЯ (WHAT-IF REVENUE SANDBOX V17.6)</t>
  </si>
  <si>
    <t>⚡ Интерактивное моделирование изменения рекламных бюджетов, конверсий воронки и найма менеджеров без риска повреждения боевых формул.</t>
  </si>
  <si>
    <t>🎛️ ВЫБОР ПРЕСЕТА СЦЕНАРИЯ:</t>
  </si>
  <si>
    <t>2. Базовый (+30% бюджет, +3% CR, +1 КАМ)</t>
  </si>
  <si>
    <t>Статус DWH-моста</t>
  </si>
  <si>
    <t>Архивировано в ClickHouse</t>
  </si>
  <si>
    <t>Сделок в оперативной памяти</t>
  </si>
  <si>
    <t>Инцидентов безопасности</t>
  </si>
  <si>
    <t>Защита ПДн (PII Masking)</t>
  </si>
  <si>
    <t>Статус QA-валидации</t>
  </si>
  <si>
    <t>🎛️ 1. ВВОД ГИПОТЕЗ РОСТА (РЫЧАГИ МАСШТАБИРОВАНИЯ)</t>
  </si>
  <si>
    <t>🟢 CONNECTED (n8n ⇄ ClickHouse)</t>
  </si>
  <si>
    <t>📊 2. ФИНАНСОВЫЙ ЭФФЕКТ СЦЕНАРИЯ (TO-BE ПРОГНОЗ)</t>
  </si>
  <si>
    <t>Параметр гипотезы</t>
  </si>
  <si>
    <t>Обнаружены дубликаты deal_id в CRM.</t>
  </si>
  <si>
    <t>Найти дубль в raw_deals, объединить через VLOOKUP + IFERROR.</t>
  </si>
  <si>
    <t>T-73</t>
  </si>
  <si>
    <t>Идентификаторы звонков call_id уникальны (0 дубликатов)</t>
  </si>
  <si>
    <t>Базовое значение (As-Is)</t>
  </si>
  <si>
    <t>Сценарная дельта (Ввод)</t>
  </si>
  <si>
    <t>Новый сценарный уровень</t>
  </si>
  <si>
    <t>Финансовая метрика</t>
  </si>
  <si>
    <t>Факт сейчас (As-Is)</t>
  </si>
  <si>
    <t>Прогноз сценария (To-Be)</t>
  </si>
  <si>
    <t>Прирост выручки / Прибыли</t>
  </si>
  <si>
    <t>Рекламный бюджет в месяц</t>
  </si>
  <si>
    <t>0 инцидентов</t>
  </si>
  <si>
    <t>🛡️ RBAC АКТИВЕН</t>
  </si>
  <si>
    <t>✅ PASS 100% (45 листов)</t>
  </si>
  <si>
    <t>🛡️ 1. МАТРИЦА РОЛЕВОГО ДОСТУПА И ЗАЩИТЫ КОММЕРЧЕСКИХ ДАННЫХ (RBAC PROTOCOL)</t>
  </si>
  <si>
    <t>Роль пользователя</t>
  </si>
  <si>
    <t>Сотрудники</t>
  </si>
  <si>
    <t>Доступ к витринам</t>
  </si>
  <si>
    <t>Доступ к raw-листам</t>
  </si>
  <si>
    <t>Видимость ПДн (Телефоны/ФИО)</t>
  </si>
  <si>
    <t>Права на скидки и тарифы</t>
  </si>
  <si>
    <t>Доступ к кассе и Cash Flow</t>
  </si>
  <si>
    <t>Статус защищенности</t>
  </si>
  <si>
    <t>Суперадмин / CEO</t>
  </si>
  <si>
    <t>Руководство компании</t>
  </si>
  <si>
    <t>Полный (Все 43 листа)</t>
  </si>
  <si>
    <t>Полный (Чтение / Запись)</t>
  </si>
  <si>
    <t>100% Открыто</t>
  </si>
  <si>
    <t>Утверждение регламентов</t>
  </si>
  <si>
    <t>Полный доступ</t>
  </si>
  <si>
    <t>🟢 ВЛАДЕЛЕЦ</t>
  </si>
  <si>
    <t>РОП (Head of Sales)</t>
  </si>
  <si>
    <t>Иванов Дмитрий</t>
  </si>
  <si>
    <t>Дашборды ОП, Аудит, Воронка</t>
  </si>
  <si>
    <t>Ограниченный (Только ОП)</t>
  </si>
  <si>
    <t>Вилка до 15%</t>
  </si>
  <si>
    <t>Только факт оплат</t>
  </si>
  <si>
    <t>🟢 АВТОРИЗОВАН</t>
  </si>
  <si>
    <t>КАМ / SDR (Sales)</t>
  </si>
  <si>
    <t>Петров А., Сидоров Р.</t>
  </si>
  <si>
    <t>Личный пайплайн, Задачи</t>
  </si>
  <si>
    <t>Запрещен (Только CRM)</t>
  </si>
  <si>
    <t>🔒 МАСКИРОВАНО (Хеш)</t>
  </si>
  <si>
    <t>Запрещено</t>
  </si>
  <si>
    <t>🛡️ ОГРАНИЧЕН</t>
  </si>
  <si>
    <t>Внешний подрядчик</t>
  </si>
  <si>
    <t>Агентство трафика</t>
  </si>
  <si>
    <t>Только «Маркетинг &amp; Трафик»</t>
  </si>
  <si>
    <t>Только raw_marketing</t>
  </si>
  <si>
    <t>🔒 СКРЫТО 100%</t>
  </si>
  <si>
    <t>🛡️ ИЗОЛИРОВАН</t>
  </si>
  <si>
    <t>⚡ 2. АРХИТЕКТУРА ВЫГРУЗКИ В DWH (DATA MARTS &amp; STORAGE TIERING)</t>
  </si>
  <si>
    <t>Слой данных</t>
  </si>
  <si>
    <t>Целевое хранилище</t>
  </si>
  <si>
    <t>Объем записей</t>
  </si>
  <si>
    <t>Частота репликации</t>
  </si>
  <si>
    <t>Задержка (Latency)</t>
  </si>
  <si>
    <t>Архитектурная функция</t>
  </si>
  <si>
    <t>BI-подключение</t>
  </si>
  <si>
    <t>Hot Layer (Оперативный)</t>
  </si>
  <si>
    <t>Google Sheets SSOT</t>
  </si>
  <si>
    <t>До 2 000 строк (90 дней)</t>
  </si>
  <si>
    <t>В реальном времени (Webhooks)</t>
  </si>
  <si>
    <t>&lt; 1.5 сек</t>
  </si>
  <si>
    <t>Интерфейс РОПа и оперативные расчеты</t>
  </si>
  <si>
    <t>Google Looker Studio</t>
  </si>
  <si>
    <t>🟢 РАБОТАЕТ</t>
  </si>
  <si>
    <t>Warm / Cold (Архив DWH)</t>
  </si>
  <si>
    <t>ClickHouse Enterprise</t>
  </si>
  <si>
    <t>50 000+ сделок (Архив M0-M36)</t>
  </si>
  <si>
    <t>Пакетно каждые 6 часов</t>
  </si>
  <si>
    <t>&lt; 5 мин</t>
  </si>
  <si>
    <t>Глубокая аналитика LTV и когорт NRR</t>
  </si>
  <si>
    <t>Power BI / Superset</t>
  </si>
  <si>
    <t>⚡ АКТИВНО (n8n ready)</t>
  </si>
  <si>
    <t>Security Vault (ПДн)</t>
  </si>
  <si>
    <t>PostgreSQL Encrypted</t>
  </si>
  <si>
    <t>Зашифрованные профили клиентов</t>
  </si>
  <si>
    <t>По событию создания лида</t>
  </si>
  <si>
    <t>&lt; 2.0 сек</t>
  </si>
  <si>
    <t>Хранение персональных данных по 152-ФЗ</t>
  </si>
  <si>
    <t>Защищенный бэкенд</t>
  </si>
  <si>
    <t>🔒 ЗАШИФРОВАНО</t>
  </si>
  <si>
    <t>📋 3. ЖУРНАЛ АУДИТА ОПЕРАЦИЙ (LIVE SECURITY &amp; COMPLIANCE FEED)</t>
  </si>
  <si>
    <t>ID события</t>
  </si>
  <si>
    <t>Время инцидента</t>
  </si>
  <si>
    <t>Инициатор (Email)</t>
  </si>
  <si>
    <t>Объект изменения</t>
  </si>
  <si>
    <t>Тип действия</t>
  </si>
  <si>
    <t>Поле</t>
  </si>
  <si>
    <t>Было</t>
  </si>
  <si>
    <t>Стало</t>
  </si>
  <si>
    <t>Статус безопасности</t>
  </si>
  <si>
    <t>Входящий поток лидов</t>
  </si>
  <si>
    <t>Обнаружены дубликаты звонков call_id.</t>
  </si>
  <si>
    <t>Дедуплицировать логи телефонии по call_id.</t>
  </si>
  <si>
    <t>T-74</t>
  </si>
  <si>
    <t>Номера счетов invoice_id уникальны (0 дубликатов)</t>
  </si>
  <si>
    <t>Конверсия закрытия воронки (CR)</t>
  </si>
  <si>
    <t>Закрытых сделок за месяц</t>
  </si>
  <si>
    <t>Обнаружены дубликаты счетов в 1С биллинге.</t>
  </si>
  <si>
    <t>Проверить реестр выставления счетов в 1С.</t>
  </si>
  <si>
    <t>T-75</t>
  </si>
  <si>
    <t>Временная отсечка</t>
  </si>
  <si>
    <t>Отсутствие событий с датой позже отчетной отсечки calc_engine!$B$1</t>
  </si>
  <si>
    <t>Расширение штата КАМов (чел)</t>
  </si>
  <si>
    <t>Презентационный</t>
  </si>
  <si>
    <t>CEO / Собственник</t>
  </si>
  <si>
    <t>Обнаружены события из будущего.</t>
  </si>
  <si>
    <t>Скорректировать системную дату синхронизации.</t>
  </si>
  <si>
    <t>T-76</t>
  </si>
  <si>
    <t>Отсутствие отрицательных значений цикла сделки cycle_days</t>
  </si>
  <si>
    <t>Отрицательная длительность сделок.</t>
  </si>
  <si>
    <t>Проверить даты created_date и stage_changed_date.</t>
  </si>
  <si>
    <t>T-77</t>
  </si>
  <si>
    <t>Даты касаний закрытых сделок не превышают дату закрытия</t>
  </si>
  <si>
    <t>Прогнозная выручка месяца</t>
  </si>
  <si>
    <t>Касания зафиксированы после закрытия сделки.</t>
  </si>
  <si>
    <t>Исключить пост-конверсионные клики из атрибуции.</t>
  </si>
  <si>
    <t>Плановое снижение брака звонков</t>
  </si>
  <si>
    <t>T-78</t>
  </si>
  <si>
    <t>Бизнес-правила</t>
  </si>
  <si>
    <t>Closed-Won сделки (этап 6) имеют подтвержденные поступления</t>
  </si>
  <si>
    <t>Выигранные сделки не имеют оплат в банке.</t>
  </si>
  <si>
    <t>Создать счёт в raw_invoices или изменить stage на 5.</t>
  </si>
  <si>
    <t>T-79</t>
  </si>
  <si>
    <t>Ни один менеджер не имеет критического перегруза &gt;150%</t>
  </si>
  <si>
    <t>Критический перегруз сотрудников отдела продаж.</t>
  </si>
  <si>
    <t>Открыть 🎯 Action_Center, выполнить делегирование на свободного КАМа.</t>
  </si>
  <si>
    <t>T-80</t>
  </si>
  <si>
    <t>Суммы сделок не отрицательны (скидка не превышает 100%)</t>
  </si>
  <si>
    <t>Обнаружены отрицательные суммы в сделках.</t>
  </si>
  <si>
    <t>Уменьшить скидку до 15% или запросить апрув CFO.</t>
  </si>
  <si>
    <t>T-81</t>
  </si>
  <si>
    <t>Все сделки на этапе выставленного счета (5) имеют выставленный счет</t>
  </si>
  <si>
    <t>Выполнение плана (от 5 млн ₽)</t>
  </si>
  <si>
    <t>Сделка на этапе 5 без счета в биллинге.</t>
  </si>
  <si>
    <t>Сгенерировать и выставить счет в 1С.</t>
  </si>
  <si>
    <t>T-82</t>
  </si>
  <si>
    <t>Каждая сделка имеет заполненный источник лида lead_source</t>
  </si>
  <si>
    <t>Обнаружены лиды без указания источника привлечения.</t>
  </si>
  <si>
    <t>Проставить рекламный канал / источник в CRM.</t>
  </si>
  <si>
    <t>T-83</t>
  </si>
  <si>
    <t>Операционный контур</t>
  </si>
  <si>
    <t>Action_Center: Уникальность task_id (TSK-NNN)</t>
  </si>
  <si>
    <t>Обнаружены дубликаты или некорректные идентификаторы задач в Action_Center.</t>
  </si>
  <si>
    <t>Проверить столбец Action_Center!A и устранить дубли.</t>
  </si>
  <si>
    <t>T-84</t>
  </si>
  <si>
    <t>Action_Center: Неотрицательность сумм финансового риска</t>
  </si>
  <si>
    <t>Отрицательная сумма ущерба в Action_Center.</t>
  </si>
  <si>
    <t>Проверить столбец F в Action_Center.</t>
  </si>
  <si>
    <t>T-85</t>
  </si>
  <si>
    <t>Action_Center: Назначение ответственных по всем открытым задачам</t>
  </si>
  <si>
    <t>🎲 ПРЕДИКТИВНЫЙ КОРИДОР ВЫРУЧКИ МОНТЕ-КАРЛО (ВЕРОЯТНОСТЬ 95%)</t>
  </si>
  <si>
    <t>Метрика Монте-Карло</t>
  </si>
  <si>
    <t>🌐 СКВОЗНАЯ REVOPS-СИСТЕМА: ОТ ПЕРВОГО КЛИКА ДО ПОВТОРНЫХ ПРОДАЖ (LTV)</t>
  </si>
  <si>
    <t>Значение, ₽</t>
  </si>
  <si>
    <t>Доверительный интервал</t>
  </si>
  <si>
    <t>Вероятность</t>
  </si>
  <si>
    <t>Статус выполнения плана</t>
  </si>
  <si>
    <t>Рекомендация ИИ</t>
  </si>
  <si>
    <t>Есть открытые задачи без назначенного куратора.</t>
  </si>
  <si>
    <t>Назначить ответственного в Action_Center!G.</t>
  </si>
  <si>
    <t>T-86</t>
  </si>
  <si>
    <t>Action_Center: Наличие дедлайнов задач</t>
  </si>
  <si>
    <t>Пессимистичный порог (P10 - 90% защита):</t>
  </si>
  <si>
    <t>Коридор уверенности 95%</t>
  </si>
  <si>
    <t>Обнаружены задачи без дедлайна.</t>
  </si>
  <si>
    <t>Заполнить колонку Action_Center!J.</t>
  </si>
  <si>
    <t>T-87</t>
  </si>
  <si>
    <t>SLA_Matrix: Положительность нормативов времени перехода</t>
  </si>
  <si>
    <t>🟢 Касса защищена</t>
  </si>
  <si>
    <t>Базовые обязательства закрыты</t>
  </si>
  <si>
    <t>Норматив SLA равен нулю или отрицателен.</t>
  </si>
  <si>
    <t>Проверить колонку D в SLA_Matrix.</t>
  </si>
  <si>
    <t>T-88</t>
  </si>
  <si>
    <t>Медианное ожидание кассы (P50):</t>
  </si>
  <si>
    <t>SLA_Matrix: Положительность порогов эскалации L1/L2</t>
  </si>
  <si>
    <t>Наиболее вероятный итог</t>
  </si>
  <si>
    <t>Порог эскалации не задан.</t>
  </si>
  <si>
    <t>Заполнить колонку F в SLA_Matrix.</t>
  </si>
  <si>
    <t>T-89</t>
  </si>
  <si>
    <t>История стадий &amp; Log</t>
  </si>
  <si>
    <t>Deal_Event_Log: Уникальность event_id (EVT-NNN)</t>
  </si>
  <si>
    <t>🟡 В шаге от плана</t>
  </si>
  <si>
    <t>Требуется дожим 2 сделок из Пульта РОПа</t>
  </si>
  <si>
    <t>📈 Когорты LTV &amp; Retention</t>
  </si>
  <si>
    <t>Оптимистичный таргет (P90 с ИИ-дожимом):</t>
  </si>
  <si>
    <t>С учетом реанимации базы</t>
  </si>
  <si>
    <t>👥 Ресурсный План ОП</t>
  </si>
  <si>
    <t>Дубликаты event_id в журнале событий.</t>
  </si>
  <si>
    <t>Проверить Deal_Event_Log!A.</t>
  </si>
  <si>
    <t>T-90</t>
  </si>
  <si>
    <t>Deal_Event_Log: Ссылочная целостность deal_id</t>
  </si>
  <si>
    <t>🌐 Маркетинг &amp; Атрибуция</t>
  </si>
  <si>
    <t>🚀 План 5.0M взят!</t>
  </si>
  <si>
    <t>Запуск автодожима по отказникам L1-L4</t>
  </si>
  <si>
    <t>Вероятность выполнения плана 5 000 000 ₽:</t>
  </si>
  <si>
    <t>🎯 Воронка &amp; SLA</t>
  </si>
  <si>
    <t>📊 Юнит-Экономика</t>
  </si>
  <si>
    <t>🎙️ ИИ-Аудит речи</t>
  </si>
  <si>
    <t>Сводная вероятность</t>
  </si>
  <si>
    <t>🚨 Радар алертов</t>
  </si>
  <si>
    <t>События ссылаются на некорректный deal_id.</t>
  </si>
  <si>
    <t>📋 Реестр задач</t>
  </si>
  <si>
    <t>Проверить deal_id в Deal_Event_Log!B.</t>
  </si>
  <si>
    <t>T-91</t>
  </si>
  <si>
    <t>План: 5 000 000 ₽</t>
  </si>
  <si>
    <t>Фокус РОПа: перехват сделки D-104</t>
  </si>
  <si>
    <t>Stage_History: Неотрицательность длительности в этапе</t>
  </si>
  <si>
    <t>Сквозной ROMI</t>
  </si>
  <si>
    <t>Sales Velocity / мес</t>
  </si>
  <si>
    <t>Индекс SLA</t>
  </si>
  <si>
    <t>Ср. балл речи</t>
  </si>
  <si>
    <t>Нагрузка на РОПа</t>
  </si>
  <si>
    <t>Win Rate</t>
  </si>
  <si>
    <t>Честный CAC</t>
  </si>
  <si>
    <t>LTV клиента</t>
  </si>
  <si>
    <t>Отрицательная длительность этапа в Stage_History.</t>
  </si>
  <si>
    <t>Проверить формулу E в Stage_History.</t>
  </si>
  <si>
    <t>T-92</t>
  </si>
  <si>
    <t>Stage_History: Валидность deal_id</t>
  </si>
  <si>
    <t>Некорректный deal_id в Stage_History.</t>
  </si>
  <si>
    <t>Проверить колонку B в Stage_History.</t>
  </si>
  <si>
    <t>T-93</t>
  </si>
  <si>
    <t>Data Contract</t>
  </si>
  <si>
    <t>Data_Contract: Реестр контрактных правил (&gt;= 54 полей)</t>
  </si>
  <si>
    <t>Количество описанных контрактных полей менее 54.</t>
  </si>
  <si>
    <t>Дополнить правила в Data_Contract.</t>
  </si>
  <si>
    <t>T-94</t>
  </si>
  <si>
    <t>ID_Registry: Уникальность и валидность префиксов Universal ID</t>
  </si>
  <si>
    <t>Некорректный префикс сущности в ID_Registry.</t>
  </si>
  <si>
    <t>Проверить ID_Registry!A.</t>
  </si>
  <si>
    <t>T-95</t>
  </si>
  <si>
    <t>Executive Дайджест</t>
  </si>
  <si>
    <t>Executive_OnePager: Сходимость факта выручки с calc_engine</t>
  </si>
  <si>
    <t>🔄 1. СКВОЗНОЙ ПАЙПЛАЙН: ПРЕВРАЩЕНИЕ ТРАФИКА В ЧИСТУЮ ВЫРУЧКУ</t>
  </si>
  <si>
    <t>Этап сквозного цикла</t>
  </si>
  <si>
    <t>Кол-во событий</t>
  </si>
  <si>
    <t>Объем капитала</t>
  </si>
  <si>
    <t>Конверсия шага (CR)</t>
  </si>
  <si>
    <t>Сквозной CR</t>
  </si>
  <si>
    <t>Норматив SLA</t>
  </si>
  <si>
    <t>Факт SLA</t>
  </si>
  <si>
    <t>Расхождение выручки между Executive_OnePager и calc_engine.</t>
  </si>
  <si>
    <t>Статус узла</t>
  </si>
  <si>
    <t>Синхронизировать OnePager!A5.</t>
  </si>
  <si>
    <t>T-96</t>
  </si>
  <si>
    <t>1. Входящий трафик (Лиды)</t>
  </si>
  <si>
    <t>Executive_OnePager: Сходимость активного пайплайна с calc_engine</t>
  </si>
  <si>
    <t>Расхождение пайплайна между Executive_OnePager и calc_engine.</t>
  </si>
  <si>
    <t>Синхронизировать OnePager!E5.</t>
  </si>
  <si>
    <t>T-97</t>
  </si>
  <si>
    <t>Интеграции</t>
  </si>
  <si>
    <t>Настройки: Конфигурация Telegram Dispatcher активна</t>
  </si>
  <si>
    <t>2. Квалификация и звонки</t>
  </si>
  <si>
    <t>Telegram Dispatcher не активирован в Настройках.</t>
  </si>
  <si>
    <t>Включить Telegram Dispatcher в Настройки!B47.</t>
  </si>
  <si>
    <t>T-98</t>
  </si>
  <si>
    <t>DWH &amp; Security</t>
  </si>
  <si>
    <t>DWH_и_Безопасность: Реестр структуры книги (45 листов)</t>
  </si>
  <si>
    <t>Несоответствие количества листов в реестре DWH.</t>
  </si>
  <si>
    <t>Обновить DWH_и_Безопасность!F4.</t>
  </si>
  <si>
    <t>T-99</t>
  </si>
  <si>
    <t>Data Quality</t>
  </si>
  <si>
    <t>Data Quality: Индекс качества данных равен 1.00 (100%)</t>
  </si>
  <si>
    <t>Индекс качества данных ниже 1.00.</t>
  </si>
  <si>
    <t>Устранить дефекты данных на листе Data_Quality.</t>
  </si>
  <si>
    <t>T-100</t>
  </si>
  <si>
    <t>Century Invariant</t>
  </si>
  <si>
    <t>RevOps Century Invariant: Сквозная формула надежности ядра</t>
  </si>
  <si>
    <t>3. Проведено встреч / Демо</t>
  </si>
  <si>
    <t>4. КП и согласование договора</t>
  </si>
  <si>
    <t>5. Счета на оплате</t>
  </si>
  <si>
    <t>Сбой сквозного инварианта надежности V17.5.</t>
  </si>
  <si>
    <t>Проверить финансовое ядро и витрины данных.</t>
  </si>
  <si>
    <t>T-101</t>
  </si>
  <si>
    <t>RBAC Архитектура</t>
  </si>
  <si>
    <t>Лист 🔐 RBAC_Matrix существует и зарегистрирован в книге</t>
  </si>
  <si>
    <t>Матрица прав 🔐 RBAC_Matrix активна и зарегистрирована.</t>
  </si>
  <si>
    <t>Создать лист 🔐 RBAC_Matrix.</t>
  </si>
  <si>
    <t>T-102</t>
  </si>
  <si>
    <t>Полнота матрицы: все 45 листов платформы внесены в реестр прав</t>
  </si>
  <si>
    <t>6. Оплачено (Closed-Won)</t>
  </si>
  <si>
    <t>Матрица содержит ровно 45 листов платформы.</t>
  </si>
  <si>
    <t>Синхронизировать строки матрицы с фактическим составом листов.</t>
  </si>
  <si>
    <t>T-103</t>
  </si>
  <si>
    <t>7 системных ролей в заголовке матрицы (CEO..Admin)</t>
  </si>
  <si>
    <t>Все 7 ролей присутствуют в столбцах D:J матрицы.</t>
  </si>
  <si>
    <t>Проверить колонки D:J в 🔐 RBAC_Matrix.</t>
  </si>
  <si>
    <t>T-104</t>
  </si>
  <si>
    <t>🟢 ВЫРУЧКА</t>
  </si>
  <si>
    <t>RBAC Целостность</t>
  </si>
  <si>
    <t>Системный лист Настройки защищен флагом always_visible=TRUE</t>
  </si>
  <si>
    <t>👥 2. КОМАНДА: КОРРЕЛЯЦИЯ КАЧЕСТВА ДИАЛОГОВ И ВЫРУЧКИ</t>
  </si>
  <si>
    <t>ID CRM</t>
  </si>
  <si>
    <t>Сделок в работе</t>
  </si>
  <si>
    <t>Выручка (Факт)</t>
  </si>
  <si>
    <t>Загрузка емкости</t>
  </si>
  <si>
    <t>Решение РОПа</t>
  </si>
  <si>
    <t>Системный лист ⚙️ Настройки всегда видим для всех ролей.</t>
  </si>
  <si>
    <t>Установить TRUE в 🔐 RBAC_Matrix!C2.</t>
  </si>
  <si>
    <t>T-105</t>
  </si>
  <si>
    <t>RBAC Безопасность</t>
  </si>
  <si>
    <t>Защита raw_deals: закрыт для роли КАМ (KAM = ⛔)</t>
  </si>
  <si>
    <t>Сырые сделки надежно скрыты от прямого доступа КАМов.</t>
  </si>
  <si>
    <t>Установить ⛔ в ячейке 🔐 RBAC_Matrix!F35.</t>
  </si>
  <si>
    <t>T-106</t>
  </si>
  <si>
    <t>Защита расчетного ядра: calc_engine скрыт от KAM и SDR</t>
  </si>
  <si>
    <t>Расчетный слой изолирован от линейного торгового персонала.</t>
  </si>
  <si>
    <t>Установить ⛔ в 🔐 RBAC_Matrix!F30:G30.</t>
  </si>
  <si>
    <t>T-107</t>
  </si>
  <si>
    <t>RBAC Доступ Admin</t>
  </si>
  <si>
    <t>Полный доступ Администратора ко всем calc-листам (Admin = ✏️)</t>
  </si>
  <si>
    <t>Администратор RevOps имеет полные права на расчетные движки.</t>
  </si>
  <si>
    <t>Установить ✏️ в колонке J для calc-листов в 🔐 RBAC_Matrix.</t>
  </si>
  <si>
    <t>T-108</t>
  </si>
  <si>
    <t>RBAC Доступ CEO</t>
  </si>
  <si>
    <t>Права Собственника на сценарное моделирование (CEO = ✏️)</t>
  </si>
  <si>
    <t>Собственник/CEO имеет доступ на правку гипотез в Симуляторе Роста.</t>
  </si>
  <si>
    <t>Установить ✏️ в 🔐 RBAC_Matrix!D14.</t>
  </si>
  <si>
    <t>T-109</t>
  </si>
  <si>
    <t>RBAC Конфигурация</t>
  </si>
  <si>
    <t>Валидность роли в Настройки!B10 относительно ROLES_LIST</t>
  </si>
  <si>
    <t>Роль в Настройки!B10 строго входит в перечень разрешенных ролей.</t>
  </si>
  <si>
    <t>Выбрать роль из выпадающего списка ROLES_LIST в Настройки!B10.</t>
  </si>
  <si>
    <t>T-110</t>
  </si>
  <si>
    <t>Матрица прав 🔐 RBAC_Matrix скрыта от РОПа и КАМа (⛔)</t>
  </si>
  <si>
    <t>Матрица доступа скрыта от сотрудников, не обладающих правами Admin/CEO.</t>
  </si>
  <si>
    <t>Установить ⛔ в 🔐 RBAC_Matrix!E29:F29.</t>
  </si>
  <si>
    <t>T-111</t>
  </si>
  <si>
    <t>RBAC Аудит</t>
  </si>
  <si>
    <t>Наличие журнала аудита безопасности raw_audit_log</t>
  </si>
  <si>
    <t>Журнал аудита доступен для фиксации событий переключения ролей.</t>
  </si>
  <si>
    <t>Восстановить лист raw_audit_log для аудита RBAC-событий.</t>
  </si>
  <si>
    <t>T-112</t>
  </si>
  <si>
    <t>RBAC Навигация</t>
  </si>
  <si>
    <t>Целостность Landing-страниц (OnePager, Пульт РОПа, Пульс)</t>
  </si>
  <si>
    <t>🌐 МАРКЕТИНГ И ТРАФИК: CLOSED-LOOP ATTRIBUTION &amp; КАМПАНИИ</t>
  </si>
  <si>
    <t>Все посадочные витрины ролей присутствуют и функциональны.</t>
  </si>
  <si>
    <t>Проверить наличие листов Executive_OnePager, Пульт_РОПа, Пульс_Компании.</t>
  </si>
  <si>
    <t>T-113</t>
  </si>
  <si>
    <t>RBAC Users Map</t>
  </si>
  <si>
    <t>USERS_ROLES_MAP содержит ≥ 7 активных учетных записей</t>
  </si>
  <si>
    <t>Всего лидов (CPL)</t>
  </si>
  <si>
    <t>Квалиф. лиды (CPQL)</t>
  </si>
  <si>
    <t>Оплачено сделок</t>
  </si>
  <si>
    <t>Выручка Won</t>
  </si>
  <si>
    <t>Реестр маппинга ролей по Email укомплектован для всех ключевых ролей компании.</t>
  </si>
  <si>
    <t>Заполнить таблицу ⚙️ Настройки!J10:L16 для сотрудников.</t>
  </si>
  <si>
    <t>CAC (Факт)</t>
  </si>
  <si>
    <t>🧲 3. СКВОЗНАЯ МОНЕТИЗАЦИЯ СРЫВОВ И РЕАКТИВАЦИЯ ОТКАЗНИКОВ (L1–L4)</t>
  </si>
  <si>
    <t>Код</t>
  </si>
  <si>
    <t>Барьер клиента</t>
  </si>
  <si>
    <t>Срывов, шт</t>
  </si>
  <si>
    <t>Списано потерь, ₽</t>
  </si>
  <si>
    <t>Вероятность возврата</t>
  </si>
  <si>
    <t>Потенциал выручки, ₽</t>
  </si>
  <si>
    <t>Сценарий дожима</t>
  </si>
  <si>
    <t>T-114</t>
  </si>
  <si>
    <t>Полнота ролей: каждой учетной записи назначена роль</t>
  </si>
  <si>
    <t>Все строки реестра содержат корректно назначенную роль из ROLES_LIST.</t>
  </si>
  <si>
    <t>Выбрать роль в столбце K таблицы Настройки!J10:L100.</t>
  </si>
  <si>
    <t>T-115</t>
  </si>
  <si>
    <t>Полнота дашбордов: каждому пользователю сопоставлен Landing</t>
  </si>
  <si>
    <t>📲 Автодожим: спецпредложение Lite + рассрочка</t>
  </si>
  <si>
    <t>Каждый сотрудник имеет персональный целевой дашборд при входе в систему.</t>
  </si>
  <si>
    <t>Указать имя целевой витрины в столбце L таблицы Настройки!J10:L100.</t>
  </si>
  <si>
    <t>T-116</t>
  </si>
  <si>
    <t>Session</t>
  </si>
  <si>
    <t>Статус сессии H9 содержит «Свободна» или «Сессия:»</t>
  </si>
  <si>
    <t>Ячейка статуса сессии планирования находится в валидном состоянии.</t>
  </si>
  <si>
    <t xml:space="preserve">Сбросить сессию через Навигатор или записать «🟢 Готова к работе (Свободна)». </t>
  </si>
  <si>
    <t>T-117</t>
  </si>
  <si>
    <t>RBAC Landing</t>
  </si>
  <si>
    <t>Landing-дашборд CEO зарегистрирован в книге (A2:A46)</t>
  </si>
  <si>
    <t>📊 Сравнит. матрица преимуществ + звонок РОПа</t>
  </si>
  <si>
    <t>Посадочный дашборд первой строки (CEO) физически существует в книге.</t>
  </si>
  <si>
    <t>Проверить имя листа в ячейке Настройки!L10.</t>
  </si>
  <si>
    <t>T-118</t>
  </si>
  <si>
    <t>Landing-дашборд Admin зарегистрирован в книге (A2:A46)</t>
  </si>
  <si>
    <t>📊 ЭФФЕКТИВНОСТЬ РЕКЛАМНЫХ КАМПАНИЙ И СВЯЗОК</t>
  </si>
  <si>
    <t>Канал трафика</t>
  </si>
  <si>
    <t>Кампания</t>
  </si>
  <si>
    <t>Клики</t>
  </si>
  <si>
    <t>Лиды</t>
  </si>
  <si>
    <t>CPL, ₽</t>
  </si>
  <si>
    <t>Оплаты</t>
  </si>
  <si>
    <t>Выручка, ₽</t>
  </si>
  <si>
    <t>Посадочный дашборд Администратора физически существует в книге.</t>
  </si>
  <si>
    <t>Проверить имя листа в ячейке Настройки!L16.</t>
  </si>
  <si>
    <t>ROMI</t>
  </si>
  <si>
    <t>Действие алгоритма</t>
  </si>
  <si>
    <t>Контекст B2B</t>
  </si>
  <si>
    <t>📩 Дайджест кейсов ниши раз в месяц</t>
  </si>
  <si>
    <t>🤖 Автоматический звонок бота + пуш в WhatsApp</t>
  </si>
  <si>
    <t>ИТОГО РЕЗЕРВ:</t>
  </si>
  <si>
    <t>🔥 Деньги, возвращаемые в пайплайн без расходов на маркетинг</t>
  </si>
  <si>
    <t>Парсинг Опт</t>
  </si>
  <si>
    <t>Поиск Бренд</t>
  </si>
  <si>
    <t>🔀 2. МУЛЬТИКАНАЛЬНАЯ АТРИБУЦИЯ: СРАВНЕНИЕ FIRST-TOUCH И LAST-TOUCH</t>
  </si>
  <si>
    <t>First-Touch Лиды</t>
  </si>
  <si>
    <t>FT Оплаты Won</t>
  </si>
  <si>
    <t>FT Выручка, ₽</t>
  </si>
  <si>
    <t>Last-Touch Лиды</t>
  </si>
  <si>
    <t>LT Оплаты Won</t>
  </si>
  <si>
    <t>LT Выручка, ₽</t>
  </si>
  <si>
    <t>Δ (FT - LT)</t>
  </si>
  <si>
    <t>Роль канала в цикле сделки</t>
  </si>
  <si>
    <t>event_id</t>
  </si>
  <si>
    <t>timestamp</t>
  </si>
  <si>
    <t>user_email</t>
  </si>
  <si>
    <t>target_sheet</t>
  </si>
  <si>
    <t>action_type</t>
  </si>
  <si>
    <t>record_id</t>
  </si>
  <si>
    <t>field_name</t>
  </si>
  <si>
    <t>old_value</t>
  </si>
  <si>
    <t>new_value</t>
  </si>
  <si>
    <t>security_level</t>
  </si>
  <si>
    <t>EV-901</t>
  </si>
  <si>
    <t>etl-service@n8n.internal</t>
  </si>
  <si>
    <t>raw_deals</t>
  </si>
  <si>
    <t>REVERSE_ETL_UPDATE</t>
  </si>
  <si>
    <t>INFO</t>
  </si>
  <si>
    <t>SUCCESS</t>
  </si>
  <si>
    <t>EV-902</t>
  </si>
  <si>
    <t>finance@revops-platform.io</t>
  </si>
  <si>
    <t>raw_invoices</t>
  </si>
  <si>
    <t>INVOICE_STATUS_CHANGE</t>
  </si>
  <si>
    <t>pending</t>
  </si>
  <si>
    <t>WARN</t>
  </si>
  <si>
    <t>EV-903</t>
  </si>
  <si>
    <t>sec-admin@revops-platform.io</t>
  </si>
  <si>
    <t>calc_engine</t>
  </si>
  <si>
    <t>SCHEMA_EXPANSION</t>
  </si>
  <si>
    <t>ALL</t>
  </si>
  <si>
    <t>BLOCK_II_PAYROLL</t>
  </si>
  <si>
    <t>N/A</t>
  </si>
  <si>
    <t>ACTIVE</t>
  </si>
  <si>
    <t>SECURITY</t>
  </si>
  <si>
    <t>PROTECTED</t>
  </si>
  <si>
    <t>EV-904</t>
  </si>
  <si>
    <t>PII_MASKING_APPLIED</t>
  </si>
  <si>
    <t>D-101..D-110</t>
  </si>
  <si>
    <t>ClearText</t>
  </si>
  <si>
    <t>SHA256_Hashed</t>
  </si>
  <si>
    <t>RBAC</t>
  </si>
  <si>
    <t>RESTRICTED</t>
  </si>
  <si>
    <t>EV-RBAC-778437</t>
  </si>
  <si>
    <t>dmitriyfedotov1908@gmail.com</t>
  </si>
  <si>
    <t>ROLE_SWITCH</t>
  </si>
  <si>
    <t>B10</t>
  </si>
  <si>
    <t>role</t>
  </si>
  <si>
    <t>(старт)</t>
  </si>
  <si>
    <t>🎯 Сбалансированный (стабильный генератор)</t>
  </si>
  <si>
    <t>undefined [MULTI_USER] [FALLBACK]</t>
  </si>
  <si>
    <t>EV-RBAC-923048</t>
  </si>
  <si>
    <t>👑 CEO [MULTI_USER]</t>
  </si>
  <si>
    <t>🚀 Лидер ROI (высокий чек Enterprise)</t>
  </si>
  <si>
    <t>date</t>
  </si>
  <si>
    <t>campaign_name</t>
  </si>
  <si>
    <t>spend</t>
  </si>
  <si>
    <t>clicks</t>
  </si>
  <si>
    <t>impressions</t>
  </si>
  <si>
    <t>leads</t>
  </si>
  <si>
    <t>🔴 Утечка бюджета (нет финализации)</t>
  </si>
  <si>
    <t>Партнеры и Рефералы</t>
  </si>
  <si>
    <t>💎 Стратегический пайплайн (3.0M в работе)</t>
  </si>
  <si>
    <t>🌱 Бесплатный охват (накопительный эффект)</t>
  </si>
  <si>
    <t>ИТОГО АТРИБУЦИЯ</t>
  </si>
  <si>
    <t>✅ 100% согласованность моделей</t>
  </si>
  <si>
    <t>📐 3. ЮНИТ-КАЛЬКУЛЯТОР ПРЕДЕЛЬНОГО CPL/CAC И АЛГОРИТМИЧЕСКИЕ ДЕЙСТВИЯ</t>
  </si>
  <si>
    <t>Средний чек (AOV)</t>
  </si>
  <si>
    <t>CR Лид → Сделка</t>
  </si>
  <si>
    <t>Целевой LTV/CAC</t>
  </si>
  <si>
    <t>Предельный CAC</t>
  </si>
  <si>
    <t>Предельный CPL</t>
  </si>
  <si>
    <t>Факт CPL</t>
  </si>
  <si>
    <t>Факт CAC</t>
  </si>
  <si>
    <t>Запас рентабельности</t>
  </si>
  <si>
    <t>Алгоритмическое решение RevOps</t>
  </si>
  <si>
    <t>priority</t>
  </si>
  <si>
    <t>trigger_name</t>
  </si>
  <si>
    <t>value</t>
  </si>
  <si>
    <t>threshold</t>
  </si>
  <si>
    <t>resolution_days</t>
  </si>
  <si>
    <t>CRITICAL</t>
  </si>
  <si>
    <t>Брак диалога C-505 (Оценка 2/13, нет Next Step)</t>
  </si>
  <si>
    <t>Score &lt; 9</t>
  </si>
  <si>
    <t>OPEN</t>
  </si>
  <si>
    <t>Зависание сделки D-104 на КП &gt; 48ч (12 дней)</t>
  </si>
  <si>
    <t>SLA &gt; 48ч</t>
  </si>
  <si>
    <t>HIGH</t>
  </si>
  <si>
    <t>Просрочен счет INV-203 (ИП Смирнов, 9 дней)</t>
  </si>
  <si>
    <t>Due &gt; 72ч</t>
  </si>
  <si>
    <t>Перегруз РОПа Иванова Д. (Лимит 5, факт 1)</t>
  </si>
  <si>
    <t>Capacity</t>
  </si>
  <si>
    <t>RESOLVED</t>
  </si>
  <si>
    <t>MEDIUM</t>
  </si>
  <si>
    <t>Срыв слота встречи C-503 (ООО СнабСервис)</t>
  </si>
  <si>
    <t>NextStep 0</t>
  </si>
  <si>
    <t>СВОДНЫЙ РЕЗУЛЬТАТ</t>
  </si>
  <si>
    <t>🎯 Перераспределить 85 000 ₽ из Google в Контур</t>
  </si>
  <si>
    <t>payment_id</t>
  </si>
  <si>
    <t>payment_date</t>
  </si>
  <si>
    <t>payment_type</t>
  </si>
  <si>
    <t>description</t>
  </si>
  <si>
    <t>PAY-1001</t>
  </si>
  <si>
    <t>initial</t>
  </si>
  <si>
    <t>Первичная оплата внедрения (M0)</t>
  </si>
  <si>
    <t>PAY-1002</t>
  </si>
  <si>
    <t>Контракт Enterprise Setup (M0)</t>
  </si>
  <si>
    <t>PAY-1003</t>
  </si>
  <si>
    <t>retainer</t>
  </si>
  <si>
    <t>Ежемесячный RevOps-саппорт (M1)</t>
  </si>
  <si>
    <t>PAY-1004</t>
  </si>
  <si>
    <t>Техническая поддержка SLA (M1)</t>
  </si>
  <si>
    <t>PAY-1005</t>
  </si>
  <si>
    <t>expansion</t>
  </si>
  <si>
    <t>Докупка лицензий телефонии (M2)</t>
  </si>
  <si>
    <t>PAY-1006</t>
  </si>
  <si>
    <t>Техническая поддержка SLA (M2)</t>
  </si>
  <si>
    <t>SYSTEM_TODAY</t>
  </si>
  <si>
    <t>—</t>
  </si>
  <si>
    <t>[МЕТРИКА] Сделок в работе (Active Pipeline Deals)</t>
  </si>
  <si>
    <t>Подсчет сделок на стадиях 1..5 воронки CRM</t>
  </si>
  <si>
    <t>[МЕТРИКА] Сумма активного пайплайна (Pipeline Amount, ₽)</t>
  </si>
  <si>
    <t>Сумма бюджетов сделок в активной работе</t>
  </si>
  <si>
    <t>[МЕТРИКА] Взвешенный пайплайн (Weighted Pipeline, ₽)</t>
  </si>
  <si>
    <t>Сумма взвешенных вероятностями бюджетов пайплайна</t>
  </si>
  <si>
    <t>[МЕТРИКА] Факт закрытой выручки (Closed Won Revenue, ₽)</t>
  </si>
  <si>
    <t>Сумма бюджетов успешно выигранных сделок (стадия 6)</t>
  </si>
  <si>
    <t>[МЕТРИКА] Выполнение плана продаж (% Target)</t>
  </si>
  <si>
    <t>Отношение факта выручки к месячному плану из Настроек</t>
  </si>
  <si>
    <t>[МЕТРИКА] Средний чек закрытой сделки (Average Deal Size, ₽)</t>
  </si>
  <si>
    <t>Факт выручки / Количество выигранных сделок (MAX 1)</t>
  </si>
  <si>
    <t>[МЕТРИКА] Количество выигранных сделок (Won Deals Count)</t>
  </si>
  <si>
    <t>Счетчик сделок на стадии 6 (Успешно реализовано)</t>
  </si>
  <si>
    <t>[МЕТРИКА] Количество проигранных сделок (Lost Deals Count)</t>
  </si>
  <si>
    <t>Счетчик сделок на стадии 7 (Закрыто и не реализовано)</t>
  </si>
  <si>
    <t>[МЕТРИКА] Конверсия закрытия воронки (Win Rate %)</t>
  </si>
  <si>
    <t>Конверсия: выигранные / (выигранные + проигранные)</t>
  </si>
  <si>
    <t>[МЕТРИКА] Средний цикл сделки, дни (Sales Cycle Days)</t>
  </si>
  <si>
    <t>Fallback: 11 дней (нормативный цикл B2B сделки)</t>
  </si>
  <si>
    <t>[МЕТРИКА] Активные сделки без зомби (Non-Zombie Pipeline)</t>
  </si>
  <si>
    <t>Активные сделки за вычетом зомби-когорты</t>
  </si>
  <si>
    <t>[МЕТРИКА] Скорость пайплайна в день (Pipeline Velocity / day, ₽)</t>
  </si>
  <si>
    <t>Формула скорости выручки: (Deals * AOV * WinRate) / Cycle</t>
  </si>
  <si>
    <t>[МЕТРИКА] Прогноз выручки на 30 дней (Pipeline Velocity / 30d, ₽)</t>
  </si>
  <si>
    <t>Проекция суточной скорости пайплайна на 30 календарных дней</t>
  </si>
  <si>
    <t>[МЕТРИКА] Месячный Run-Rate прогноз (Run-Rate Forecast, ₽)</t>
  </si>
  <si>
    <t>Экстраполяция текущего темпа продаж до конца месяца</t>
  </si>
  <si>
    <t>[МЕТРИКА] Факт + Взвешенный остаток (Fact + Weighted Pipeline, ₽)</t>
  </si>
  <si>
    <t>Консервативная сумма: закрытый факт + взвешенный остаток</t>
  </si>
  <si>
    <t>[МЕТРИКА] Соблюдение SLA этапов CRM (% SLA Compliance)</t>
  </si>
  <si>
    <t>📊 ЮНИТ-ЭКОНОМИКА, КОГОРТНЫЙ NRR И LTV/CAC (V17.6)</t>
  </si>
  <si>
    <t>Fallback: 0.92 (92% норматив соблюдения SLA стадий)</t>
  </si>
  <si>
    <t>Показатель юнит-экономики</t>
  </si>
  <si>
    <t>[МЕТРИКА] Средний балл качества речи (Avg Speech Score)</t>
  </si>
  <si>
    <t>Формат</t>
  </si>
  <si>
    <t>Статус бенчмарка</t>
  </si>
  <si>
    <t>Fallback: 9.5 баллов (минимальный стандарт речи из 13)</t>
  </si>
  <si>
    <t>[МЕТРИКА] Доля звонков без брака (% Speech Quality Rate)</t>
  </si>
  <si>
    <t>Факт за период</t>
  </si>
  <si>
    <t>Стоимость лида (CPL)</t>
  </si>
  <si>
    <t>В норме</t>
  </si>
  <si>
    <t>Стоимость привлечения (CAC)</t>
  </si>
  <si>
    <t>Отличный</t>
  </si>
  <si>
    <t>Средний чек первого контракта (M0)</t>
  </si>
  <si>
    <t>Fallback: 0.67 (67% отраслевой бенчмарк чистых звонков)</t>
  </si>
  <si>
    <t>[МЕТРИКА] Интегральный RevOps Health Score (0..1)</t>
  </si>
  <si>
    <t>Факт Closed-Won</t>
  </si>
  <si>
    <t>Фактический LTV клиента</t>
  </si>
  <si>
    <t>Факт платежей (M0–M2)</t>
  </si>
  <si>
    <t>Соотношение LTV / CAC</t>
  </si>
  <si>
    <t>Норма &gt; 3.0x</t>
  </si>
  <si>
    <t>Срок окупаемости (Payback)</t>
  </si>
  <si>
    <t>Взвешенный индекс: 40% план + 35% SLA + 25% качество речи</t>
  </si>
  <si>
    <t>[МЕТРИКА] Утилизация емкости менеджера 101 (% Capacity)</t>
  </si>
  <si>
    <t>Норма &lt; 12 мес</t>
  </si>
  <si>
    <t>🔄 КОГОРТНОЕ УДЕРЖАНИЕ ВЫРУЧКИ (NET REVENUE RETENTION)</t>
  </si>
  <si>
    <t>Когорта</t>
  </si>
  <si>
    <t>Загрузка КАМа сделками относительно лимита из Настроек</t>
  </si>
  <si>
    <t>[МЕТРИКА] Стоимость привлечения лида CPL, ₽ (Cost Per Lead)</t>
  </si>
  <si>
    <t>Клиентов</t>
  </si>
  <si>
    <t>M0 (Старт)</t>
  </si>
  <si>
    <t>M1 (Retainer)</t>
  </si>
  <si>
    <t>M2 (Expansion)</t>
  </si>
  <si>
    <t>Кумулятивный NRR</t>
  </si>
  <si>
    <t>🎯 ДИНАМИКА ВОРОНКИ, КОНВЕРСИИ И СОБЛЮДЕНИЕ РЕГЛАМЕНТОВ SLA</t>
  </si>
  <si>
    <t>Fallback: 2330 ₽ (нормативная стоимость B2B лида)</t>
  </si>
  <si>
    <t>[МЕТРИКА] Стоимость привлечения клиента CAC, ₽ (Customer Acquisition Cost)</t>
  </si>
  <si>
    <t>⚡ 1. Экспресс 3 цифры</t>
  </si>
  <si>
    <t>Fallback: 120 000 ₽ (нормативная стоимость привлечения клиента)</t>
  </si>
  <si>
    <t>[МЕТРИКА] Жизненный цикл клиента LTV, ₽ (Customer Lifetime Value)</t>
  </si>
  <si>
    <t>💸 2. 7 Грехов ОП</t>
  </si>
  <si>
    <t>📋 3. Пульт РОПа 15 мин</t>
  </si>
  <si>
    <t>Расчетный LTV клиента с учетом повторных платежей</t>
  </si>
  <si>
    <t>[МЕТРИКА] Отношение LTV / CAC (Unit Economics Ratio)</t>
  </si>
  <si>
    <t>⚡ 4. Пульс компании</t>
  </si>
  <si>
    <t>🎙️ 5. ИИ-Аудит речи</t>
  </si>
  <si>
    <t>Ключевое соотношение Unit-экономики (норматив &gt;= 3.0)</t>
  </si>
  <si>
    <t>🎯 6. Воронка &amp; SLA</t>
  </si>
  <si>
    <t>[МЕТРИКА] Доля CAC от среднего чека (CAC / AOV)</t>
  </si>
  <si>
    <t>⚙️ 7. Настройки &amp; Тарифы</t>
  </si>
  <si>
    <t>Доля маркетинговых затрат на клиента в среднем чеке</t>
  </si>
  <si>
    <t>[МЕТРИКА] Общее количество проанализированных звонков (Total Calls)</t>
  </si>
  <si>
    <t>Этап воронки</t>
  </si>
  <si>
    <t>Сквозной поток</t>
  </si>
  <si>
    <t>Сквозной CR %</t>
  </si>
  <si>
    <t>Счетчик оцененных звонков в сырой таблице телефонии</t>
  </si>
  <si>
    <t>Статус SLA</t>
  </si>
  <si>
    <t>🚨 СИСТЕМА ОПЕРАТИВНОГО РАДАРА РИСКОВ И ДЕТЕКЦИИ БОТТЛНЕКОВ</t>
  </si>
  <si>
    <t>Код риска</t>
  </si>
  <si>
    <t>Контур мониторинга</t>
  </si>
  <si>
    <t>Текущий статус</t>
  </si>
  <si>
    <t>Порог триггера</t>
  </si>
  <si>
    <t>Автоматическое действие</t>
  </si>
  <si>
    <t>P0-01</t>
  </si>
  <si>
    <t>Перегруз РОПа сделками</t>
  </si>
  <si>
    <t>Доля базы РОПа &gt; 70%</t>
  </si>
  <si>
    <t>P1-01</t>
  </si>
  <si>
    <t>Отставание темпа выручки</t>
  </si>
  <si>
    <t>Выполнение плана &lt; 85%</t>
  </si>
  <si>
    <t>Уведомление CEO в Telegram</t>
  </si>
  <si>
    <t>P1-02</t>
  </si>
  <si>
    <t>Зависание на этапе КП</t>
  </si>
  <si>
    <t>Время в КП &gt; 48 часов</t>
  </si>
  <si>
    <t>Эскалация РОПу на аудит</t>
  </si>
  <si>
    <t>P1-03</t>
  </si>
  <si>
    <t>Брак в звонках менеджеров</t>
  </si>
  <si>
    <t>📊 АНАЛИЗ ПРИЧИН ОТКАЗОВ (LOSS CODES)</t>
  </si>
  <si>
    <t>Кол-во сделок</t>
  </si>
  <si>
    <t>Ср. балл речи &lt; 9 / 13</t>
  </si>
  <si>
    <t>Объем потерь, ₽</t>
  </si>
  <si>
    <t>Постановка задачи на тренинг</t>
  </si>
  <si>
    <t>P2-01</t>
  </si>
  <si>
    <t>Сверх-отдача рекламного канала</t>
  </si>
  <si>
    <t>ROMI кампании &gt; 1000%</t>
  </si>
  <si>
    <t>Рекомендация долить +50% бюджета</t>
  </si>
  <si>
    <t>P2-02</t>
  </si>
  <si>
    <t>Срыв общего регламента SLA</t>
  </si>
  <si>
    <t>Индекс соблюдения SLA &lt; 90%</t>
  </si>
  <si>
    <t>Внеочередной разбор спринта</t>
  </si>
  <si>
    <t>ИТОГО потенциал реактивации:</t>
  </si>
  <si>
    <t>📊 МАРКЕТИНГ И ТРАФИК (CONSOLIDATED CORE)</t>
  </si>
  <si>
    <t>Метрика</t>
  </si>
  <si>
    <t>Формула / Источник</t>
  </si>
  <si>
    <t>Период</t>
  </si>
  <si>
    <t>Маркетинговый бюджет (Total Spend)</t>
  </si>
  <si>
    <t>🟢 ФИНИШ</t>
  </si>
  <si>
    <t>raw_marketing!E</t>
  </si>
  <si>
    <t>Месяц</t>
  </si>
  <si>
    <t>Входящих кликов (Total Clicks)</t>
  </si>
  <si>
    <t>raw_marketing!F</t>
  </si>
  <si>
    <t>Всего показов (Total Impressions)</t>
  </si>
  <si>
    <t>raw_marketing!G</t>
  </si>
  <si>
    <t>Всего лидов с рекламы (Ad Leads)</t>
  </si>
  <si>
    <t>📊 РАСПРЕДЕЛЕНИЕ ПАЙПЛАЙНА ПО ЭТАПАМ ВОРОНКИ</t>
  </si>
  <si>
    <t>raw_marketing!H</t>
  </si>
  <si>
    <t>Номинальный объем</t>
  </si>
  <si>
    <t>Взвешенный объем</t>
  </si>
  <si>
    <t>План выручки</t>
  </si>
  <si>
    <t>📋 КОНСОЛИДИРОВАННЫЙ РЕЕСТР ЗАДАЧ, СПРИНТОВ И ОПЕРАЦИЙ REVOPS &amp; ОП</t>
  </si>
  <si>
    <t>Run-Rate прогноз</t>
  </si>
  <si>
    <t>Задача внедрения / операции</t>
  </si>
  <si>
    <t>Направление</t>
  </si>
  <si>
    <t>Владелец</t>
  </si>
  <si>
    <t>Дедлайн</t>
  </si>
  <si>
    <t>Контроль срока</t>
  </si>
  <si>
    <t>Активация сквозного Client ID и UTM в вебхуке</t>
  </si>
  <si>
    <t>Архитектура</t>
  </si>
  <si>
    <t>P0</t>
  </si>
  <si>
    <t>RevOps Lead</t>
  </si>
  <si>
    <t>04.09.2026</t>
  </si>
  <si>
    <t>Done</t>
  </si>
  <si>
    <t>Взвешенный прогноз</t>
  </si>
  <si>
    <t>Настройка передачи офлайн-конверсий в GA4/Метрику</t>
  </si>
  <si>
    <t>Маркетинг</t>
  </si>
  <si>
    <t>P1</t>
  </si>
  <si>
    <t>Интегратор</t>
  </si>
  <si>
    <t>08.09.2026</t>
  </si>
  <si>
    <t>In Progress</t>
  </si>
  <si>
    <t>Активный пайплайн</t>
  </si>
  <si>
    <t>Внедрение лимита емкости РОПа (максимум 5 сделок)</t>
  </si>
  <si>
    <t>Продажи</t>
  </si>
  <si>
    <t>РОП</t>
  </si>
  <si>
    <t>11.09.2026</t>
  </si>
  <si>
    <t>Автоматизация реактивации отказников L1-L4 через WhatsApp</t>
  </si>
  <si>
    <t>CRM-дожим</t>
  </si>
  <si>
    <t>Маркетолог</t>
  </si>
  <si>
    <t>15.09.2026</t>
  </si>
  <si>
    <t>To Do</t>
  </si>
  <si>
    <t>Внедрение когортного анализа LTV (M0–M12) и удержания NRR</t>
  </si>
  <si>
    <t>Аналитика LTV</t>
  </si>
  <si>
    <t>20.09.2026</t>
  </si>
  <si>
    <t>Запуск матрицы емкости (Capacity Planning) и лимитов РОПа</t>
  </si>
  <si>
    <t>22.09.2026</t>
  </si>
  <si>
    <t>Перераспределение бюджета Google Ads в Контур.Фокус (+50%)</t>
  </si>
  <si>
    <t>21.09.2026</t>
  </si>
  <si>
    <t>Тренинг скрипта для КАМа Петрова А. (балл речи &lt; 8)</t>
  </si>
  <si>
    <t>Обучение ОП</t>
  </si>
  <si>
    <t>23.09.2026</t>
  </si>
  <si>
    <t>Дожим сделок D-104 (850к) и D-105 (3M) на этапе КП</t>
  </si>
  <si>
    <t>Ключевые сделки</t>
  </si>
  <si>
    <t>25.09.2026</t>
  </si>
  <si>
    <t>Направление входящего пула лидов SMB КАМу Петрову</t>
  </si>
  <si>
    <t>Операции ОП</t>
  </si>
  <si>
    <t>Сидоров Роман</t>
  </si>
  <si>
    <t>Еженедельный спринт-обзор и аудит алертов воронки</t>
  </si>
  <si>
    <t>Управление</t>
  </si>
  <si>
    <t>P2</t>
  </si>
  <si>
    <t>28.09.2026</t>
  </si>
  <si>
    <t>ИТОГО ЗАДАЧ</t>
  </si>
  <si>
    <t>Выполнено:</t>
  </si>
  <si>
    <t>В работе:</t>
  </si>
  <si>
    <t>Релиз</t>
  </si>
  <si>
    <t>Дата сборки</t>
  </si>
  <si>
    <t>Архитектурный статус</t>
  </si>
  <si>
    <t>К исполнению:</t>
  </si>
  <si>
    <t>v9.0 Master Edition</t>
  </si>
  <si>
    <t>PASS: Чистая US-локаль, n8n-ready контракт A:N, защита от #ERROR! и каскадных сбоев</t>
  </si>
  <si>
    <t>v11.1 Multi-Touch Engine</t>
  </si>
  <si>
    <t>PASS: Развернут W-Shaped SSOT raw_touchpoints, калибровка Google Ads и сквозной ROMI</t>
  </si>
  <si>
    <t>v11.4 Block I Complete</t>
  </si>
  <si>
    <t>PASS: Развернуты raw_invoices, платежный календарь DSO, двусторонний Reverse ETL и Agentic AI Loss Recovery</t>
  </si>
  <si>
    <t>v11.7 Block II Complete</t>
  </si>
  <si>
    <t>PASS: Развернуты B2B Churn Health Score, динамическая мотивация ОП Payroll и сценарный симулятор What-If Sandbox</t>
  </si>
  <si>
    <t>v11.0 Golden Master</t>
  </si>
  <si>
    <t>PASS: Релиз Enterprise Edition. Развернуты raw_audit_log, RBAC маскирование ПДн, DWH Bridge и полный QA 100%</t>
  </si>
  <si>
    <t>v11.1 Golden Master Patch</t>
  </si>
  <si>
    <t>PASS: Автоматическое устранение багов DWH C4, calc_engine NRR D93/E93, What-If A181:B185, восстановлена сделка D-099, унифицированы диапазоны $D$1000, динамические сроки задач</t>
  </si>
  <si>
    <t>v12.0 Enterprise Ultimate</t>
  </si>
  <si>
    <t>PASS: Внедрено цветовое зонирование 26 вкладок, выпадающие списки Data Validation в RAW-слое, интерактивная навигация Breadcrumbs, пресеты What-If симулятора, Sparklines прогресса, именованные диапазоны и защита calc_engine</t>
  </si>
  <si>
    <t>v12.1 Commercial Audit Edition</t>
  </si>
  <si>
    <t>PASS: Развернут флагманский презентационный лист '💸 Диагностика_Утечек_ОП' (ID: 777000101) на позиции 2 с расчетом потерь и ROI</t>
  </si>
  <si>
    <t>v12.2 Modular Transcriber Engine</t>
  </si>
  <si>
    <t>PASS: Развернут модульный конструктор тарифов (Feature Flags) в ⚙️ Настройки и привязка сумм сделок под угрозой в 🎙️ ИИ_Аудит</t>
  </si>
  <si>
    <t>v12.3 Sales Enablement Release</t>
  </si>
  <si>
    <t>PASS: Развернут '⚡ Экспресс_Калькулятор_3_Цифры' (ID: 777000201) на позиции 1 и '📋 Пульт_РОПа_15_Минут' (ID: 777000301) на позиции 3</t>
  </si>
  <si>
    <t>v13.0 UI &amp; Typography Overhaul</t>
  </si>
  <si>
    <t>2026-09-29 18:00:00</t>
  </si>
  <si>
    <t>PASS: Унифицированный дизайн-код Enterprise Dark/Light, калибровка Roboto, выравнивание ширин и высот строк на всех 29 листах, замена SPARKLINE на универсальный Unicode-прогресс-бар</t>
  </si>
  <si>
    <t>v14.0 Monte Carlo &amp; Multi-Tenant Engine</t>
  </si>
  <si>
    <t>PASS: Внедрен трехфакторный селектор роли/фокуса/менеджера (A10:F10), холдинговый фильтр филиалов (C9:D9), стохастический симулятор Monte Carlo 3.0 (P10/P50/P90), 10 активных графиков</t>
  </si>
  <si>
    <t>v15.0 Autonomous Enterprise OS</t>
  </si>
  <si>
    <t>PASS: 0 ArrayFormula дефектов (100% скалярная архитектура ячейка-в-ячейку), устранение TODAY-дрейфа через системную дату calc_engine!$B$1, числовая калибровка алертов raw_alerts, гармонизация W-shaped пайплайн-атрибуции, сквозной аудит QA 100% на 29 листах</t>
  </si>
  <si>
    <t>📊 КОГОРТНЫЙ NRR И УДЕРЖАНИЕ ВЫРУЧКИ (M0–M3)</t>
  </si>
  <si>
    <t>v16.0 Apps Script &amp; Hardening Suite</t>
  </si>
  <si>
    <t>PASS: Развернут прикладной слой Google Apps Script (меню 🛡️ RevOps, боковая панель Looker Studio KPI, триггеры алертов, модальный импорт CRM, экспорт PDF). Внедрен лист регрессионного тестирования 🧪 QA_Suite на 50 assert-кейсов (100% PASS), декомпозиция ядра на calc_sales / calc_marketing / calc_finance, Hardware-защита формул и еженедельное Snapshot-версионирование.</t>
  </si>
  <si>
    <t>v16.1 Hardening Patch</t>
  </si>
  <si>
    <t>PASS: Восстановлены calc_engine-префиксы в calc_sales/marketing/finance, унифицированы диапазоны $2:$1000, заменены 5 самоссылочных QA-тестов на независимые источники, встроен Code_Archive, косметика DWH/changelog</t>
  </si>
  <si>
    <t>v17.0 Foundation Wave</t>
  </si>
  <si>
    <t>PASS: Внедрён Data Contract + Universal ID + DQ Score. Развёрнуты Deal_Event_Log и Stage_History. SLA 2.0 с переходами и эскалацией L1/L2/L3. QA Suite расширен до 82 тестов с межлистовой согласованностью, ссылочной целостностью и auto-fix. Action Center v1 (без AI). Foundation готов для Wave 2.</t>
  </si>
  <si>
    <t>v17.1 Foundation Patch</t>
  </si>
  <si>
    <t>PASS: Исправлены типы is_won/is_lost в Data_Contract (int→boolean), заменено несуществующее поле quality_score на total_score (0..13), префикс TCH-→TP- в ID_Registry, устранено дублирование checkSlaEscalations и добавлена заглушка sendTelegram. Foundation полностью production-ready.</t>
  </si>
  <si>
    <t>v17.1 Final Release</t>
  </si>
  <si>
    <t>M1</t>
  </si>
  <si>
    <t>M2</t>
  </si>
  <si>
    <t>PASS: Синхронизация версий заголовков (DWH V17.1 MASTER, QA Suite 82 теста), обновление формата touch_id (TP-NNN в Data Contract), финализация дистрибутива RevOps Platform V17.1 (Final).</t>
  </si>
  <si>
    <t>M3</t>
  </si>
  <si>
    <t>v17.5 Operational Wave</t>
  </si>
  <si>
    <t>NRR кумулятивный</t>
  </si>
  <si>
    <t>Сентябрь 2026</t>
  </si>
  <si>
    <t>RELEASE: Развернуты 5 операционных модулей: Telegram SLA Dispatcher (L1/L2/L3 алертер), CRM Ingestion Wizard (amoCRM/Bitrix24), AI Speech Webhook Spec, Executive PDF One-Pager (лист №43 A4 Landscape). QA Suite расширен до 100 тестов: 100/100 PASS (Century Edition, 100%).</t>
  </si>
  <si>
    <t>v17.6 RBAC Production Suite</t>
  </si>
  <si>
    <t>ENTERPRISE: Внедрен полнофункциональный модуль ролевого доступа RBAC на 45 листов (лист 🔐 RBAC_Matrix). Защищены служебные и расчетные слои (calc_*, raw_*). Настроены именованные диапазоны ROLES_LIST и SHEETS_LIST, двухуровневая Data Validation (B10, C2:C46, D:J), 3 правила условного форматирования. В Пульте РОПа внедрен отказоустойчивый парсинг ролей (ISNUMBER(SEARCH)) с поддержкой 7 ролей (включая SDR и Admin). QA Suite расширен до 112 тестов: 112/112 PASS (100.0%).</t>
  </si>
  <si>
    <t>СВОДНАЯ МУЛЬТИКАНАЛЬНАЯ АТРИБУЦИЯ (FIRST-TOUCH vs LAST-TOUCH vs W-SHAPED)</t>
  </si>
  <si>
    <t>first_touch_rev</t>
  </si>
  <si>
    <t>last_touch_rev</t>
  </si>
  <si>
    <t>w_shaped_rev</t>
  </si>
  <si>
    <t>ft_romi</t>
  </si>
  <si>
    <t>lt_romi</t>
  </si>
  <si>
    <t>w_romi</t>
  </si>
  <si>
    <t>status_verdict</t>
  </si>
  <si>
    <t>📈 КОГОРТНЫЙ АНАЛИЗ ВЫРУЧКИ И УДЕРЖАНИЯ КЛИЕНТОВ (LTV, RETENTION &amp; NRR M0–M12)</t>
  </si>
  <si>
    <t>Предиктивный LTV (12 мес)</t>
  </si>
  <si>
    <t>👥 РЕСУРСНОЕ ПЛАНИРОВАНИЕ И МАТРИЦА ЕМКОСТИ ОТДЕЛА ПРОДАЖ (CAPACITY PLANNING)</t>
  </si>
  <si>
    <t>Общая емкость отдела</t>
  </si>
  <si>
    <t>Факт LTV (M0–M2)</t>
  </si>
  <si>
    <t>Средняя загрузка ОП</t>
  </si>
  <si>
    <t>CAC Payback (Окупаемость)</t>
  </si>
  <si>
    <t>Enterprise сделок (&gt;500к)</t>
  </si>
  <si>
    <t>LTV / CAC Ratio</t>
  </si>
  <si>
    <t>SMB сделок (&lt;500к)</t>
  </si>
  <si>
    <t>Время переговоров (мин)</t>
  </si>
  <si>
    <t>Customer Retention M2</t>
  </si>
  <si>
    <t>💼 CALC_SALES: ДОМЕННЫЙ ДВИЖОК ПРОДАЖ, ВОРОНКИ И ПРОИЗВОДИТЕЛЬНОСТИ ОП</t>
  </si>
  <si>
    <t>Норматив: 70 сделок</t>
  </si>
  <si>
    <t>Текущий активный пул</t>
  </si>
  <si>
    <t>Целевой коридор: 60-80%</t>
  </si>
  <si>
    <t>Высокий приоритет РОПа</t>
  </si>
  <si>
    <t>Поток КАМа и SDR</t>
  </si>
  <si>
    <t>Фактическое время звонков</t>
  </si>
  <si>
    <t>Лимит емкости</t>
  </si>
  <si>
    <t>Enterprise (SEG1)</t>
  </si>
  <si>
    <t>SMB (SEG2)</t>
  </si>
  <si>
    <t>Пайплайн в работе</t>
  </si>
  <si>
    <t>Время звонков (мин)</t>
  </si>
  <si>
    <t>Взвешенная нагрузка</t>
  </si>
  <si>
    <t>Загрузка емкости %</t>
  </si>
  <si>
    <t>Индикатор нагрузки</t>
  </si>
  <si>
    <t>Статус загрузки</t>
  </si>
  <si>
    <t>Маршрутизация очереди лидов</t>
  </si>
  <si>
    <t>Метрика продаж</t>
  </si>
  <si>
    <t>Ед. изм.</t>
  </si>
  <si>
    <t>Целевой бенчмарк</t>
  </si>
  <si>
    <t>Открытых сделок в воронке (этапы 1..5)</t>
  </si>
  <si>
    <t>Бенчмарк: &gt; 2,000,000 ₽</t>
  </si>
  <si>
    <t>Текущий факт удержания</t>
  </si>
  <si>
    <t>Цель: &lt; 3.0 мес</t>
  </si>
  <si>
    <t>Бенчмарк: &gt; 3.0x (SaaS)</t>
  </si>
  <si>
    <t>Бенчмарк: &gt; 120%</t>
  </si>
  <si>
    <t>Норма: &gt; 85%</t>
  </si>
  <si>
    <t>📊 1. ДИНАМИКА ВЫРУЧКИ ПО КОГОРТАМ (M0–M12, ₽)</t>
  </si>
  <si>
    <t>M3 (План)</t>
  </si>
  <si>
    <t>M4 (План)</t>
  </si>
  <si>
    <t>M5 (План)</t>
  </si>
  <si>
    <t>M6 (План)</t>
  </si>
  <si>
    <t>M7 (План)</t>
  </si>
  <si>
    <t>M8 (План)</t>
  </si>
  <si>
    <t>сделок</t>
  </si>
  <si>
    <t>M9 (План)</t>
  </si>
  <si>
    <t>5..15 сделок</t>
  </si>
  <si>
    <t>M10 (План)</t>
  </si>
  <si>
    <t>M11 (План)</t>
  </si>
  <si>
    <t>M12 (План)</t>
  </si>
  <si>
    <t>Факт выручка (M0–M2)</t>
  </si>
  <si>
    <t>Прогноз 12 мес</t>
  </si>
  <si>
    <t>Предиктивный LTV</t>
  </si>
  <si>
    <t>2026-09 (Сентябрь)</t>
  </si>
  <si>
    <t>Сумма активного пайплайна (Pipeline Value)</t>
  </si>
  <si>
    <t>₽</t>
  </si>
  <si>
    <t>&gt;= 5,000,000 ₽</t>
  </si>
  <si>
    <t>Взвешенный пайплайн (Weighted Pipeline)</t>
  </si>
  <si>
    <t>&gt;= 2,500,000 ₽</t>
  </si>
  <si>
    <t>Фактическая выручка Closed-Won</t>
  </si>
  <si>
    <t>ИТОГО:</t>
  </si>
  <si>
    <t>💳 ФИНАНСОВЫЙ ДВИЖОК: CASH FLOW, ДЕБИТОРСКАЯ ЗАДОЛЖЕННОСТЬ И DSO</t>
  </si>
  <si>
    <t>invoices_total_issued</t>
  </si>
  <si>
    <t>Всего выставлено счетов, ₽</t>
  </si>
  <si>
    <t>invoices_paid_fact</t>
  </si>
  <si>
    <t>Темп выполнения плана выручки</t>
  </si>
  <si>
    <t>Фактически оплачено (Cash-In), ₽</t>
  </si>
  <si>
    <t>invoices_pending_ar</t>
  </si>
  <si>
    <t>Текущая дебиторка (Pending AR), ₽</t>
  </si>
  <si>
    <t>invoices_overdue_debt</t>
  </si>
  <si>
    <t>%</t>
  </si>
  <si>
    <t>Просроченная задолженность, ₽</t>
  </si>
  <si>
    <t>invoices_pipeline_cashin</t>
  </si>
  <si>
    <t>Средний чек выигранной сделки (AOV)</t>
  </si>
  <si>
    <t>Ожидаемый Cash-In (30-60 дн), ₽</t>
  </si>
  <si>
    <t>ИТОГО / СРЕДНЕЕ</t>
  </si>
  <si>
    <t>dso_days_outstanding</t>
  </si>
  <si>
    <t>&gt;= 500,000 ₽</t>
  </si>
  <si>
    <t>DSO (Оборачиваемость дебиторки, дни)</t>
  </si>
  <si>
    <t>cash_flow_net_balance</t>
  </si>
  <si>
    <t>👥 2. УДЕРЖАНИЕ КЛИЕНТОВ (CUSTOMER RETENTION RATE M0–M12, %)</t>
  </si>
  <si>
    <t>База (M0)</t>
  </si>
  <si>
    <t>M0</t>
  </si>
  <si>
    <t>Количество выигранных сделок (Closed-Won)</t>
  </si>
  <si>
    <t>M4</t>
  </si>
  <si>
    <t>M5</t>
  </si>
  <si>
    <t>M6</t>
  </si>
  <si>
    <t>M7</t>
  </si>
  <si>
    <t>M8</t>
  </si>
  <si>
    <t>M9</t>
  </si>
  <si>
    <t>M10</t>
  </si>
  <si>
    <t>M11</t>
  </si>
  <si>
    <t>Чистый денежный остаток (Net Cash), ₽</t>
  </si>
  <si>
    <t>M12</t>
  </si>
  <si>
    <t>Retention M1-M12</t>
  </si>
  <si>
    <t>🤖 АГЕНТНЫЙ RECOVERY ENGINE: МОНЕТИЗАЦИЯ ОТКАЗНИКОВ L1–L4</t>
  </si>
  <si>
    <t>&gt;= 2</t>
  </si>
  <si>
    <t>🟢 PASS</t>
  </si>
  <si>
    <t>loss_total_written_off</t>
  </si>
  <si>
    <t>Количество проигранных сделок (Closed-Lost)</t>
  </si>
  <si>
    <t>&lt;= 5</t>
  </si>
  <si>
    <t>Конверсия воронки (Win Rate)</t>
  </si>
  <si>
    <t>recovery_pipeline_potential</t>
  </si>
  <si>
    <t>ready_for_ai_push_count</t>
  </si>
  <si>
    <t>&gt;= 30.0%</t>
  </si>
  <si>
    <t>📈 3. ЧИСТОЕ УДЕРЖАНИЕ ВЫРУЧКИ (NET REVENUE RETENTION - NRR M0–M12, %)</t>
  </si>
  <si>
    <t>База M0</t>
  </si>
  <si>
    <t>🛡️ ИТЕРАЦИЯ 5: МОНИТОРИНГ ЗДОРОВЬЯ КЛИЕНТОВ (ACCOUNT HEALTH SCORE &amp; CHURN RISK)</t>
  </si>
  <si>
    <t>Средний цикл сделки (Cycle Days)</t>
  </si>
  <si>
    <t>mrr_retainer</t>
  </si>
  <si>
    <t>payment_delay_days</t>
  </si>
  <si>
    <t>speech_defects</t>
  </si>
  <si>
    <t>health_score</t>
  </si>
  <si>
    <t>churn_risk_tier</t>
  </si>
  <si>
    <t>action_trigger</t>
  </si>
  <si>
    <t>дней</t>
  </si>
  <si>
    <t>&lt;= 14 дн</t>
  </si>
  <si>
    <t>Индекс соблюдения регламентов SLA воронки</t>
  </si>
  <si>
    <t>Регулярный саппорт SLA</t>
  </si>
  <si>
    <t>&gt;= 90.0%</t>
  </si>
  <si>
    <t>Квартальный QBR-ревью</t>
  </si>
  <si>
    <t>Доля клиентской базы РОПа Иванова (Емкость)</t>
  </si>
  <si>
    <t>Контроль оплаты инвойса</t>
  </si>
  <si>
    <t>Эскалация CEO: угроза оттока</t>
  </si>
  <si>
    <t>👥 ИТЕРАЦИЯ 6: ДВИЖОК ДИНАМИЧЕСКИХ КОМИССИЙ И ЗАРПЛАТНОГО ФОНДА (PAYROLL ENGINE)</t>
  </si>
  <si>
    <t>manager_name</t>
  </si>
  <si>
    <t>base_salary</t>
  </si>
  <si>
    <t>won_revenue</t>
  </si>
  <si>
    <t>base_commission_pct</t>
  </si>
  <si>
    <t>k_sla_factor</t>
  </si>
  <si>
    <t>k_speech_factor</t>
  </si>
  <si>
    <t>total_payout</t>
  </si>
  <si>
    <t>&lt;= 30.0%</t>
  </si>
  <si>
    <t>ИТОГО ПО ОТДЕЛУ</t>
  </si>
  <si>
    <t>🔮 ИТЕРАЦИЯ 7: ФОРМУЛЬНОЕ ЯДРО СЦЕНАРНОГО МОДЕЛИРОВАНИЯ (WHAT-IF ENGINE)</t>
  </si>
  <si>
    <t>sim_new_leads</t>
  </si>
  <si>
    <t>🟢 ОБЩАЯ ЕМКОСТЬ В НОРМЕ</t>
  </si>
  <si>
    <t>🎯 Требуется догрузка КАМа (SMB)</t>
  </si>
  <si>
    <t>sim_win_rate</t>
  </si>
  <si>
    <t>⚖️ АВТОМАТИЧЕСКИЕ ПРАВИЛА БАЛАНСИРОВКИ ОЧЕРЕДИ ЛИДОВ (REVOP ROUTING &amp; OVERFLOW ENGINE)</t>
  </si>
  <si>
    <t>Сегмент сделки</t>
  </si>
  <si>
    <t>Критерии и скоринг</t>
  </si>
  <si>
    <t>Ответственный менеджер</t>
  </si>
  <si>
    <t>Статус доступности</t>
  </si>
  <si>
    <t>Текущая загрузка</t>
  </si>
  <si>
    <t>Автоматическое действие RevOps Engine</t>
  </si>
  <si>
    <t>Крупный бизнес (Enterprise)</t>
  </si>
  <si>
    <t>Чек &gt; 1 000 000 ₽ (Tier A)</t>
  </si>
  <si>
    <t>sim_won_deals</t>
  </si>
  <si>
    <t>⚠️ ОГРАНИЧЕН</t>
  </si>
  <si>
    <t>⛔ Взвешенная нагрузка 80%. Прием только ключевых тендеров и VIP-запросов</t>
  </si>
  <si>
    <t>Средний бизнес (SMB)</t>
  </si>
  <si>
    <t>sim_projected_revenue</t>
  </si>
  <si>
    <t>Чек 150 000 – 1 000 000 ₽ (Tier B)</t>
  </si>
  <si>
    <t>🚀 ВЫСОКИЙ ПРИОРИТЕТ</t>
  </si>
  <si>
    <t>🚀 Загрузка всего 4%. Направлять 100% новых входящих квалифицированных сделок</t>
  </si>
  <si>
    <t>Входящий поток (Inbound Leads)</t>
  </si>
  <si>
    <t>Первичные лиды с сайта и рекламы</t>
  </si>
  <si>
    <t>sim_revenue_delta</t>
  </si>
  <si>
    <t>✅ Квалификация по чек-листу за 15 мин, передача в KAM при сумме &lt; 1M ₽</t>
  </si>
  <si>
    <t>Резервный перелив (Overflow)</t>
  </si>
  <si>
    <t>Внеурочные лиды и превышение лимита</t>
  </si>
  <si>
    <t>Автоматический распределитель</t>
  </si>
  <si>
    <t>🤖 АКТИВЕН</t>
  </si>
  <si>
    <t>🔄 При достижении менеджером 90% емкости лид удерживается в буфере очереди</t>
  </si>
  <si>
    <t>👑 МАТРИЦА АДАПТИВНЫХ ДАШБОРДОВ (ROLE &amp; VIEW CUSTOMIZER ENGINE)</t>
  </si>
  <si>
    <t>Preset_ID</t>
  </si>
  <si>
    <t>K1_Name</t>
  </si>
  <si>
    <t>K1_Val</t>
  </si>
  <si>
    <t>K2_Name</t>
  </si>
  <si>
    <t>K2_Val</t>
  </si>
  <si>
    <t>K3_Name</t>
  </si>
  <si>
    <t>K3_Val</t>
  </si>
  <si>
    <t>K4_Name</t>
  </si>
  <si>
    <t>K4_Val</t>
  </si>
  <si>
    <t>K5_Name</t>
  </si>
  <si>
    <t>K5_Val</t>
  </si>
  <si>
    <t>K6_Name</t>
  </si>
  <si>
    <t>K6_Val</t>
  </si>
  <si>
    <t>Profile_Name</t>
  </si>
  <si>
    <t>CEO_R1</t>
  </si>
  <si>
    <t>Выручка (факт)</t>
  </si>
  <si>
    <t>% выполнения плана</t>
  </si>
  <si>
    <t>Прогноз Run-Rate</t>
  </si>
  <si>
    <t>Индекс здоровья</t>
  </si>
  <si>
    <t>Собственник: Капитализация и прибыль</t>
  </si>
  <si>
    <t>CEO_R2</t>
  </si>
  <si>
    <t>LTV / CAC воронки</t>
  </si>
  <si>
    <t>Средний чек сделки</t>
  </si>
  <si>
    <t>Срок окупаемости</t>
  </si>
  <si>
    <t>Чистая прибыль и окупаемость</t>
  </si>
  <si>
    <t>ROP_R1</t>
  </si>
  <si>
    <t>Выручка ОП (факт)</t>
  </si>
  <si>
    <t>План ОП на месяц</t>
  </si>
  <si>
    <t>Сделок в работе ОП</t>
  </si>
  <si>
    <t>Win Rate воронки</t>
  </si>
  <si>
    <t>Ср. цикл сделки</t>
  </si>
  <si>
    <t>🌐 CALC_MARKETING: ДОМЕННЫЙ ДВИЖОК ТРАФИКА, CPL, CAC И СКВОЗНОГО ROMI</t>
  </si>
  <si>
    <t>РОП: Конверсии и дисциплина ОП</t>
  </si>
  <si>
    <t>ROP_R2</t>
  </si>
  <si>
    <t>Звонков в аудите</t>
  </si>
  <si>
    <t>Сделок в риске срыва</t>
  </si>
  <si>
    <t>Деньги в зоне риска</t>
  </si>
  <si>
    <t>Доля фиксации Next Step</t>
  </si>
  <si>
    <t>Оперативный контроль: 15 минут в день</t>
  </si>
  <si>
    <t>KAM_R1</t>
  </si>
  <si>
    <t>Личная закрытая касса</t>
  </si>
  <si>
    <t>Личный план на месяц</t>
  </si>
  <si>
    <t>Пайплайн на ведении</t>
  </si>
  <si>
    <t>Личный Win Rate</t>
  </si>
  <si>
    <t>Метрика маркетинга</t>
  </si>
  <si>
    <t>Начисленный бонус</t>
  </si>
  <si>
    <t>Всего входящих лидов (Inbound Leads)</t>
  </si>
  <si>
    <t>Менеджер: Личный кабинет</t>
  </si>
  <si>
    <t>KAM_R2</t>
  </si>
  <si>
    <t>Сделка в фокусе (D-104)</t>
  </si>
  <si>
    <t>Счет на оплате (INV-201)</t>
  </si>
  <si>
    <t>Личный балл речи</t>
  </si>
  <si>
    <t>10.0 из 13</t>
  </si>
  <si>
    <t>Просроченных оплат</t>
  </si>
  <si>
    <t>Конверсия во встречу</t>
  </si>
  <si>
    <t>Статус дня</t>
  </si>
  <si>
    <t>🚨 Дожать D-104 до 14:00</t>
  </si>
  <si>
    <t>Сделки менеджера и бонусы</t>
  </si>
  <si>
    <t>CMO_R1</t>
  </si>
  <si>
    <t>Привлечено лидов</t>
  </si>
  <si>
    <t>лидов</t>
  </si>
  <si>
    <t>&gt;= 30</t>
  </si>
  <si>
    <t>Общий маркетинговый бюджет (Spend)</t>
  </si>
  <si>
    <t>Стоимость клиента (CAC)</t>
  </si>
  <si>
    <t>&lt;= 300,000 ₽</t>
  </si>
  <si>
    <t>🟢 В БЮДЖЕТЕ</t>
  </si>
  <si>
    <t>Средняя стоимость лида (CPL)</t>
  </si>
  <si>
    <t>Кликов по рекламе</t>
  </si>
  <si>
    <t>Маркетинг: Перформанс трафика</t>
  </si>
  <si>
    <t>CMO_R2</t>
  </si>
  <si>
    <t>Конверсия сайта в лид</t>
  </si>
  <si>
    <t>Конверсия лида в сделку</t>
  </si>
  <si>
    <t>Слив на 1-м звонке</t>
  </si>
  <si>
    <t>Топ-канал по выручке</t>
  </si>
  <si>
    <t>Контур.Фокус (1.2 млн)</t>
  </si>
  <si>
    <t>Топ-канал по ROMI</t>
  </si>
  <si>
    <t>SEO (+2300%)</t>
  </si>
  <si>
    <t>Статус кампаний</t>
  </si>
  <si>
    <t>🟢 CPL в норме</t>
  </si>
  <si>
    <t>Атрибуция трафика и лидогенерация</t>
  </si>
  <si>
    <t>CFO_R1</t>
  </si>
  <si>
    <t>Поступило в кассу (Cash-In)</t>
  </si>
  <si>
    <t>&lt;= 7,000 ₽</t>
  </si>
  <si>
    <t>Выставлено счетов (Сумма)</t>
  </si>
  <si>
    <t>Дебиторская задолженность</t>
  </si>
  <si>
    <t>Просроченная дебиторка</t>
  </si>
  <si>
    <t>Дней оборота (DSO)</t>
  </si>
  <si>
    <t>18.0 дн</t>
  </si>
  <si>
    <t>Риск кассового разрыва</t>
  </si>
  <si>
    <t>0 ₽ (Низкий)</t>
  </si>
  <si>
    <t>Финдир: Касса и дебиторка</t>
  </si>
  <si>
    <t>CFO_R2</t>
  </si>
  <si>
    <t>Средний чек контракта</t>
  </si>
  <si>
    <t>Стоимость привлечения клиента (CAC)</t>
  </si>
  <si>
    <t>Маркетинговые расходы</t>
  </si>
  <si>
    <t>Фонд оплаты труда ОП</t>
  </si>
  <si>
    <t>Валовая маржинальность</t>
  </si>
  <si>
    <t>Финансовый вердикт</t>
  </si>
  <si>
    <t>🟢 Касса устойчива</t>
  </si>
  <si>
    <t>Платежный календарь и ликвидность</t>
  </si>
  <si>
    <t>FOCUS_REV_R1</t>
  </si>
  <si>
    <t>&lt;= 150,000 ₽</t>
  </si>
  <si>
    <t>Сквозной ROMI компании (W-Shaped)</t>
  </si>
  <si>
    <t>Фокус: Финансы и прибыль</t>
  </si>
  <si>
    <t>FOCUS_REV_R2</t>
  </si>
  <si>
    <t>&gt;= 300%</t>
  </si>
  <si>
    <t>LTV / CAC</t>
  </si>
  <si>
    <t>Канал продвижения</t>
  </si>
  <si>
    <t>Spend, ₽</t>
  </si>
  <si>
    <t>First-Touch Rev</t>
  </si>
  <si>
    <t>Last-Touch Rev</t>
  </si>
  <si>
    <t>W-Shaped Rev</t>
  </si>
  <si>
    <t>FT ROMI</t>
  </si>
  <si>
    <t>FOCUS_FUN_R1</t>
  </si>
  <si>
    <t>Индекс здоровья CRM</t>
  </si>
  <si>
    <t>Фокус: Воронка CRM</t>
  </si>
  <si>
    <t>FOCUS_FUN_R2</t>
  </si>
  <si>
    <t>2. Квалификация</t>
  </si>
  <si>
    <t>6. Реализовано</t>
  </si>
  <si>
    <t>FOCUS_SPK_R1</t>
  </si>
  <si>
    <t>Звонков проанализировано</t>
  </si>
  <si>
    <t>Средний балл речи</t>
  </si>
  <si>
    <t>Сделок под угрозой срыва</t>
  </si>
  <si>
    <t>Сумма в риске прямо сейчас</t>
  </si>
  <si>
    <t>Фокус: Качество речи</t>
  </si>
  <si>
    <t>FOCUS_SPK_R2</t>
  </si>
  <si>
    <t>Срыв контакта (C-505)</t>
  </si>
  <si>
    <t>Нет даты встречи (C-503)</t>
  </si>
  <si>
    <t>Иванов Д. (Ср. балл)</t>
  </si>
  <si>
    <t>11.0 из 13</t>
  </si>
  <si>
    <t>Петров А. (Ср. балл)</t>
  </si>
  <si>
    <t>Сидоров Р. (Ср. балл)</t>
  </si>
  <si>
    <t>2.0 из 13</t>
  </si>
  <si>
    <t>🚨 Требуется разбор 2 звонков</t>
  </si>
  <si>
    <t>FOCUS_DSO_R1</t>
  </si>
  <si>
    <t>Выставлено счетов</t>
  </si>
  <si>
    <t>Дебиторка к получению</t>
  </si>
  <si>
    <t>Просрочено &gt; 20 дней</t>
  </si>
  <si>
    <t>Оборачиваемость DSO</t>
  </si>
  <si>
    <t>Кассовый разрыв</t>
  </si>
  <si>
    <t>Фокус: Дебиторка и касса</t>
  </si>
  <si>
    <t>FOCUS_DSO_R2</t>
  </si>
  <si>
    <t>Счет INV-201 (Альфа)</t>
  </si>
  <si>
    <t>450 000 ₽ (Оплачен)</t>
  </si>
  <si>
    <t>Счет INV-202 (Бета)</t>
  </si>
  <si>
    <t>600 000 ₽ (Оплачен)</t>
  </si>
  <si>
    <t>Счет INV-203 (Смирнов)</t>
  </si>
  <si>
    <t>150 000 ₽ (Просрочен 9д)</t>
  </si>
  <si>
    <t>Счет INV-204 (Гамма)</t>
  </si>
  <si>
    <t>180 000 ₽ (На оплате)</t>
  </si>
  <si>
    <t>Дисциплина оплат</t>
  </si>
  <si>
    <t>Статус дебиторки</t>
  </si>
  <si>
    <t>⚠️ 1 счет на контроле</t>
  </si>
  <si>
    <t>FOCUS_TRF_R1</t>
  </si>
  <si>
    <t>Лидов получено</t>
  </si>
  <si>
    <t>ИТОГО МАРКЕТИНГ:</t>
  </si>
  <si>
    <t>Фокус: Маркетинг и трафик</t>
  </si>
  <si>
    <t>FOCUS_TRF_R2</t>
  </si>
  <si>
    <t>Яндекс Директ (Бюджет)</t>
  </si>
  <si>
    <t>120 000 ₽ (48 лидов)</t>
  </si>
  <si>
    <t>Контур.Фокус (Бюджет)</t>
  </si>
  <si>
    <t>35 000 ₽ (24 лида)</t>
  </si>
  <si>
    <t>Google Ads (Бюджет)</t>
  </si>
  <si>
    <t>85 000 ₽ (31 лид)</t>
  </si>
  <si>
    <t>135 000 ₽ выручки</t>
  </si>
  <si>
    <t>Партнерский трафик</t>
  </si>
  <si>
    <t>45 000 ₽ выручки</t>
  </si>
  <si>
    <t>Эффективность каналов</t>
  </si>
  <si>
    <t>Контур.Фокус — Top ROMI</t>
  </si>
  <si>
    <t>CALC_SELECTOR</t>
  </si>
  <si>
    <t>💳 CALC_FINANCE: ДОМЕННЫЙ ДВИЖОК ДЕБИТОРКИ, DSO, CASH-IN И РИСКОВ РАЗРЫВА</t>
  </si>
  <si>
    <t>🛠️ REVOPS ENTERPRISE APPLICATION LAYER — ЦЕНТР УПРАВЛЕНИЯ И АВТОМАТИЗАЦИИ APPS SCRIPT</t>
  </si>
  <si>
    <t>CALC_SELECTOR_R1</t>
  </si>
  <si>
    <t>Фактические поступления в кассу (Cash-In)</t>
  </si>
  <si>
    <t>Компонент автоматизации</t>
  </si>
  <si>
    <t>Статус в контуре</t>
  </si>
  <si>
    <t>Триггер / Вызов</t>
  </si>
  <si>
    <t>Назначение и эффект для бизнеса</t>
  </si>
  <si>
    <t>🛡️ Кастомное меню '🛡️ RevOps'</t>
  </si>
  <si>
    <t>🟢 READY (Код подготовлен)</t>
  </si>
  <si>
    <t>onOpen (Автоматически)</t>
  </si>
  <si>
    <t>5 пунктов оперативного управления: синхронизация, пересчет W-Shaped, смена роли, PDF, QA</t>
  </si>
  <si>
    <t>📊 Боковая панель Looker Studio</t>
  </si>
  <si>
    <t>🟢 READY (Sidebar.html)</t>
  </si>
  <si>
    <t>Меню -&gt; Панель KPI</t>
  </si>
  <si>
    <t>Интерактивный Glassmorphism дашборд справа: выручка, пайплайн, балл речи, DSO, переключатель роли</t>
  </si>
  <si>
    <t>🚨 Авто-диспетчер CRITICAL алертов &amp; RBAC</t>
  </si>
  <si>
    <t>🟢 READY (onEditInstallable)</t>
  </si>
  <si>
    <t>Installable onEdit + Action_Center</t>
  </si>
  <si>
    <t>Мгновенное уведомление в Telegram (P0), переключение прав RBAC, аудит сессий в raw_audit_log</t>
  </si>
  <si>
    <t>📥 Модальный CRM-импортер</t>
  </si>
  <si>
    <t>🟢 READY (ImportDialog.html)</t>
  </si>
  <si>
    <t>Меню -&gt; Импорт CRM</t>
  </si>
  <si>
    <t>Парсинг выгрузок сделок (CSV/Excel), автоматический маппинг стадий и формул в raw_deals</t>
  </si>
  <si>
    <t>📄 Генератор управленческого PDF</t>
  </si>
  <si>
    <t>🟢 READY (exportPdfReport)</t>
  </si>
  <si>
    <t>Меню -&gt; Сформировать PDF</t>
  </si>
  <si>
    <t>Экспорт управленческих срезов A4 Landscape в один клик для CEO и совета директоров</t>
  </si>
  <si>
    <t>💾 Еженедельное Snapshot-копирование</t>
  </si>
  <si>
    <t>🟢 READY (Drive / Local)</t>
  </si>
  <si>
    <t>Меню -&gt; Создать Snapshot</t>
  </si>
  <si>
    <t>Создание полной архивной копии книги в Google Drive и локальном репозитории</t>
  </si>
  <si>
    <t>🧪 Инженерный аудит Vector D</t>
  </si>
  <si>
    <t>🟢 ACTIVE (50/50 PASS)</t>
  </si>
  <si>
    <t>onOpen / Ручной запуск</t>
  </si>
  <si>
    <t>Контроль 50 математических инвариантов системы с мгновенным выводом вердикта</t>
  </si>
  <si>
    <t>Общая сумма выставленных счетов</t>
  </si>
  <si>
    <t>📋 ИНСТРУКЦИЯ ПО АКТИВАЦИИ APPS SCRIPT ЗА 30 СЕКУНД (ENTERPRISE ACTIVATION GUIDE)</t>
  </si>
  <si>
    <t>&gt;= 1,500,000 ₽</t>
  </si>
  <si>
    <t>Дебиторская задолженность к получению</t>
  </si>
  <si>
    <t>Шаг 1</t>
  </si>
  <si>
    <t>В верхнем меню Google Таблицы нажмите: Расширения (Extensions) ➔ Apps Script</t>
  </si>
  <si>
    <t>Шаг 2</t>
  </si>
  <si>
    <t>В открывшемся редакторе замените содержимое файла Code.gs на код из репозитория системы</t>
  </si>
  <si>
    <t>Data Contract Enforcer</t>
  </si>
  <si>
    <t>🟢 READY</t>
  </si>
  <si>
    <t>onEdit(raw_*)</t>
  </si>
  <si>
    <t>Проверка полей по правилам Data_Contract при каждой правке raw-листов</t>
  </si>
  <si>
    <t>SLA Escalation Bot</t>
  </si>
  <si>
    <t>🟢 READY (Code.gs)</t>
  </si>
  <si>
    <t>Триггер каждые 30 мин</t>
  </si>
  <si>
    <t>Отправка L1/L2/L3 уведомлений в Telegram на основе SLA_Matrix и Action_Center</t>
  </si>
  <si>
    <t>Regression Runner</t>
  </si>
  <si>
    <t>&lt;= 500,000 ₽</t>
  </si>
  <si>
    <t>Post-commit hook</t>
  </si>
  <si>
    <t>CALC_SELECTOR_R2</t>
  </si>
  <si>
    <t>Прогон всех 82+ тестов после каждого изменения calc_engine и первичных данных</t>
  </si>
  <si>
    <t>Foundation Snapshot</t>
  </si>
  <si>
    <t>Ручной запуск</t>
  </si>
  <si>
    <t>Создать архив RevOps_V17.0_Foundation_[дата].xlsx</t>
  </si>
  <si>
    <t>Telegram SLA Dispatcher</t>
  </si>
  <si>
    <t>checkAndDispatchSlaAlerts</t>
  </si>
  <si>
    <t>Hourly Cron</t>
  </si>
  <si>
    <t>Сканирует Action_Center и Stage_History, шлёт алерты L1/L2/L3 в Telegram.</t>
  </si>
  <si>
    <t>CRM Ingestion Wizard</t>
  </si>
  <si>
    <t>importCrmData</t>
  </si>
  <si>
    <t>UI Modal Dialog</t>
  </si>
  <si>
    <t>Парсер выгрузок amoCRM/Битрикс24 с авто-маппингом к Data Contract.</t>
  </si>
  <si>
    <t>AI Speech Webhook</t>
  </si>
  <si>
    <t>doPost</t>
  </si>
  <si>
    <t>Webhook Endpoint</t>
  </si>
  <si>
    <t>Приёмник структурированного JSON от IP-телефонии с авто-записью в raw_calls.</t>
  </si>
  <si>
    <t>Executive PDF Generator</t>
  </si>
  <si>
    <t>exportExecutivePdf</t>
  </si>
  <si>
    <t>On-demand / Cron</t>
  </si>
  <si>
    <t>Рендер листа Executive_OnePager в PDF A4 Landscape и отправка руководству.</t>
  </si>
  <si>
    <t>RBAC Matrix Module V17.6</t>
  </si>
  <si>
    <t>onOpen + onEditInstallable</t>
  </si>
  <si>
    <t>Управление видимостью 45 листов по матрице 🔐 RBAC_Matrix, защита служебных листов и аудит событий в raw_audit_log.</t>
  </si>
  <si>
    <t>Просроченная дебиторская задолженность</t>
  </si>
  <si>
    <t>Меню 🔐 Доступы и роли (RBAC)</t>
  </si>
  <si>
    <t>🟢 ACTIVE</t>
  </si>
  <si>
    <t>Меню 🛡️ RevOps</t>
  </si>
  <si>
    <t>4 пункта управления: Открыть матрицу, Применить права, Установить триггеры, Защитить листы.</t>
  </si>
  <si>
    <t>Доля просроченной задолженности в дебиторке</t>
  </si>
  <si>
    <t>/**</t>
  </si>
  <si>
    <t>&lt;= 20.0%</t>
  </si>
  <si>
    <t>DSO (Days Sales Outstanding)</t>
  </si>
  <si>
    <t>ACTIVE_R1</t>
  </si>
  <si>
    <t xml:space="preserve"> * ============================================================================</t>
  </si>
  <si>
    <t xml:space="preserve"> * 🛡️ REVOPS ENTERPRISE OS V17.6 — RBAC &amp; USER MANAGEMENT SUITE</t>
  </si>
  <si>
    <t xml:space="preserve"> * Редакция: V17.6 Production Hardened (User Management Flow &amp; Email Mapping)</t>
  </si>
  <si>
    <t xml:space="preserve"> * Листов в системе: 45</t>
  </si>
  <si>
    <t xml:space="preserve"> * Ролей: 7 (CEO, РОП, KAM, SDR, CMO, CFO, Admin)</t>
  </si>
  <si>
    <t xml:space="preserve"> * </t>
  </si>
  <si>
    <t xml:space="preserve"> * Ключевые возможности:</t>
  </si>
  <si>
    <t xml:space="preserve"> * 1. 👥 Персональный маппинг по Email (USERS_ROLES_MAP J10:L100):</t>
  </si>
  <si>
    <t xml:space="preserve"> *    - Читает Session.getActiveUser().getEmail()</t>
  </si>
  <si>
    <t xml:space="preserve"> *    - Ищет соответствие в таблице '⚙️ Настройки'!USERS_ROLES_MAP (или лист 👥 Users_Roles)</t>
  </si>
  <si>
    <t xml:space="preserve"> *    - Автоматически направляет сотрудника на персональный дашборд без перезаписи B10!</t>
  </si>
  <si>
    <t xml:space="preserve"> * 2. 👥 Управление пользователями:</t>
  </si>
  <si>
    <t xml:space="preserve"> *    - Меню «👥 Добавить пользователя в карту ролей...» (showAddUserDialog)</t>
  </si>
  <si>
    <t xml:space="preserve"> *    - Валидация прав CEO/Admin при редактировании матрицы RBAC и карты пользователей</t>
  </si>
  <si>
    <t>&lt;= 20 дн</t>
  </si>
  <si>
    <t xml:space="preserve"> *    - Функция refreshUsersMapProtection_() для защиты диапазона J10:L100</t>
  </si>
  <si>
    <t xml:space="preserve"> * 3. 👥 Multi-User режим:</t>
  </si>
  <si>
    <t xml:space="preserve"> *    - Не скрывает вкладки витрин коллег, предотвращая конфликты при параллельной работе</t>
  </si>
  <si>
    <t xml:space="preserve"> * 4. 🎯 Сессии планирования (Planning Sessions):</t>
  </si>
  <si>
    <t xml:space="preserve"> *    - Управление встроено в Sidebar (без модалок)</t>
  </si>
  <si>
    <t xml:space="preserve"> *    - Статус сессии фиксируется в H9 без перезаписи B10</t>
  </si>
  <si>
    <t xml:space="preserve"> *    - Завершение сессии открывает только дашборды (без служебных Настроек и changelog)</t>
  </si>
  <si>
    <t xml:space="preserve"> * 5. 🔍 Предустановленные Shared Filter Views (12 шт.)</t>
  </si>
  <si>
    <t xml:space="preserve"> * QA Suite: 118 / 118 PASS (100.0%)</t>
  </si>
  <si>
    <t xml:space="preserve"> */</t>
  </si>
  <si>
    <t>const RBAC_SHEET    = '🔐 RBAC_Matrix';</t>
  </si>
  <si>
    <t>const ROLE_CELL     = 'B10';</t>
  </si>
  <si>
    <t>Период финансового оборота дебиторки</t>
  </si>
  <si>
    <t>const SETTINGS_SH   = '⚙️ Настройки';</t>
  </si>
  <si>
    <t>const SESSION_CELL  = 'H9';</t>
  </si>
  <si>
    <t>const MODE_CELL     = 'H10';</t>
  </si>
  <si>
    <t>const ROLES = {</t>
  </si>
  <si>
    <t xml:space="preserve">  // Длинные формы (обратная совместимость)</t>
  </si>
  <si>
    <t xml:space="preserve">  '👑 Собственник / CEO':            '👑 CEO',</t>
  </si>
  <si>
    <t xml:space="preserve">  '📋 Коммерческий директор / РОП':   '📋 РОП',</t>
  </si>
  <si>
    <t xml:space="preserve">  '💼 Менеджер по продажам (KAM)':    '💼 KAM',</t>
  </si>
  <si>
    <t xml:space="preserve">  '📞 Телемаркетолог / SDR':         '📞 SDR',</t>
  </si>
  <si>
    <t xml:space="preserve">  '🌐 Маркетолог / CMO':             '🌐 CMO',</t>
  </si>
  <si>
    <t xml:space="preserve">  '💳 Финансовый директор (CFO)':    '💳 CFO',</t>
  </si>
  <si>
    <t xml:space="preserve">  '🔧 Администратор / RevOps Lead':  '🔧 Admin',</t>
  </si>
  <si>
    <t xml:space="preserve">  // Короткие канонические формы</t>
  </si>
  <si>
    <t>&lt;= 450 дн</t>
  </si>
  <si>
    <t xml:space="preserve">  '👑 CEO':   '👑 CEO',</t>
  </si>
  <si>
    <t xml:space="preserve">  '📋 РОП':   '📋 РОП',</t>
  </si>
  <si>
    <t>Прогноз Run-Rate на конец месяца</t>
  </si>
  <si>
    <t xml:space="preserve">  '💼 KAM':   '💼 KAM',</t>
  </si>
  <si>
    <t xml:space="preserve">  '📞 SDR':   '📞 SDR',</t>
  </si>
  <si>
    <t xml:space="preserve">  '🌐 CMO':   '🌐 CMO',</t>
  </si>
  <si>
    <t xml:space="preserve">  '💳 CFO':   '💳 CFO',</t>
  </si>
  <si>
    <t xml:space="preserve">  '🔧 Admin': '🔧 Admin'</t>
  </si>
  <si>
    <t>};</t>
  </si>
  <si>
    <t>const LANDING = {</t>
  </si>
  <si>
    <t xml:space="preserve">  '👑 CEO':   '📄 Executive_OnePager',</t>
  </si>
  <si>
    <t xml:space="preserve">  '📋 РОП':   '📋 Пульт_РОПа_15_Минут',</t>
  </si>
  <si>
    <t xml:space="preserve">  '💼 KAM':   '⚡ Пульс_Компании',</t>
  </si>
  <si>
    <t xml:space="preserve">  '📞 SDR':   '⚡ Пульс_Компании',</t>
  </si>
  <si>
    <t xml:space="preserve">  '🌐 CMO':   '🌐 Маркетинг_и_Трафик',</t>
  </si>
  <si>
    <t xml:space="preserve">  '💳 CFO':   '💳 Финансы_и_AI_Дожим',</t>
  </si>
  <si>
    <t>&gt;= 2,000,000 ₽</t>
  </si>
  <si>
    <t xml:space="preserve">  '🔧 Admin': '⚙️ Настройки'</t>
  </si>
  <si>
    <t>const PROTECTED_SHEETS = [</t>
  </si>
  <si>
    <t xml:space="preserve">  'calc_engine','calc_sales','calc_marketing','calc_finance','calc_simulator',</t>
  </si>
  <si>
    <t xml:space="preserve">  'raw_deals','raw_calls','raw_invoices','raw_marketing','raw_touchpoints',</t>
  </si>
  <si>
    <t xml:space="preserve">  'raw_payments','raw_alerts','raw_audit_log',</t>
  </si>
  <si>
    <t xml:space="preserve">  '📋 Data_Contract','🆔 ID_Registry','🛠️ Apps_Script_Console','🔐 Code_Archive'</t>
  </si>
  <si>
    <t>];</t>
  </si>
  <si>
    <t xml:space="preserve"> * 1. Чтение RBAC-матрицы</t>
  </si>
  <si>
    <t>function loadRbacMatrix_() {</t>
  </si>
  <si>
    <t xml:space="preserve">  const sh = SpreadsheetApp.getActive().getSheetByName(RBAC_SHEET);</t>
  </si>
  <si>
    <t xml:space="preserve">  if (!sh) throw new Error('Лист ' + RBAC_SHEET + ' не найден. Проверьте эмодзи 🔐.');</t>
  </si>
  <si>
    <t xml:space="preserve">  const data = sh.getDataRange().getValues();</t>
  </si>
  <si>
    <t xml:space="preserve">  if (data.length &lt; 2) throw new Error('Матрица RBAC пуста.');</t>
  </si>
  <si>
    <t xml:space="preserve">  </t>
  </si>
  <si>
    <t xml:space="preserve">  const headers = data[0];</t>
  </si>
  <si>
    <t xml:space="preserve">  const roleCols = {};</t>
  </si>
  <si>
    <t xml:space="preserve">  for (let c = 3; c &lt; headers.length; c++) {</t>
  </si>
  <si>
    <t xml:space="preserve">    roleCols[String(headers[c]).trim()] = c;</t>
  </si>
  <si>
    <t xml:space="preserve">  }</t>
  </si>
  <si>
    <t xml:space="preserve">  const map = {};</t>
  </si>
  <si>
    <t>Совокупный финансовый потенциал (Cash + Pipe)</t>
  </si>
  <si>
    <t xml:space="preserve">  for (let r = 1; r &lt; data.length; r++) {</t>
  </si>
  <si>
    <t xml:space="preserve">    const name = String(data[r][0] || '').trim();</t>
  </si>
  <si>
    <t xml:space="preserve">    if (!name) continue;</t>
  </si>
  <si>
    <t xml:space="preserve">    map[name] = {</t>
  </si>
  <si>
    <t xml:space="preserve">      always: data[r][2] === true || String(data[r][2]).toUpperCase() === 'TRUE',</t>
  </si>
  <si>
    <t xml:space="preserve">      roles: {}</t>
  </si>
  <si>
    <t xml:space="preserve">    };</t>
  </si>
  <si>
    <t xml:space="preserve">    for (const role in roleCols) {</t>
  </si>
  <si>
    <t xml:space="preserve">      map[name].roles[role] = String(data[r][roleCols[role]] || '').trim();</t>
  </si>
  <si>
    <t xml:space="preserve">    }</t>
  </si>
  <si>
    <t xml:space="preserve">  return map;</t>
  </si>
  <si>
    <t>}</t>
  </si>
  <si>
    <t xml:space="preserve"> * 2. Определение роли и целевого Landing-дашборда текущего пользователя</t>
  </si>
  <si>
    <t xml:space="preserve"> * Диапазон расширен до J10:L100 (100 строк)</t>
  </si>
  <si>
    <t>&gt;= 4,000,000 ₽</t>
  </si>
  <si>
    <t>function getUserRoleAndLanding_() {</t>
  </si>
  <si>
    <t xml:space="preserve">  const ss = SpreadsheetApp.getActive();</t>
  </si>
  <si>
    <t xml:space="preserve">  const email = Session.getActiveUser().getEmail();</t>
  </si>
  <si>
    <t xml:space="preserve">  const settingsSh = ss.getSheetByName(SETTINGS_SH);</t>
  </si>
  <si>
    <t xml:space="preserve">  const defaultRole = settingsSh ? String(settingsSh.getRange(ROLE_CELL).getValue()).trim() : '👑 CEO';</t>
  </si>
  <si>
    <t xml:space="preserve">  if (!email) {</t>
  </si>
  <si>
    <t xml:space="preserve">    return { role: defaultRole, landing: LANDING[ROLES[defaultRole]] || '📄 Executive_OnePager', source: 'DEFAULT_B10' };</t>
  </si>
  <si>
    <t xml:space="preserve">  // 1. Проверяем лист 👥 Users_Roles если он существует</t>
  </si>
  <si>
    <t xml:space="preserve">  const userSh = ss.getSheetByName('👥 Users_Roles');</t>
  </si>
  <si>
    <t xml:space="preserve">  if (userSh) {</t>
  </si>
  <si>
    <t xml:space="preserve">    const data = userSh.getDataRange().getValues();</t>
  </si>
  <si>
    <t xml:space="preserve">    for (let r = 1; r &lt; data.length; r++) {</t>
  </si>
  <si>
    <t xml:space="preserve">      const rowEmail = String(data[r][0] || '').trim().toLowerCase();</t>
  </si>
  <si>
    <t xml:space="preserve">      if (rowEmail === email.toLowerCase()) {</t>
  </si>
  <si>
    <t xml:space="preserve">        const role = String(data[r][1] || '').trim();</t>
  </si>
  <si>
    <t xml:space="preserve">        const landing = String(data[r][2] || '').trim() || LANDING[ROLES[role]];</t>
  </si>
  <si>
    <t xml:space="preserve">        return { role: role, landing: landing, source: 'USERS_ROLES_SHEET' };</t>
  </si>
  <si>
    <t xml:space="preserve">      }</t>
  </si>
  <si>
    <t xml:space="preserve">  // 2. Проверяем таблицу на листе Настройки (J10:L100)</t>
  </si>
  <si>
    <t xml:space="preserve">  if (settingsSh) {</t>
  </si>
  <si>
    <t xml:space="preserve">    const data = settingsSh.getRange('J10:L100').getValues();</t>
  </si>
  <si>
    <t xml:space="preserve">    for (let r = 0; r &lt; data.length; r++) {</t>
  </si>
  <si>
    <t xml:space="preserve">        return { role: role, landing: landing, source: 'SETTINGS_MAP' };</t>
  </si>
  <si>
    <t xml:space="preserve">  // 3. Fallback на роль из ячейки B10</t>
  </si>
  <si>
    <t xml:space="preserve">  return { role: defaultRole, landing: LANDING[ROLES[defaultRole]] || '📄 Executive_OnePager', source: 'FALLBACK_B10' };</t>
  </si>
  <si>
    <t>ACTIVE_R2</t>
  </si>
  <si>
    <t xml:space="preserve"> * Проверка: текущий пользователь — CEO или Admin (по email-карте)</t>
  </si>
  <si>
    <t>function isCurrentUserAdmin_() {</t>
  </si>
  <si>
    <t xml:space="preserve">  try {</t>
  </si>
  <si>
    <t xml:space="preserve">    const info = getUserRoleAndLanding_();</t>
  </si>
  <si>
    <t xml:space="preserve">    const key = ROLES[info.role];</t>
  </si>
  <si>
    <t xml:space="preserve">    return key === '👑 CEO' || key === '🔧 Admin';</t>
  </si>
  <si>
    <t xml:space="preserve">  } catch (e) {</t>
  </si>
  <si>
    <t xml:space="preserve">    return false;</t>
  </si>
  <si>
    <t xml:space="preserve"> * 3. Применение прав доступа и видимости</t>
  </si>
  <si>
    <t>function applyRoleVisibility(roleLabel, opts) {</t>
  </si>
  <si>
    <t xml:space="preserve">  opts = opts || {};</t>
  </si>
  <si>
    <t xml:space="preserve">  const settingsSheet = ss.getSheetByName(SETTINGS_SH);</t>
  </si>
  <si>
    <t xml:space="preserve">  const roleKey = ROLES[roleLabel] || '👑 CEO';</t>
  </si>
  <si>
    <t xml:space="preserve">  const isFallback = !roleLabel || !ROLES[roleLabel];</t>
  </si>
  <si>
    <t xml:space="preserve">  const matrix = loadRbacMatrix_();</t>
  </si>
  <si>
    <t xml:space="preserve">  const modeVal = settingsSheet ? String(settingsSheet.getRange(MODE_CELL).getValue()) : '';</t>
  </si>
  <si>
    <t xml:space="preserve">  const isMultiUserMode = modeVal.indexOf('Multi-User') !== -1 &amp;&amp; !opts.forceSolo;</t>
  </si>
  <si>
    <t xml:space="preserve">  const allSheets = ss.getSheets();</t>
  </si>
  <si>
    <t xml:space="preserve">  const toShow = [];</t>
  </si>
  <si>
    <t xml:space="preserve">  const toHide = [];</t>
  </si>
  <si>
    <t xml:space="preserve">  const orphans = [];</t>
  </si>
  <si>
    <t xml:space="preserve">  allSheets.forEach(sh =&gt; {</t>
  </si>
  <si>
    <t xml:space="preserve">    const name = sh.getName();</t>
  </si>
  <si>
    <t xml:space="preserve">    if (name === RBAC_SHEET) {</t>
  </si>
  <si>
    <t xml:space="preserve">      const cfg = matrix[name];</t>
  </si>
  <si>
    <t xml:space="preserve">      const access = cfg ? cfg.roles[roleKey] : null;</t>
  </si>
  <si>
    <t xml:space="preserve">      if (access === '👁' || access === '✏️') toShow.push(sh); else toHide.push(sh);</t>
  </si>
  <si>
    <t xml:space="preserve">      return;</t>
  </si>
  <si>
    <t xml:space="preserve">    const cfg = matrix[name];</t>
  </si>
  <si>
    <t xml:space="preserve">    if (!cfg) {</t>
  </si>
  <si>
    <t xml:space="preserve">      orphans.push(name);</t>
  </si>
  <si>
    <t xml:space="preserve">      if (roleKey === '🔧 Admin') toShow.push(sh); else toHide.push(sh);</t>
  </si>
  <si>
    <t xml:space="preserve">    const access = cfg.always ? '👁' : cfg.roles[roleKey];</t>
  </si>
  <si>
    <t xml:space="preserve">    if (access === '👁' || access === '✏️') toShow.push(sh);</t>
  </si>
  <si>
    <t xml:space="preserve">    else toHide.push(sh);</t>
  </si>
  <si>
    <t xml:space="preserve">  });</t>
  </si>
  <si>
    <t xml:space="preserve">  if (toShow.length === 0) {</t>
  </si>
  <si>
    <t xml:space="preserve">    const fallback = settingsSheet;</t>
  </si>
  <si>
    <t xml:space="preserve">    if (fallback) toShow.push(fallback);</t>
  </si>
  <si>
    <t>sheet_name</t>
  </si>
  <si>
    <t xml:space="preserve">  // 1. Отображаем разрешенные листы</t>
  </si>
  <si>
    <t xml:space="preserve">  toShow.forEach(sh =&gt; {</t>
  </si>
  <si>
    <t>type</t>
  </si>
  <si>
    <t xml:space="preserve">    try {</t>
  </si>
  <si>
    <t>required</t>
  </si>
  <si>
    <t xml:space="preserve">      if (sh.isSheetHidden()) sh.showSheet();</t>
  </si>
  <si>
    <t>format</t>
  </si>
  <si>
    <t>range_min</t>
  </si>
  <si>
    <t xml:space="preserve">    } catch(err) {</t>
  </si>
  <si>
    <t>range_max</t>
  </si>
  <si>
    <t xml:space="preserve">      console.warn('Ошибка отображения листа ' + sh.getName() + ': ' + err.message);</t>
  </si>
  <si>
    <t>source</t>
  </si>
  <si>
    <t>owner</t>
  </si>
  <si>
    <t>refresh_cadence</t>
  </si>
  <si>
    <t>validation_rule</t>
  </si>
  <si>
    <t xml:space="preserve">  // 2. Сначала переключаем фокус на целевой Landing</t>
  </si>
  <si>
    <t xml:space="preserve">  const targetLanding = opts.targetLanding || LANDING[roleKey];</t>
  </si>
  <si>
    <t>string</t>
  </si>
  <si>
    <t xml:space="preserve">  const landing = targetLanding ? ss.getSheetByName(targetLanding) : null;</t>
  </si>
  <si>
    <t>D-NNN</t>
  </si>
  <si>
    <t xml:space="preserve">  if (landing &amp;&amp; !landing.isSheetHidden()) {</t>
  </si>
  <si>
    <t xml:space="preserve">    try { ss.setActiveSheet(landing); } catch(e) {}</t>
  </si>
  <si>
    <t>CRM</t>
  </si>
  <si>
    <t xml:space="preserve">  } else if (toShow.length &gt; 0) {</t>
  </si>
  <si>
    <t>realtime</t>
  </si>
  <si>
    <t xml:space="preserve">    try { ss.setActiveSheet(toShow[0]); } catch(e) {}</t>
  </si>
  <si>
    <t>UNIQUE</t>
  </si>
  <si>
    <t xml:space="preserve">  // 3. Управление скрытием листов</t>
  </si>
  <si>
    <t xml:space="preserve">  if (!isMultiUserMode) {</t>
  </si>
  <si>
    <t>text</t>
  </si>
  <si>
    <t xml:space="preserve">    // Solo Focus режим</t>
  </si>
  <si>
    <t xml:space="preserve">    toHide.forEach(sh =&gt; {</t>
  </si>
  <si>
    <t>NOT_NULL</t>
  </si>
  <si>
    <t xml:space="preserve">      try {</t>
  </si>
  <si>
    <t xml:space="preserve">        if (!sh.isSheetHidden()) sh.hideSheet();</t>
  </si>
  <si>
    <t>float</t>
  </si>
  <si>
    <t xml:space="preserve">      } catch(err) {</t>
  </si>
  <si>
    <t>≥0</t>
  </si>
  <si>
    <t xml:space="preserve">        ss.toast('⚠️ Не удалось скрыть лист ' + sh.getName() + ' (активен у пользователя)', 'RevOps RBAC', 4);</t>
  </si>
  <si>
    <t xml:space="preserve">    });</t>
  </si>
  <si>
    <t xml:space="preserve">  } else {</t>
  </si>
  <si>
    <t xml:space="preserve">    // Multi-User режим: скрываем только сырые и служебные листы (Raw/Calc)</t>
  </si>
  <si>
    <t>int</t>
  </si>
  <si>
    <t>1..7</t>
  </si>
  <si>
    <t xml:space="preserve">      const name = sh.getName();</t>
  </si>
  <si>
    <t xml:space="preserve">      if (name.startsWith('raw_') || name.startsWith('calc_') || PROTECTED_SHEETS.includes(name)) {</t>
  </si>
  <si>
    <t xml:space="preserve">        try { if (!sh.isSheetHidden()) sh.hideSheet(); } catch(err) {}</t>
  </si>
  <si>
    <t>IN_RANGE</t>
  </si>
  <si>
    <t xml:space="preserve">  // Финальный фокус</t>
  </si>
  <si>
    <t xml:space="preserve">  // Уведомление</t>
  </si>
  <si>
    <t>YYYY-MM-DD</t>
  </si>
  <si>
    <t xml:space="preserve">  if (!opts.silent) {</t>
  </si>
  <si>
    <t xml:space="preserve">    let msg = isMultiUserMode</t>
  </si>
  <si>
    <t xml:space="preserve">      ? '👥 Режим Multi-User: открыт ' + (targetLanding || 'дашборд') + ' (вкладки коллег сохранены).'</t>
  </si>
  <si>
    <t xml:space="preserve">      : '🎯 Режим Solo Focus: видимых листов ' + toShow.length + ' из ' + allSheets.length;</t>
  </si>
  <si>
    <t>DATE_VALID</t>
  </si>
  <si>
    <t xml:space="preserve">    if (isFallback) msg = '⚠️ Роль не распознана, применен профиль CEO.\\n' + msg;</t>
  </si>
  <si>
    <t xml:space="preserve">    ss.toast(msg, '🛡️ Доступ: ' + (roleLabel || 'CEO'), 6);</t>
  </si>
  <si>
    <t xml:space="preserve">  // Запись в аудит-лог только при явных действиях пользователя</t>
  </si>
  <si>
    <t xml:space="preserve">    writeRbacAudit_(roleLabel, roleKey, isFallback, orphans.length, opts.oldRole, isMultiUserMode ? 'MULTI_USER' : 'SOLO_FOCUS');</t>
  </si>
  <si>
    <t>101..104</t>
  </si>
  <si>
    <t>IN_SET</t>
  </si>
  <si>
    <t xml:space="preserve"> * 4. Аудит переключения ролей и режимов</t>
  </si>
  <si>
    <t>function writeRbacAudit_(roleLabel, roleKey, isFallback, orphanCount, oldRole, mode) {</t>
  </si>
  <si>
    <t>SEG1..SEG4</t>
  </si>
  <si>
    <t xml:space="preserve">  const sh = SpreadsheetApp.getActive().getSheetByName('raw_audit_log');</t>
  </si>
  <si>
    <t xml:space="preserve">  if (!sh) return;</t>
  </si>
  <si>
    <t xml:space="preserve">  const tz = SpreadsheetApp.getActive() ? SpreadsheetApp.getActive().getSpreadsheetTimeZone() : 'GMT+3';</t>
  </si>
  <si>
    <t xml:space="preserve">  const ts = Utilities.formatDate(new Date(), tz, 'yyyy-MM-dd HH:mm:ss');</t>
  </si>
  <si>
    <t xml:space="preserve">  const evId = 'EV-RBAC-' + Math.floor(100000 + Math.random() * 900000);</t>
  </si>
  <si>
    <t xml:space="preserve">  const prevVal = (oldRole &amp;&amp; String(oldRole).trim() !== '') ? String(oldRole).trim() : '(старт)';</t>
  </si>
  <si>
    <t xml:space="preserve">  sh.appendRow([</t>
  </si>
  <si>
    <t>CMO</t>
  </si>
  <si>
    <t xml:space="preserve">    evId, ts, Session.getActiveUser().getEmail() || 'revops-admin',</t>
  </si>
  <si>
    <t xml:space="preserve">    SETTINGS_SH, 'ROLE_SWITCH', ROLE_CELL,</t>
  </si>
  <si>
    <t xml:space="preserve">    'role', prevVal, roleLabel + ' [' + (mode || 'STD') + ']' + (isFallback ? ' [FALLBACK]' : ''),</t>
  </si>
  <si>
    <t xml:space="preserve">    'RBAC', 'SUCCESS'</t>
  </si>
  <si>
    <t>ga_NN</t>
  </si>
  <si>
    <t xml:space="preserve">  ]);</t>
  </si>
  <si>
    <t>FK_CLIENT</t>
  </si>
  <si>
    <t xml:space="preserve"> * 5. Запуск сессии планирования</t>
  </si>
  <si>
    <t>A/B/C/D</t>
  </si>
  <si>
    <t>function startPlanningSession(roleKey, soloMode) {</t>
  </si>
  <si>
    <t>AI Engine</t>
  </si>
  <si>
    <t>daily</t>
  </si>
  <si>
    <t xml:space="preserve">  const st = ss.getSheetByName(SETTINGS_SH);</t>
  </si>
  <si>
    <t xml:space="preserve">  if (!st) return;</t>
  </si>
  <si>
    <t>L1..L4</t>
  </si>
  <si>
    <t xml:space="preserve">  const role = roleKey || '👑 CEO';</t>
  </si>
  <si>
    <t xml:space="preserve">  const userEmail = Session.getActiveUser().getEmail();</t>
  </si>
  <si>
    <t>datetime</t>
  </si>
  <si>
    <t>ISO8601</t>
  </si>
  <si>
    <t xml:space="preserve">  const userName = userEmail ? userEmail.split('@')[0] : 'Руководитель';</t>
  </si>
  <si>
    <t>Reverse ETL</t>
  </si>
  <si>
    <t xml:space="preserve">  const tz = ss ? ss.getSpreadsheetTimeZone() : 'GMT+3';</t>
  </si>
  <si>
    <t>DWH Eng</t>
  </si>
  <si>
    <t>hourly</t>
  </si>
  <si>
    <t xml:space="preserve">  const time = Utilities.formatDate(new Date(), tz, 'HH:mm');</t>
  </si>
  <si>
    <t>TIMESTAMP</t>
  </si>
  <si>
    <t xml:space="preserve">  // Фиксируем статус сессии в H9 и режим в H10</t>
  </si>
  <si>
    <t>boolean</t>
  </si>
  <si>
    <t>TRUE/FALSE</t>
  </si>
  <si>
    <t xml:space="preserve">  st.getRange(SESSION_CELL).setValue('🎯 Сессия: ' + role + ' (' + userName + ', ' + time + ')');</t>
  </si>
  <si>
    <t>Calc Engine</t>
  </si>
  <si>
    <t>RevOps</t>
  </si>
  <si>
    <t xml:space="preserve">  st.getRange(MODE_CELL).setValue(soloMode ? '🎯 Solo Focus (Автоскрытие листов)' : '👥 Multi-User (Персональные фильтры)');</t>
  </si>
  <si>
    <t>IS_BOOL</t>
  </si>
  <si>
    <t xml:space="preserve">  // Запись в аудит</t>
  </si>
  <si>
    <t xml:space="preserve">  const auditSh = ss.getSheetByName('raw_audit_log');</t>
  </si>
  <si>
    <t xml:space="preserve">  if (auditSh) {</t>
  </si>
  <si>
    <t xml:space="preserve">    const tz = SpreadsheetApp.getActive() ? SpreadsheetApp.getActive().getSpreadsheetTimeZone() : 'GMT+3';</t>
  </si>
  <si>
    <t xml:space="preserve">    auditSh.appendRow([</t>
  </si>
  <si>
    <t xml:space="preserve">      'EV-SESS-' + Math.floor(100000 + Math.random() * 900000), ts, userEmail || 'unknown',</t>
  </si>
  <si>
    <t xml:space="preserve">      SETTINGS_SH, 'PLANNING_SESSION_START', SESSION_CELL,</t>
  </si>
  <si>
    <t xml:space="preserve">      'session', 'FREE', 'ACTIVE: ' + role, 'SESSION', 'SUCCESS'</t>
  </si>
  <si>
    <t>POSITIVE_INT</t>
  </si>
  <si>
    <t xml:space="preserve">    ]);</t>
  </si>
  <si>
    <t>cohort</t>
  </si>
  <si>
    <t xml:space="preserve">  // Применяем видимость сессии без перезаписи B10</t>
  </si>
  <si>
    <t xml:space="preserve">  applyRoleVisibility(role, { forceSolo: soloMode });</t>
  </si>
  <si>
    <t xml:space="preserve">  ss.toast('🚀 Сессия планирования начата для ' + role + ' (' + (soloMode ? 'Solo Focus' : 'Multi-User') + ')', '🎯 Сессия планирования', 6);</t>
  </si>
  <si>
    <t xml:space="preserve"> * 6. Завершение сессии планирования</t>
  </si>
  <si>
    <t>🎲 МОНТЕ-КАРЛО 3.0: ВЕРОЯТНОСТНЫЙ ПРОГНОЗ ВЫРУЧКИ (10 000 ИТЕРАЦИЙ)</t>
  </si>
  <si>
    <t>function endPlanningSession() {</t>
  </si>
  <si>
    <t>Параметр симуляции</t>
  </si>
  <si>
    <t>База расчета</t>
  </si>
  <si>
    <t>Коридор P10–P90</t>
  </si>
  <si>
    <t>TEXT</t>
  </si>
  <si>
    <t>Фактическая выручка текущего периода</t>
  </si>
  <si>
    <t xml:space="preserve">  const userEmail = Session.getActiveUser().getEmail() || 'Руководитель';</t>
  </si>
  <si>
    <t xml:space="preserve">  st.getRange(SESSION_CELL).setValue('🟢 Готова к работе (Свободна)');</t>
  </si>
  <si>
    <t xml:space="preserve">  st.getRange(MODE_CELL).setValue('👥 Multi-User (Персональные фильтры)');</t>
  </si>
  <si>
    <t xml:space="preserve">  const showcaseDashboards = [</t>
  </si>
  <si>
    <t>raw_calls</t>
  </si>
  <si>
    <t xml:space="preserve">    '📄 Executive_OnePager', '⚡ Пульс_Компании', '📋 Пульт_РОПа_15_Минут',</t>
  </si>
  <si>
    <t>Касса</t>
  </si>
  <si>
    <t>C-NNN</t>
  </si>
  <si>
    <t xml:space="preserve">    '💸 Диагностика_Утечек_ОП', '🎯 Action_Center', '🎙️ ИИ_Аудит',</t>
  </si>
  <si>
    <t>Телефония</t>
  </si>
  <si>
    <t xml:space="preserve">    '⚡ Экспресс_Калькулятор_3_Цифры', '🌐 Мультиканальная_Атрибуция',</t>
  </si>
  <si>
    <t xml:space="preserve">    '💳 Финансы_и_AI_Дожим', '👥 Мотивация_ОП', '🔮 Симулятор_Роста',</t>
  </si>
  <si>
    <t xml:space="preserve">    '🌐 Сквозная_RevOps_Аналитика', '🌐 Маркетинг_и_Трафик', '📈 Когорты_LTV',</t>
  </si>
  <si>
    <t xml:space="preserve">    '👥 Ресурсный_План', '🎯 Воронка_и_SLA', '📊 Юнит_Экономика',</t>
  </si>
  <si>
    <t>FK_DEAL</t>
  </si>
  <si>
    <t>Реальные закрытые сделки</t>
  </si>
  <si>
    <t xml:space="preserve">    '🚨 Радар_Алертов', '📋 Задачи_и_Спринты'</t>
  </si>
  <si>
    <t>Взвешенный пайплайн воронки</t>
  </si>
  <si>
    <t xml:space="preserve">  ];</t>
  </si>
  <si>
    <t xml:space="preserve">  showcaseDashboards.forEach(name =&gt; {</t>
  </si>
  <si>
    <t xml:space="preserve">    const sh = ss.getSheetByName(name);</t>
  </si>
  <si>
    <t xml:space="preserve">    if (sh &amp;&amp; sh.isSheetHidden()) {</t>
  </si>
  <si>
    <t xml:space="preserve">      try { sh.showSheet(); } catch(e) {}</t>
  </si>
  <si>
    <t>Пайплайн</t>
  </si>
  <si>
    <t>Модель</t>
  </si>
  <si>
    <t>&gt;0</t>
  </si>
  <si>
    <t>С учетом вероятностей этапов</t>
  </si>
  <si>
    <t>Волатильность закрытия сделок (StdDev)</t>
  </si>
  <si>
    <t xml:space="preserve">  const onePager = ss.getSheetByName('📄 Executive_OnePager');</t>
  </si>
  <si>
    <t>POSITIVE</t>
  </si>
  <si>
    <t>Дисперсия</t>
  </si>
  <si>
    <t xml:space="preserve">  if (onePager) {</t>
  </si>
  <si>
    <t>±18%</t>
  </si>
  <si>
    <t xml:space="preserve">    try { ss.setActiveSheet(onePager); } catch(e) {}</t>
  </si>
  <si>
    <t>Историческая дисперсия ОП</t>
  </si>
  <si>
    <t>0..13</t>
  </si>
  <si>
    <t>Потенциал ликвидации утечек</t>
  </si>
  <si>
    <t>AI Speech</t>
  </si>
  <si>
    <t>QA Lead</t>
  </si>
  <si>
    <t>RANGE_0_13</t>
  </si>
  <si>
    <t>YES/NO</t>
  </si>
  <si>
    <t>INV-NNN</t>
  </si>
  <si>
    <t xml:space="preserve">      'EV-SESS-' + Math.floor(100000 + Math.random() * 900000), ts, userEmail,</t>
  </si>
  <si>
    <t>1С</t>
  </si>
  <si>
    <t xml:space="preserve">      SETTINGS_SH, 'PLANNING_SESSION_END', SESSION_CELL,</t>
  </si>
  <si>
    <t>CFO</t>
  </si>
  <si>
    <t xml:space="preserve">      'session', 'ACTIVE', 'FREE', 'SESSION', 'SUCCESS'</t>
  </si>
  <si>
    <t>Quick ROI</t>
  </si>
  <si>
    <t xml:space="preserve">  ss.toast('✅ Сессия завершена. Все дашборды открыты в режиме совместной работы.', 'RevOps Multi-User', 6);</t>
  </si>
  <si>
    <t xml:space="preserve"> * 7. Управление пользователями — showAddUserDialog &amp; addUserToMap</t>
  </si>
  <si>
    <t>function showAddUserDialog() {</t>
  </si>
  <si>
    <t>Upside</t>
  </si>
  <si>
    <t xml:space="preserve">  const ui = SpreadsheetApp.getUi();</t>
  </si>
  <si>
    <t>Дополнительный возврат кассы</t>
  </si>
  <si>
    <t>P10 (Пессимистичный сценарий - 90% гарантия)</t>
  </si>
  <si>
    <t xml:space="preserve">  const html = HtmlService.createHtmlOutput(`</t>
  </si>
  <si>
    <t>&lt;!DOCTYPE html&gt;</t>
  </si>
  <si>
    <t>&lt;html&gt;</t>
  </si>
  <si>
    <t>&lt;head&gt;</t>
  </si>
  <si>
    <t>&lt;base target="_top"&gt;</t>
  </si>
  <si>
    <t>&lt;style&gt;</t>
  </si>
  <si>
    <t>Монте-Карло</t>
  </si>
  <si>
    <t xml:space="preserve">  body { font-family: 'Segoe UI', -apple-system, sans-serif; padding: 16px; margin: 0; background: #F8FAFC; color: #0F172A; }</t>
  </si>
  <si>
    <t xml:space="preserve">  h3 { margin-top: 0; font-size: 15px; color: #1E293B; border-bottom: 2px solid #E2E8F0; padding-bottom: 8px; }</t>
  </si>
  <si>
    <t xml:space="preserve">  .field { margin-bottom: 12px; }</t>
  </si>
  <si>
    <t xml:space="preserve">  label { display: block; font-size: 12px; font-weight: 600; color: #475569; margin-bottom: 4px; }</t>
  </si>
  <si>
    <t>Гарантия 90%</t>
  </si>
  <si>
    <t>Минимальная планка выручки</t>
  </si>
  <si>
    <t xml:space="preserve">  input, select { width: 100%; padding: 8px 10px; border: 1px solid #CBD5E1; border-radius: 6px; font-size: 13px; box-sizing: border-box; }</t>
  </si>
  <si>
    <t>P50 (Базовый наиболее вероятный исход)</t>
  </si>
  <si>
    <t xml:space="preserve">  input:focus, select:focus { outline: none; border-color: #6366F1; box-shadow: 0 0 0 2px #EEF2FF; }</t>
  </si>
  <si>
    <t xml:space="preserve">  .hint { font-size: 11px; color: #94A3B8; margin-top: 3px; }</t>
  </si>
  <si>
    <t xml:space="preserve">  .btn-group { display: flex; gap: 8px; margin-top: 16px; }</t>
  </si>
  <si>
    <t xml:space="preserve">  .btn { flex: 1; padding: 9px 14px; border-radius: 8px; font-size: 13px; font-weight: bold; cursor: pointer; border: 1px solid transparent; }</t>
  </si>
  <si>
    <t xml:space="preserve">  .btn-primary { background: #4F46E5; color: #FFF; }</t>
  </si>
  <si>
    <t xml:space="preserve">  .btn-primary:hover { background: #4338CA; }</t>
  </si>
  <si>
    <t>DATE_OR_NULL</t>
  </si>
  <si>
    <t xml:space="preserve">  .btn-secondary { background: #FFF; border-color: #CBD5E1; color: #334155; }</t>
  </si>
  <si>
    <t>Математическое ожидание</t>
  </si>
  <si>
    <t xml:space="preserve">  .btn-secondary:hover { background: #F1F5F9; }</t>
  </si>
  <si>
    <t>P90 (Оптимистичный сценарий с ИИ-дожимом)</t>
  </si>
  <si>
    <t xml:space="preserve">  .status { margin-top: 12px; padding: 8px 12px; border-radius: 6px; font-size: 12px; display: none; }</t>
  </si>
  <si>
    <t xml:space="preserve">  .status.ok { background: #DCFCE7; color: #166534; display: block; }</t>
  </si>
  <si>
    <t>raw_marketing</t>
  </si>
  <si>
    <t xml:space="preserve">  .status.err { background: #FEE2E2; color: #991B1B; display: block; }</t>
  </si>
  <si>
    <t>channel_id</t>
  </si>
  <si>
    <t>&lt;/style&gt;</t>
  </si>
  <si>
    <t>CH-NNN</t>
  </si>
  <si>
    <t>&lt;/head&gt;</t>
  </si>
  <si>
    <t>Яндекс/Google</t>
  </si>
  <si>
    <t>&lt;body&gt;</t>
  </si>
  <si>
    <t xml:space="preserve">  &lt;h3&gt;👥 Добавить пользователя в USERS_ROLES_MAP&lt;/h3&gt;</t>
  </si>
  <si>
    <t>channel_name</t>
  </si>
  <si>
    <t>Таргет</t>
  </si>
  <si>
    <t>Выполнение плана 5.0M ₽</t>
  </si>
  <si>
    <t xml:space="preserve">  &lt;div class="field"&gt;</t>
  </si>
  <si>
    <t>Ad Manager</t>
  </si>
  <si>
    <t>Вероятность выполнения плана (5 000 000 ₽)</t>
  </si>
  <si>
    <t xml:space="preserve">    &lt;label&gt;Email (корпоративный, @company.com):&lt;/label&gt;</t>
  </si>
  <si>
    <t>cost</t>
  </si>
  <si>
    <t xml:space="preserve">    &lt;input id="email" type="email" placeholder="newkam@company.com" autofocus&gt;</t>
  </si>
  <si>
    <t xml:space="preserve">    &lt;div class="hint"&gt;Если email уже в карте — запись будет обновлена.&lt;/div&gt;</t>
  </si>
  <si>
    <t xml:space="preserve">  &lt;/div&gt;</t>
  </si>
  <si>
    <t>Высокая</t>
  </si>
  <si>
    <t xml:space="preserve">    &lt;label&gt;Роль:&lt;/label&gt;</t>
  </si>
  <si>
    <t>Вероятность достижения целевого плана</t>
  </si>
  <si>
    <t xml:space="preserve">    &lt;select id="role"&gt;</t>
  </si>
  <si>
    <t>Ширина коридора риска (P90 - P10)</t>
  </si>
  <si>
    <t xml:space="preserve">      &lt;option value="👑 CEO"&gt;👑 CEO — Собственник&lt;/option&gt;</t>
  </si>
  <si>
    <t xml:space="preserve">      &lt;option value="📋 РОП"&gt;📋 РОП — Коммерческий директор&lt;/option&gt;</t>
  </si>
  <si>
    <t>raw_payments</t>
  </si>
  <si>
    <t xml:space="preserve">      &lt;option value="💼 KAM" selected&gt;💼 KAM — Менеджер по продажам&lt;/option&gt;</t>
  </si>
  <si>
    <t>PAY-NNN</t>
  </si>
  <si>
    <t xml:space="preserve">      &lt;option value="📞 SDR"&gt;📞 SDR — Телемаркетолог&lt;/option&gt;</t>
  </si>
  <si>
    <t>Банк</t>
  </si>
  <si>
    <t xml:space="preserve">      &lt;option value="🌐 CMO"&gt;🌐 CMO — Маркетолог&lt;/option&gt;</t>
  </si>
  <si>
    <t>Спред риска</t>
  </si>
  <si>
    <t xml:space="preserve">      &lt;option value="💳 CFO"&gt;💳 CFO — Финансовый директор&lt;/option&gt;</t>
  </si>
  <si>
    <t xml:space="preserve">      &lt;option value="🔧 Admin"&gt;🔧 Admin — RevOps Lead&lt;/option&gt;</t>
  </si>
  <si>
    <t>Буфер ликвидности для финдиректора</t>
  </si>
  <si>
    <t xml:space="preserve">    &lt;/select&gt;</t>
  </si>
  <si>
    <t>FK_INVOICE</t>
  </si>
  <si>
    <t>Сценарий Монте-Карло</t>
  </si>
  <si>
    <t>Выручка к концу месяца, ₽</t>
  </si>
  <si>
    <t>P10 (Пессимистичный)</t>
  </si>
  <si>
    <t xml:space="preserve">    &lt;label&gt;Landing-дашборд:&lt;/label&gt;</t>
  </si>
  <si>
    <t xml:space="preserve">    &lt;select id="landing"&gt;</t>
  </si>
  <si>
    <t xml:space="preserve">      &lt;option value="📄 Executive_OnePager"&gt;📄 Executive One-Pager (CEO)&lt;/option&gt;</t>
  </si>
  <si>
    <t>P50 (Базовый медианный)</t>
  </si>
  <si>
    <t>raw_touchpoints</t>
  </si>
  <si>
    <t xml:space="preserve">      &lt;option value="📋 Пульт_РОПа_15_Минут"&gt;📋 Пульт РОПа 15 минут&lt;/option&gt;</t>
  </si>
  <si>
    <t>TP-NNN</t>
  </si>
  <si>
    <t xml:space="preserve">      &lt;option value="⚡ Пульс_Компании" selected&gt;⚡ Пульс компании (KAM / SDR)&lt;/option&gt;</t>
  </si>
  <si>
    <t>CDP</t>
  </si>
  <si>
    <t>P90 (Оптимистичный с ИИ)</t>
  </si>
  <si>
    <t xml:space="preserve">      &lt;option value="🌐 Маркетинг_и_Трафик"&gt;🌐 Маркетинг и трафик (CMO)&lt;/option&gt;</t>
  </si>
  <si>
    <t xml:space="preserve">      &lt;option value="💳 Финансы_и_AI_Дожим"&gt;💳 Финансы и AI-дожим (CFO)&lt;/option&gt;</t>
  </si>
  <si>
    <t>План компании</t>
  </si>
  <si>
    <t xml:space="preserve">      &lt;option value="⚙️ Настройки"&gt;⚙️ Настройки (Admin)&lt;/option&gt;</t>
  </si>
  <si>
    <t xml:space="preserve">    &lt;div class="hint"&gt;Автовыбор по роли, можно изменить.&lt;/div&gt;</t>
  </si>
  <si>
    <t xml:space="preserve">  &lt;div class="btn-group"&gt;</t>
  </si>
  <si>
    <t xml:space="preserve">    &lt;button class="btn btn-primary" onclick="submit_()"&gt;✅ Добавить&lt;/button&gt;</t>
  </si>
  <si>
    <t xml:space="preserve">    &lt;button class="btn btn-secondary" onclick="google.script.host.close()"&gt;Отмена&lt;/button&gt;</t>
  </si>
  <si>
    <t>weight_w_shaped</t>
  </si>
  <si>
    <t>0..1</t>
  </si>
  <si>
    <t>RevOps Engine</t>
  </si>
  <si>
    <t xml:space="preserve">  &lt;div id="status" class="status"&gt;&lt;/div&gt;</t>
  </si>
  <si>
    <t>PROBABILITY</t>
  </si>
  <si>
    <t>&lt;script&gt;</t>
  </si>
  <si>
    <t xml:space="preserve">  const LANDING_BY_ROLE = {</t>
  </si>
  <si>
    <t xml:space="preserve">    '👑 CEO': '📄 Executive_OnePager',</t>
  </si>
  <si>
    <t xml:space="preserve">    '📋 РОП': '📋 Пульт_РОПа_15_Минут',</t>
  </si>
  <si>
    <t xml:space="preserve">    '💼 KAM': '⚡ Пульс_Компании',</t>
  </si>
  <si>
    <t xml:space="preserve">    '📞 SDR': '⚡ Пульс_Компании',</t>
  </si>
  <si>
    <t xml:space="preserve">    '🌐 CMO': '🌐 Маркетинг_и_Трафик',</t>
  </si>
  <si>
    <t xml:space="preserve">    '💳 CFO': '💳 Финансы_и_AI_Дожим',</t>
  </si>
  <si>
    <t xml:space="preserve">    '🔧 Admin': '⚙️ Настройки'</t>
  </si>
  <si>
    <t xml:space="preserve">  };</t>
  </si>
  <si>
    <t xml:space="preserve">  document.getElementById('role').addEventListener('change', function() {</t>
  </si>
  <si>
    <t xml:space="preserve">    document.getElementById('landing').value = LANDING_BY_ROLE[this.value] || '⚡ Пульс_Компании';</t>
  </si>
  <si>
    <t xml:space="preserve">  function submit_() {</t>
  </si>
  <si>
    <t xml:space="preserve">    var email = document.getElementById('email').value.trim();</t>
  </si>
  <si>
    <t xml:space="preserve">    var role = document.getElementById('role').value;</t>
  </si>
  <si>
    <t xml:space="preserve">    var landing = document.getElementById('landing').value;</t>
  </si>
  <si>
    <t xml:space="preserve">    var st = document.getElementById('status');</t>
  </si>
  <si>
    <t xml:space="preserve">    if (!email || email.indexOf('@') === -1) {</t>
  </si>
  <si>
    <t xml:space="preserve">      st.className = 'status err';</t>
  </si>
  <si>
    <t xml:space="preserve">      st.innerText = '⚠️ Введите корректный email.';</t>
  </si>
  <si>
    <t xml:space="preserve">    st.className = 'status';</t>
  </si>
  <si>
    <t xml:space="preserve">    st.innerText = '';</t>
  </si>
  <si>
    <t xml:space="preserve">    google.script.run</t>
  </si>
  <si>
    <t xml:space="preserve">      .withSuccessHandler(function(res) {</t>
  </si>
  <si>
    <t xml:space="preserve">        if (res &amp;&amp; res.success) {</t>
  </si>
  <si>
    <t xml:space="preserve">          st.className = 'status ok';</t>
  </si>
  <si>
    <t xml:space="preserve">          st.innerText = '✅ Готово. Строка #' + res.row + '. Не забудьте предоставить доступ к таблице для ' + email;</t>
  </si>
  <si>
    <t xml:space="preserve">        } else {</t>
  </si>
  <si>
    <t xml:space="preserve">          st.className = 'status err';</t>
  </si>
  <si>
    <t xml:space="preserve">          st.innerText = '⚠️ Ошибка: ' + ((res &amp;&amp; res.message) || 'unknown');</t>
  </si>
  <si>
    <t xml:space="preserve">        }</t>
  </si>
  <si>
    <t xml:space="preserve">      })</t>
  </si>
  <si>
    <t xml:space="preserve">      .withFailureHandler(function(err) {</t>
  </si>
  <si>
    <t xml:space="preserve">        st.className = 'status err';</t>
  </si>
  <si>
    <t xml:space="preserve">        st.innerText = '⚠️ Ошибка: ' + err.message;</t>
  </si>
  <si>
    <t xml:space="preserve">      .addUserToMap(email, role, landing);</t>
  </si>
  <si>
    <t>&lt;/script&gt;</t>
  </si>
  <si>
    <t>entity_type</t>
  </si>
  <si>
    <t>id_prefix</t>
  </si>
  <si>
    <t>next_number</t>
  </si>
  <si>
    <t>&lt;/body&gt;</t>
  </si>
  <si>
    <t>last_issued</t>
  </si>
  <si>
    <t>&lt;/html&gt;</t>
  </si>
  <si>
    <t>total_issued</t>
  </si>
  <si>
    <t xml:space="preserve">  `).setWidth(400).setHeight(500);</t>
  </si>
  <si>
    <t>uniqueness_scope</t>
  </si>
  <si>
    <t xml:space="preserve">  ui.showModalDialog(html, 'RevOps User Management');</t>
  </si>
  <si>
    <t>deal</t>
  </si>
  <si>
    <t>D-</t>
  </si>
  <si>
    <t xml:space="preserve"> * Добавить/обновить пользователя в USERS_ROLES_MAP (J10:L100)</t>
  </si>
  <si>
    <t>function addUserToMap(email, role, landing) {</t>
  </si>
  <si>
    <t xml:space="preserve">    if (!isCurrentUserAdmin_()) {</t>
  </si>
  <si>
    <t xml:space="preserve">      return { success: false, message: 'Доступ только для CEO / Admin' };</t>
  </si>
  <si>
    <t xml:space="preserve">    const ss = SpreadsheetApp.getActive();</t>
  </si>
  <si>
    <t xml:space="preserve">    const st = ss.getSheetByName(SETTINGS_SH);</t>
  </si>
  <si>
    <t xml:space="preserve">    if (!st) return { success: false, message: 'Лист ⚙️ Настройки не найден' };</t>
  </si>
  <si>
    <t xml:space="preserve">    email = String(email).trim().toLowerCase();</t>
  </si>
  <si>
    <t xml:space="preserve">    role = String(role).trim();</t>
  </si>
  <si>
    <t xml:space="preserve">    if (!ROLES[role]) return { success: false, message: 'Неизвестная роль: ' + role };</t>
  </si>
  <si>
    <t xml:space="preserve">    const roleKey = ROLES[role];</t>
  </si>
  <si>
    <t xml:space="preserve">    landing = String(landing || '').trim() || LANDING[roleKey];</t>
  </si>
  <si>
    <t xml:space="preserve">    const data = st.getRange('J10:L100').getValues();</t>
  </si>
  <si>
    <t xml:space="preserve">    let targetRow = -1;</t>
  </si>
  <si>
    <t xml:space="preserve">    let isUpdate = false;</t>
  </si>
  <si>
    <t xml:space="preserve">    for (let i = 0; i &lt; data.length; i++) {</t>
  </si>
  <si>
    <t xml:space="preserve">      const rowEmail = String(data[i][0]).trim().toLowerCase();</t>
  </si>
  <si>
    <t xml:space="preserve">      if (rowEmail === email) { targetRow = 10 + i; isUpdate = true; break; }</t>
  </si>
  <si>
    <t xml:space="preserve">      if (targetRow === -1 &amp;&amp; !rowEmail) { targetRow = 10 + i; }</t>
  </si>
  <si>
    <t xml:space="preserve">    if (targetRow === -1) return { success: false, message: 'Карта заполнена (100 строк)' };</t>
  </si>
  <si>
    <t xml:space="preserve">    st.getRange(targetRow, 10).setValue(email);</t>
  </si>
  <si>
    <t xml:space="preserve">    st.getRange(targetRow, 11).setValue(role);</t>
  </si>
  <si>
    <t xml:space="preserve">    st.getRange(targetRow, 12).setValue(landing);</t>
  </si>
  <si>
    <t xml:space="preserve">    refreshUsersMapProtection_();</t>
  </si>
  <si>
    <t xml:space="preserve">    const auditSh = ss.getSheetByName('raw_audit_log');</t>
  </si>
  <si>
    <t xml:space="preserve">    if (auditSh) {</t>
  </si>
  <si>
    <t xml:space="preserve">      const tz = SpreadsheetApp.getActive() ? SpreadsheetApp.getActive().getSpreadsheetTimeZone() : 'GMT+3';</t>
  </si>
  <si>
    <t xml:space="preserve">      auditSh.appendRow([</t>
  </si>
  <si>
    <t xml:space="preserve">        'EV-USER-' + Math.floor(100000 + Math.random() * 900000),</t>
  </si>
  <si>
    <t xml:space="preserve">        ts,</t>
  </si>
  <si>
    <t xml:space="preserve">        Session.getActiveUser().getEmail() || 'unknown',</t>
  </si>
  <si>
    <t xml:space="preserve">        SETTINGS_SH,</t>
  </si>
  <si>
    <t>Global CRM Pipeline</t>
  </si>
  <si>
    <t xml:space="preserve">        isUpdate ? 'USER_MAP_UPDATE' : 'USER_MAP_ADD',</t>
  </si>
  <si>
    <t>call</t>
  </si>
  <si>
    <t xml:space="preserve">        email,</t>
  </si>
  <si>
    <t>C-</t>
  </si>
  <si>
    <t xml:space="preserve">        'role / landing',</t>
  </si>
  <si>
    <t xml:space="preserve">        '(prev)',</t>
  </si>
  <si>
    <t xml:space="preserve">        roleKey + ' / ' + landing,</t>
  </si>
  <si>
    <t xml:space="preserve">        'RBAC',</t>
  </si>
  <si>
    <t xml:space="preserve">        'SUCCESS'</t>
  </si>
  <si>
    <t xml:space="preserve">      ]);</t>
  </si>
  <si>
    <t xml:space="preserve">    return { success: true, row: targetRow };</t>
  </si>
  <si>
    <t xml:space="preserve">  } catch (err) {</t>
  </si>
  <si>
    <t xml:space="preserve">    return { success: false, message: err.toString() };</t>
  </si>
  <si>
    <t xml:space="preserve"> * Обновить защиту карты USERS_ROLES_MAP (J10:L100)</t>
  </si>
  <si>
    <t>function refreshUsersMapProtection_() {</t>
  </si>
  <si>
    <t xml:space="preserve">  const range = st.getRange('J10:L100');</t>
  </si>
  <si>
    <t xml:space="preserve">  range.getProtections(SpreadsheetApp.ProtectionType.RANGE).forEach(p =&gt; {</t>
  </si>
  <si>
    <t xml:space="preserve">    try { p.remove(); } catch (e) {}</t>
  </si>
  <si>
    <t xml:space="preserve">  const prot = range.protect().setDescription('RBAC: USERS_ROLES_MAP — только CEO и Admin');</t>
  </si>
  <si>
    <t xml:space="preserve">  prot.removeEditors(prot.getEditors().map(u =&gt; u.getEmail()));</t>
  </si>
  <si>
    <t xml:space="preserve">  if (prot.canDomainEdit()) prot.setDomainEdit(false);</t>
  </si>
  <si>
    <t xml:space="preserve">  const mapData = st.getRange('J10:L100').getValues();</t>
  </si>
  <si>
    <t xml:space="preserve">  mapData.forEach(row =&gt; {</t>
  </si>
  <si>
    <t xml:space="preserve">    const email = String(row[0]).trim().toLowerCase();</t>
  </si>
  <si>
    <t xml:space="preserve">    const role = String(row[1]).trim();</t>
  </si>
  <si>
    <t xml:space="preserve">    if (!email) return;</t>
  </si>
  <si>
    <t xml:space="preserve">    const key = ROLES[role];</t>
  </si>
  <si>
    <t xml:space="preserve">    if (key === '👑 CEO' || key === '🔧 Admin') {</t>
  </si>
  <si>
    <t xml:space="preserve">      try { prot.addEditor(email); } catch (e) {}</t>
  </si>
  <si>
    <t>Telephony Event Log</t>
  </si>
  <si>
    <t>invoice</t>
  </si>
  <si>
    <t>INV-</t>
  </si>
  <si>
    <t xml:space="preserve">    const owner = ss.getOwner();</t>
  </si>
  <si>
    <t xml:space="preserve">    if (owner &amp;&amp; owner.getEmail()) prot.addEditor(owner.getEmail());</t>
  </si>
  <si>
    <t xml:space="preserve">  } catch (e) {}</t>
  </si>
  <si>
    <t xml:space="preserve"> * 8. Получение текущего статуса системы для Sidebar</t>
  </si>
  <si>
    <t>function getEnterpriseSessionStatus() {</t>
  </si>
  <si>
    <t xml:space="preserve">  const session = st ? String(st.getRange(SESSION_CELL).getValue() || '🟢 Готова к работе (Свободна)') : '🟢 Готова к работе';</t>
  </si>
  <si>
    <t xml:space="preserve">  const mode = st ? String(st.getRange(MODE_CELL).getValue() || '👥 Multi-User') : '👥 Multi-User';</t>
  </si>
  <si>
    <t xml:space="preserve">  const user = getUserRoleAndLanding_();</t>
  </si>
  <si>
    <t xml:space="preserve">  const email = Session.getActiveUser().getEmail() || '';</t>
  </si>
  <si>
    <t xml:space="preserve">  return {</t>
  </si>
  <si>
    <t xml:space="preserve">    sessionText: session,</t>
  </si>
  <si>
    <t xml:space="preserve">    modeText: mode,</t>
  </si>
  <si>
    <t xml:space="preserve">    userEmail: email,</t>
  </si>
  <si>
    <t xml:space="preserve">    userRole: user.role,</t>
  </si>
  <si>
    <t xml:space="preserve">    userLanding: user.landing,</t>
  </si>
  <si>
    <t xml:space="preserve">    roleSource: user.source</t>
  </si>
  <si>
    <t xml:space="preserve"> * 9. Персональный навигатор руководителя (Sidebar)</t>
  </si>
  <si>
    <t>function showEnterpriseNavigator() {</t>
  </si>
  <si>
    <t xml:space="preserve">    &lt;!DOCTYPE html&gt;</t>
  </si>
  <si>
    <t xml:space="preserve">    &lt;html&gt;</t>
  </si>
  <si>
    <t xml:space="preserve">      &lt;head&gt;</t>
  </si>
  <si>
    <t xml:space="preserve">        &lt;base target="_top"&gt;</t>
  </si>
  <si>
    <t xml:space="preserve">        &lt;style&gt;</t>
  </si>
  <si>
    <t xml:space="preserve">          body { font-family: 'Segoe UI', -apple-system, sans-serif; padding: 14px; margin: 0; background: #F8FAFC; color: #0F172A; }</t>
  </si>
  <si>
    <t>ERP Billing Ledger</t>
  </si>
  <si>
    <t xml:space="preserve">          .header { display: flex; align-items: center; justify-content: space-between; border-bottom: 2px solid #E2E8F0; padding-bottom: 8px; margin-bottom: 10px; }</t>
  </si>
  <si>
    <t>payment</t>
  </si>
  <si>
    <t xml:space="preserve">          .title { font-size: 15px; font-weight: bold; color: #1E293B; }</t>
  </si>
  <si>
    <t>PAY-</t>
  </si>
  <si>
    <t xml:space="preserve">          .badge { font-size: 10px; font-weight: bold; padding: 2px 6px; border-radius: 4px; background: #E0E7FF; color: #4338CA; }</t>
  </si>
  <si>
    <t xml:space="preserve">          </t>
  </si>
  <si>
    <t xml:space="preserve">          .status-box { background: #FFFFFF; border: 1px solid #E2E8F0; border-radius: 8px; padding: 10px; margin-bottom: 12px; font-size: 11px; }</t>
  </si>
  <si>
    <t xml:space="preserve">          .status-row { display: flex; justify-content: space-between; margin-bottom: 4px; }</t>
  </si>
  <si>
    <t xml:space="preserve">          .status-val { font-weight: bold; color: #0F172A; }</t>
  </si>
  <si>
    <t xml:space="preserve">          .session-panel { background: #EEF2FF; border: 1px solid #C7D2FE; border-radius: 8px; padding: 10px; margin-bottom: 12px; }</t>
  </si>
  <si>
    <t xml:space="preserve">          .section-title { font-size: 11px; font-weight: bold; text-transform: uppercase; color: #475569; margin: 0 0 6px 0; }</t>
  </si>
  <si>
    <t xml:space="preserve">          .field { margin-bottom: 8px; }</t>
  </si>
  <si>
    <t xml:space="preserve">          label { display: block; font-size: 11px; font-weight: 600; color: #475569; margin-bottom: 3px; }</t>
  </si>
  <si>
    <t xml:space="preserve">          select { width: 100%; padding: 6px 8px; border: 1px solid #CBD5E1; border-radius: 6px; background: #FFF; font-size: 12px; font-weight: 600; }</t>
  </si>
  <si>
    <t xml:space="preserve">          .btn-group { display: flex; gap: 6px; margin-top: 8px; }</t>
  </si>
  <si>
    <t xml:space="preserve">          .btn-action { flex: 1; padding: 7px 10px; border-radius: 6px; font-size: 11px; font-weight: bold; cursor: pointer; text-align: center; border: 1px solid transparent; }</t>
  </si>
  <si>
    <t xml:space="preserve">          .btn-primary { background: #4F46E5; color: #FFFFFF; }</t>
  </si>
  <si>
    <t xml:space="preserve">          .btn-primary:hover { background: #4338CA; }</t>
  </si>
  <si>
    <t xml:space="preserve">          .btn-secondary { background: #FFFFFF; border-color: #CBD5E1; color: #334155; }</t>
  </si>
  <si>
    <t xml:space="preserve">          .btn-secondary:hover { background: #F1F5F9; }</t>
  </si>
  <si>
    <t xml:space="preserve">          .card { background: #FFFFFF; border: 1px solid #E2E8F0; border-radius: 8px; padding: 8px 10px; margin-bottom: 6px; cursor: pointer; transition: all 0.15s; }</t>
  </si>
  <si>
    <t xml:space="preserve">          .card:hover { border-color: #6366F1; background: #F5F7FF; transform: translateY(-1px); }</t>
  </si>
  <si>
    <t xml:space="preserve">          .card-title { font-size: 12px; font-weight: bold; color: #1E293B; display: flex; align-items: center; justify-content: space-between; }</t>
  </si>
  <si>
    <t xml:space="preserve">          .card-desc { font-size: 10px; color: #64748B; margin-top: 2px; }</t>
  </si>
  <si>
    <t xml:space="preserve">          .filter-tag { font-size: 9px; background: #FEF3C7; color: #92400E; padding: 1px 4px; border-radius: 3px; font-weight: 600; }</t>
  </si>
  <si>
    <t xml:space="preserve">        &lt;/style&gt;</t>
  </si>
  <si>
    <t xml:space="preserve">      &lt;/head&gt;</t>
  </si>
  <si>
    <t xml:space="preserve">      &lt;body&gt;</t>
  </si>
  <si>
    <t xml:space="preserve">        &lt;div class="header"&gt;</t>
  </si>
  <si>
    <t xml:space="preserve">          &lt;div class="title"&gt;🧭 RevOps Навигатор&lt;/div&gt;</t>
  </si>
  <si>
    <t xml:space="preserve">          &lt;span class="badge"&gt;V17.6 Enterprise&lt;/span&gt;</t>
  </si>
  <si>
    <t xml:space="preserve">        &lt;/div&gt;</t>
  </si>
  <si>
    <t xml:space="preserve">        &lt;div class="status-box"&gt;</t>
  </si>
  <si>
    <t>Bank Gateway Fact</t>
  </si>
  <si>
    <t>touch</t>
  </si>
  <si>
    <t xml:space="preserve">          &lt;div class="status-row"&gt;</t>
  </si>
  <si>
    <t>TP-</t>
  </si>
  <si>
    <t xml:space="preserve">            &lt;span style="color: #64748B;"&gt;Пользователь:&lt;/span&gt;</t>
  </si>
  <si>
    <t xml:space="preserve">            &lt;span id="userEmail" class="status-val"&gt;Определение...&lt;/span&gt;</t>
  </si>
  <si>
    <t xml:space="preserve">          &lt;/div&gt;</t>
  </si>
  <si>
    <t xml:space="preserve">            &lt;span style="color: #64748B;"&gt;Роль (по Email):&lt;/span&gt;</t>
  </si>
  <si>
    <t xml:space="preserve">            &lt;span id="userRole" class="status-val" style="color: #4338CA;"&gt;-&lt;/span&gt;</t>
  </si>
  <si>
    <t xml:space="preserve">          &lt;div class="status-row" style="margin-top: 6px; border-top: 1px dashed #E2E8F0; padding-top: 4px;"&gt;</t>
  </si>
  <si>
    <t xml:space="preserve">            &lt;span style="color: #64748B;"&gt;Сессия:&lt;/span&gt;</t>
  </si>
  <si>
    <t xml:space="preserve">            &lt;span id="sessionStatus" class="status-val" style="color: #16A34A;"&gt;🟢 Свободна&lt;/span&gt;</t>
  </si>
  <si>
    <t>CDP Multi-Touch Engine</t>
  </si>
  <si>
    <t>client</t>
  </si>
  <si>
    <t>CL-</t>
  </si>
  <si>
    <t xml:space="preserve">        &lt;div class="session-panel"&gt;</t>
  </si>
  <si>
    <t xml:space="preserve">          &lt;div class="section-title"&gt;🎯 Управление сессией планирования&lt;/div&gt;</t>
  </si>
  <si>
    <t xml:space="preserve">          &lt;div class="field"&gt;</t>
  </si>
  <si>
    <t xml:space="preserve">            &lt;label&gt;Профиль сессии:&lt;/label&gt;</t>
  </si>
  <si>
    <t xml:space="preserve">            &lt;select id="sessionRole"&gt;</t>
  </si>
  <si>
    <t xml:space="preserve">              &lt;option value="👑 CEO"&gt;👑 CEO (Собственник)&lt;/option&gt;</t>
  </si>
  <si>
    <t xml:space="preserve">              &lt;option value="📋 РОП" selected&gt;📋 РОП (Коммерческий директор)&lt;/option&gt;</t>
  </si>
  <si>
    <t xml:space="preserve">              &lt;option value="💼 KAM"&gt;💼 KAM (Менеджер по продажам)&lt;/option&gt;</t>
  </si>
  <si>
    <t xml:space="preserve">              &lt;option value="📞 SDR"&gt;📞 SDR (Телемаркетолог)&lt;/option&gt;</t>
  </si>
  <si>
    <t xml:space="preserve">              &lt;option value="🌐 CMO"&gt;🌐 CMO (Маркетолог)&lt;/option&gt;</t>
  </si>
  <si>
    <t xml:space="preserve">              &lt;option value="💳 CFO"&gt;💳 CFO (Финансовый директор)&lt;/option&gt;</t>
  </si>
  <si>
    <t xml:space="preserve">              &lt;option value="🔧 Admin"&gt;🔧 Admin (RevOps Lead)&lt;/option&gt;</t>
  </si>
  <si>
    <t xml:space="preserve">            &lt;/select&gt;</t>
  </si>
  <si>
    <t xml:space="preserve">            &lt;label&gt;Режим экрана:&lt;/label&gt;</t>
  </si>
  <si>
    <t xml:space="preserve">            &lt;select id="sessionMode"&gt;</t>
  </si>
  <si>
    <t>CL-021</t>
  </si>
  <si>
    <t xml:space="preserve">              &lt;option value="multi" selected&gt;👥 Multi-User (Не скрывать коллег)&lt;/option&gt;</t>
  </si>
  <si>
    <t>SSOT MDM Master Record</t>
  </si>
  <si>
    <t xml:space="preserve">              &lt;option value="solo"&gt;🎯 Solo Focus (Скрыть для презентации)&lt;/option&gt;</t>
  </si>
  <si>
    <t>campaign</t>
  </si>
  <si>
    <t>CMP-</t>
  </si>
  <si>
    <t>CMP-004</t>
  </si>
  <si>
    <t xml:space="preserve">          &lt;div class="btn-group"&gt;</t>
  </si>
  <si>
    <t xml:space="preserve">            &lt;button class="btn-action btn-primary" onclick="startSession()"&gt;▶️ Начать&lt;/button&gt;</t>
  </si>
  <si>
    <t xml:space="preserve">            &lt;button class="btn-action btn-secondary" onclick="stopSession()"&gt;⏹️ Завершить&lt;/button&gt;</t>
  </si>
  <si>
    <t xml:space="preserve">        &lt;div class="section-title" style="margin-top: 10px;"&gt;Быстрый переход к витринам&lt;/div&gt;</t>
  </si>
  <si>
    <t xml:space="preserve">        &lt;div class="card" onclick="jump('📄 Executive_OnePager')"&gt;</t>
  </si>
  <si>
    <t>Marketing Ad Platforms</t>
  </si>
  <si>
    <t xml:space="preserve">          &lt;div class="card-title"&gt;👑 Собственник / CEO&lt;/div&gt;</t>
  </si>
  <si>
    <t>task</t>
  </si>
  <si>
    <t>TSK-</t>
  </si>
  <si>
    <t xml:space="preserve">          &lt;div class="card-desc"&gt;One-Pager: выручка, юнит-экономика, капитал&lt;/div&gt;</t>
  </si>
  <si>
    <t>TSK-100</t>
  </si>
  <si>
    <t>RevOps Automation Queue</t>
  </si>
  <si>
    <t xml:space="preserve">        &lt;div class="card" onclick="jump('📋 Пульт_РОПа_15_Минут')"&gt;</t>
  </si>
  <si>
    <t xml:space="preserve">          &lt;div class="card-title"&gt;📋 Коммерческий директор&lt;/div&gt;</t>
  </si>
  <si>
    <t xml:space="preserve">          &lt;div class="card-desc"&gt;Пульт РОПа 15 минут, горящие сделки&lt;/div&gt;</t>
  </si>
  <si>
    <t xml:space="preserve">        &lt;div class="card" onclick="jump('⚡ Пульс_Компании')"&gt;</t>
  </si>
  <si>
    <t xml:space="preserve">          &lt;div class="card-title"&gt;💼 KAM / 📞 SDR&lt;/div&gt;</t>
  </si>
  <si>
    <t xml:space="preserve">          &lt;div class="card-desc"&gt;Пульс компании, звонки, личный пайплайн&lt;/div&gt;</t>
  </si>
  <si>
    <t xml:space="preserve">        &lt;div class="card" onclick="jump('🌐 Маркетинг_и_Трафик')"&gt;</t>
  </si>
  <si>
    <t xml:space="preserve">          &lt;div class="card-title"&gt;🌐 Маркетинг / CMO&lt;/div&gt;</t>
  </si>
  <si>
    <t xml:space="preserve">          &lt;div class="card-desc"&gt;Атрибуция, ROMI, CPL и точки слива бюджета&lt;/div&gt;</t>
  </si>
  <si>
    <t xml:space="preserve">        &lt;div class="card" onclick="jump('💳 Финансы_и_AI_Дожим')"&gt;</t>
  </si>
  <si>
    <t xml:space="preserve">          &lt;div class="card-title"&gt;💳 Финансы / CFO&lt;/div&gt;</t>
  </si>
  <si>
    <t xml:space="preserve">          &lt;div class="card-desc"&gt;Дебиторка DSO, кассовые разрывы, AI-дожим&lt;/div&gt;</t>
  </si>
  <si>
    <t xml:space="preserve">        &lt;div class="section-title" style="margin-top: 10px;"&gt;Общие фильтры (Shared Filter Views)&lt;/div&gt;</t>
  </si>
  <si>
    <t xml:space="preserve">        &lt;div class="card" onclick="jump('🎯 Action_Center')"&gt;</t>
  </si>
  <si>
    <t xml:space="preserve">          &lt;div class="card-title"&gt;🎯 Action Center &lt;span class="filter-tag"&gt;4 Views&lt;/span&gt;&lt;/div&gt;</t>
  </si>
  <si>
    <t xml:space="preserve">          &lt;div class="card-desc"&gt;P0 алерты РОПа, задачи КАМа 102, риски CFO&lt;/div&gt;</t>
  </si>
  <si>
    <t xml:space="preserve">        &lt;div class="card" onclick="jump('📋 Задачи_и_Спринты')"&gt;</t>
  </si>
  <si>
    <t xml:space="preserve">          &lt;div class="card-title"&gt;📋 Задачи и Спринты &lt;span class="filter-tag"&gt;4 Views&lt;/span&gt;&lt;/div&gt;</t>
  </si>
  <si>
    <t xml:space="preserve">          &lt;div class="card-desc"&gt;Фильтры: Продажи, Маркетинг, Финансы, RevOps&lt;/div&gt;</t>
  </si>
  <si>
    <t xml:space="preserve">        &lt;div class="card" onclick="jump('raw_deals')"&gt;</t>
  </si>
  <si>
    <t xml:space="preserve">          &lt;div class="card-title"&gt;📊 Сделки CRM &lt;span class="filter-tag"&gt;4 Views&lt;/span&gt;&lt;/div&gt;</t>
  </si>
  <si>
    <t xml:space="preserve">          &lt;div class="card-desc"&gt;Пайплайн в работе, выигранные сделки, крупные чеки&lt;/div&gt;</t>
  </si>
  <si>
    <t xml:space="preserve">        &lt;script&gt;</t>
  </si>
  <si>
    <t xml:space="preserve">          function loadStatus() {</t>
  </si>
  <si>
    <t xml:space="preserve">            google.script.run.withSuccessHandler(function(res) {</t>
  </si>
  <si>
    <t xml:space="preserve">              if (res) {</t>
  </si>
  <si>
    <t xml:space="preserve">                document.getElementById('userEmail').innerText = res.userEmail ? res.userEmail.split('@')[0] : 'Анонимно';</t>
  </si>
  <si>
    <t>Описание</t>
  </si>
  <si>
    <t xml:space="preserve">                document.getElementById('userRole').innerText = res.userRole || '👑 CEO';</t>
  </si>
  <si>
    <t>Формула / Значение</t>
  </si>
  <si>
    <t xml:space="preserve">                document.getElementById('sessionStatus').innerText = res.sessionText || '🟢 Свободна';</t>
  </si>
  <si>
    <t xml:space="preserve">              }</t>
  </si>
  <si>
    <t>Всего записей</t>
  </si>
  <si>
    <t>Общее число сделок в реестре CRM</t>
  </si>
  <si>
    <t xml:space="preserve">            }).getEnterpriseSessionStatus();</t>
  </si>
  <si>
    <t xml:space="preserve">          }</t>
  </si>
  <si>
    <t xml:space="preserve">          function startSession() {</t>
  </si>
  <si>
    <t xml:space="preserve">            var role = document.getElementById('sessionRole').value;</t>
  </si>
  <si>
    <t xml:space="preserve">            var isSolo = document.getElementById('sessionMode').value === 'solo';</t>
  </si>
  <si>
    <t xml:space="preserve">            google.script.run.withSuccessHandler(function() {</t>
  </si>
  <si>
    <t xml:space="preserve">              loadStatus();</t>
  </si>
  <si>
    <t xml:space="preserve">            }).startPlanningSession(role, isSolo);</t>
  </si>
  <si>
    <t xml:space="preserve">          function stopSession() {</t>
  </si>
  <si>
    <t xml:space="preserve">            }).endPlanningSession();</t>
  </si>
  <si>
    <t xml:space="preserve">          function jump(sheetName) {</t>
  </si>
  <si>
    <t xml:space="preserve">            google.script.run.jumpToSheet(sheetName);</t>
  </si>
  <si>
    <t xml:space="preserve">          loadStatus();</t>
  </si>
  <si>
    <t xml:space="preserve">        &lt;/script&gt;</t>
  </si>
  <si>
    <t xml:space="preserve">      &lt;/body&gt;</t>
  </si>
  <si>
    <t xml:space="preserve">    &lt;/html&gt;</t>
  </si>
  <si>
    <t>Доля пустых обязательных полей</t>
  </si>
  <si>
    <t xml:space="preserve">  `).setTitle('RevOps Enterprise Навигатор').setWidth(300);</t>
  </si>
  <si>
    <t>Проверка отсутствия незаполненных контрагентов</t>
  </si>
  <si>
    <t xml:space="preserve">  ui.showSidebar(html);</t>
  </si>
  <si>
    <t xml:space="preserve"> * Быстрый переход на лист из Sidebar</t>
  </si>
  <si>
    <t>function jumpToSheet(sheetName) {</t>
  </si>
  <si>
    <t xml:space="preserve">  const sh = ss.getSheetByName(sheetName);</t>
  </si>
  <si>
    <t xml:space="preserve">  if (sh) {</t>
  </si>
  <si>
    <t xml:space="preserve">    if (sh.isSheetHidden()) {</t>
  </si>
  <si>
    <t>event_date</t>
  </si>
  <si>
    <t xml:space="preserve">    ss.setActiveSheet(sh);</t>
  </si>
  <si>
    <t>event_type</t>
  </si>
  <si>
    <t>field_changed</t>
  </si>
  <si>
    <t xml:space="preserve"> * 10. Событие onOpen (автозапуск при открытии)</t>
  </si>
  <si>
    <t>function applyRbacOnOpen() {</t>
  </si>
  <si>
    <t>sla_impact</t>
  </si>
  <si>
    <t xml:space="preserve">    const userInfo = getUserRoleAndLanding_();</t>
  </si>
  <si>
    <t>EVT-001</t>
  </si>
  <si>
    <t xml:space="preserve">    applyRoleVisibility(userInfo.role, { silent: true, targetLanding: userInfo.landing });</t>
  </si>
  <si>
    <t>stage_change</t>
  </si>
  <si>
    <t>NONE</t>
  </si>
  <si>
    <t xml:space="preserve">    ss.toast('RBAC: ' + e.message, '⚠️ Ошибка запуска', 8);</t>
  </si>
  <si>
    <t>EVT-002</t>
  </si>
  <si>
    <t xml:space="preserve"> * 11. Installable onEdit</t>
  </si>
  <si>
    <t>🟢 IN_NORM</t>
  </si>
  <si>
    <t xml:space="preserve"> * Шаг 5: Проверка прав на RBAC_Matrix через isCurrentUserAdmin_()</t>
  </si>
  <si>
    <t>EVT-003</t>
  </si>
  <si>
    <t>Доля дублей по client_name</t>
  </si>
  <si>
    <t>function onEditInstallable(e) {</t>
  </si>
  <si>
    <t>Проверка уникальности контрагентов</t>
  </si>
  <si>
    <t xml:space="preserve">  if (!e || !e.range) return;</t>
  </si>
  <si>
    <t xml:space="preserve">  const sh = e.range.getSheet();</t>
  </si>
  <si>
    <t xml:space="preserve">  const sheetName = sh.getName();</t>
  </si>
  <si>
    <t>EVT-004</t>
  </si>
  <si>
    <t xml:space="preserve">  const a1 = e.range.getA1Notation();</t>
  </si>
  <si>
    <t xml:space="preserve">  // 1. Смена роли в Настройках (B10)</t>
  </si>
  <si>
    <t xml:space="preserve">  if (sheetName === SETTINGS_SH &amp;&amp; a1 === ROLE_CELL) {</t>
  </si>
  <si>
    <t>EVT-005</t>
  </si>
  <si>
    <t xml:space="preserve">    const newRole = String(e.range.getValue()).trim();</t>
  </si>
  <si>
    <t xml:space="preserve">    const oldRole = e.oldValue ? String(e.oldValue).trim() : '';</t>
  </si>
  <si>
    <t xml:space="preserve">    applyRoleVisibility(newRole, { oldRole: oldRole });</t>
  </si>
  <si>
    <t xml:space="preserve">    return;</t>
  </si>
  <si>
    <t>EVT-006</t>
  </si>
  <si>
    <t xml:space="preserve">  // 2. Смена режима в Настройках (H10)</t>
  </si>
  <si>
    <t xml:space="preserve">  if (sheetName === SETTINGS_SH &amp;&amp; a1 === MODE_CELL) {</t>
  </si>
  <si>
    <t xml:space="preserve">    const role = ss.getSheetByName(SETTINGS_SH).getRange(ROLE_CELL).getValue();</t>
  </si>
  <si>
    <t xml:space="preserve">    applyRoleVisibility(role, { silent: false });</t>
  </si>
  <si>
    <t>EVT-007</t>
  </si>
  <si>
    <t xml:space="preserve">  // 3. Правка матрицы RBAC — проверка по email-карте через isCurrentUserAdmin_()</t>
  </si>
  <si>
    <t xml:space="preserve">  if (sheetName === RBAC_SHEET) {</t>
  </si>
  <si>
    <t>EVT-008</t>
  </si>
  <si>
    <t xml:space="preserve">      if (e.oldValue !== undefined) e.range.setValue(e.oldValue);</t>
  </si>
  <si>
    <t xml:space="preserve">      ss.toast('⛔ Нет прав на изменение матрицы RBAC.', '🛡️ Доступ запрещен', 5);</t>
  </si>
  <si>
    <t>EVT-009</t>
  </si>
  <si>
    <t xml:space="preserve">    applyRoleVisibility(userInfo.role, { silent: true });</t>
  </si>
  <si>
    <t>EVT-010</t>
  </si>
  <si>
    <t xml:space="preserve"> * 12. Установка Installable-триггеров</t>
  </si>
  <si>
    <t>EVT-011</t>
  </si>
  <si>
    <t>function installRbacTriggers() {</t>
  </si>
  <si>
    <t xml:space="preserve">  ScriptApp.getProjectTriggers().forEach(t =&gt; {</t>
  </si>
  <si>
    <t xml:space="preserve">    const h = t.getHandlerFunction();</t>
  </si>
  <si>
    <t>EVT-012</t>
  </si>
  <si>
    <t xml:space="preserve">    if (['onEditInstallable', 'applyRbacOnOpen'].includes(h)) {</t>
  </si>
  <si>
    <t xml:space="preserve">      ScriptApp.deleteTrigger(t);</t>
  </si>
  <si>
    <t>EVT-013</t>
  </si>
  <si>
    <t xml:space="preserve">  ScriptApp.newTrigger('applyRbacOnOpen').forSpreadsheet(ss).onOpen().create();</t>
  </si>
  <si>
    <t xml:space="preserve">  ScriptApp.newTrigger('onEditInstallable').forSpreadsheet(ss).onEdit().create();</t>
  </si>
  <si>
    <t xml:space="preserve">  ss.toast('✅ RBAC-триггеры успешно установлены (onOpen, onEdit)', '🛡️ RevOps', 6);</t>
  </si>
  <si>
    <t>EVT-014</t>
  </si>
  <si>
    <t>entered_at</t>
  </si>
  <si>
    <t xml:space="preserve"> * 13. Защита служебных листов</t>
  </si>
  <si>
    <t>exited_at</t>
  </si>
  <si>
    <t>hours_in_stage</t>
  </si>
  <si>
    <t>EVT-015</t>
  </si>
  <si>
    <t>function protectRbacSheets() {</t>
  </si>
  <si>
    <t>sla_norm_hours</t>
  </si>
  <si>
    <t xml:space="preserve">  PROTECTED_SHEETS.forEach(name =&gt; {</t>
  </si>
  <si>
    <t>sla_status</t>
  </si>
  <si>
    <t>transferred_by</t>
  </si>
  <si>
    <t xml:space="preserve">    if (!sh) return;</t>
  </si>
  <si>
    <t>EVT-016</t>
  </si>
  <si>
    <t xml:space="preserve">    sh.getProtections(SpreadsheetApp.ProtectionType.SHEET).forEach(p =&gt; {</t>
  </si>
  <si>
    <t xml:space="preserve">      try { p.remove(); } catch(e) {}</t>
  </si>
  <si>
    <t xml:space="preserve">    const p = sh.protect().setDescription('RBAC: служебный лист — только Admin');</t>
  </si>
  <si>
    <t>EVT-017</t>
  </si>
  <si>
    <t xml:space="preserve">    p.removeEditors(p.getEditors().map(u =&gt; u.getEmail()));</t>
  </si>
  <si>
    <t xml:space="preserve">    if (p.canDomainEdit()) p.setDomainEdit(false);</t>
  </si>
  <si>
    <t>EVT-018</t>
  </si>
  <si>
    <t xml:space="preserve">  if (st) {</t>
  </si>
  <si>
    <t xml:space="preserve">    ['B9','B10','D9','F10','H9','H10'].forEach(a1 =&gt; {</t>
  </si>
  <si>
    <t xml:space="preserve">      st.getRange(a1).getProtections(SpreadsheetApp.ProtectionType.RANGE).forEach(p =&gt; {</t>
  </si>
  <si>
    <t xml:space="preserve">        try { p.remove(); } catch(e) {}</t>
  </si>
  <si>
    <t xml:space="preserve">      });</t>
  </si>
  <si>
    <t>EVT-019</t>
  </si>
  <si>
    <t xml:space="preserve">  ss.toast('🛡️ Служебные листы защищены (calc_*, raw_*, контракты)', 'RBAC Security', 5);</t>
  </si>
  <si>
    <t>EVT-020</t>
  </si>
  <si>
    <t xml:space="preserve"> * 14. Меню документа</t>
  </si>
  <si>
    <t xml:space="preserve"> * Шаг 4: Добавлены пункты управления пользователями</t>
  </si>
  <si>
    <t>function onOpen(e) {</t>
  </si>
  <si>
    <t>EVT-021</t>
  </si>
  <si>
    <t xml:space="preserve">  ui.createMenu('🛡️ RevOps Управление')</t>
  </si>
  <si>
    <t xml:space="preserve">    .addItem('🧭 Персональный навигатор (Sidebar)...', 'showEnterpriseNavigator')</t>
  </si>
  <si>
    <t xml:space="preserve">    .addItem('⏹️ Завершить сессию (Открыть все дашборды)', 'endPlanningSession')</t>
  </si>
  <si>
    <t>EVT-022</t>
  </si>
  <si>
    <t xml:space="preserve">    .addSeparator()</t>
  </si>
  <si>
    <t>MANAGER_REASSIGN</t>
  </si>
  <si>
    <t xml:space="preserve">    .addItem('👥 Добавить пользователя в карту ролей...', 'showAddUserDialog')</t>
  </si>
  <si>
    <t xml:space="preserve">    .addItem('🔄 Обновить защиту карты пользователей', 'refreshUsersMapProtection_')</t>
  </si>
  <si>
    <t>OPTIMIZED</t>
  </si>
  <si>
    <t>RevOps Capacity Engine</t>
  </si>
  <si>
    <t xml:space="preserve">    .addItem('👤 Сменить базовую роль (B10)...', 'showRoleSwitcherDialog')</t>
  </si>
  <si>
    <t xml:space="preserve">    .addItem('🔄 Переприменить права RBAC', 'reapplyRbacMenu')</t>
  </si>
  <si>
    <t xml:space="preserve">    .addItem('🔐 Открыть матрицу RBAC', 'showRbacMatrixMenu')</t>
  </si>
  <si>
    <t xml:space="preserve">    .addItem('🔒 Защитить служебные листы', 'protectRbacSheetsMenu')</t>
  </si>
  <si>
    <t xml:space="preserve">    .addItem('⚡ Установить RBAC-триггеры', 'installRbacTriggersMenu')</t>
  </si>
  <si>
    <t xml:space="preserve">    .addToUi();</t>
  </si>
  <si>
    <t>function showRbacMatrixMenu() {</t>
  </si>
  <si>
    <t xml:space="preserve">  if (sh) SpreadsheetApp.getActive().setActiveSheet(sh);</t>
  </si>
  <si>
    <t>function reapplyRbacMenu() {</t>
  </si>
  <si>
    <t xml:space="preserve">  const role = SpreadsheetApp.getActive().getSheetByName(SETTINGS_SH).getRange(ROLE_CELL).getValue();</t>
  </si>
  <si>
    <t xml:space="preserve">  applyRoleVisibility(role, { silent: false });</t>
  </si>
  <si>
    <t>function installRbacTriggersMenu() { installRbacTriggers(); }</t>
  </si>
  <si>
    <t>function protectRbacSheetsMenu()   { protectRbacSheets(); }</t>
  </si>
  <si>
    <t xml:space="preserve"> * Диалог смены роли</t>
  </si>
  <si>
    <t>function showRoleSwitcherDialog() {</t>
  </si>
  <si>
    <t xml:space="preserve">          body { font-family: 'Segoe UI', -apple-system, sans-serif; padding: 16px; margin: 0; background: #F8FAFC; color: #0F172A; }</t>
  </si>
  <si>
    <t xml:space="preserve">          h3 { margin-top: 0; font-size: 15px; color: #1E293B; border-bottom: 2px solid #E2E8F0; padding-bottom: 8px; }</t>
  </si>
  <si>
    <t xml:space="preserve">          .sub { font-size: 12px; color: #64748B; margin-bottom: 12px; }</t>
  </si>
  <si>
    <t xml:space="preserve">          .role-btn { display: flex; align-items: center; width: 100%; text-align: left; padding: 10px 14px; margin-bottom: 8px; border: 1px solid #CBD5E1; border-radius: 8px; background: #FFFFFF; font-size: 13px; font-weight: 600; cursor: pointer; transition: all 0.15s ease-in-out; }</t>
  </si>
  <si>
    <t xml:space="preserve">          .role-btn:hover { background: #EEF2FF; border-color: #6366F1; color: #4338CA; transform: translateY(-1px); }</t>
  </si>
  <si>
    <t xml:space="preserve">          .footer { margin-top: 14px; font-size: 11px; color: #94A3B8; text-align: center; }</t>
  </si>
  <si>
    <t xml:space="preserve">        &lt;h3&gt;🛡️ Базовая роль системы (B10)&lt;/h3&gt;</t>
  </si>
  <si>
    <t xml:space="preserve">        &lt;div class="sub"&gt;Выберите целевую роль для применения матрицы прав:&lt;/div&gt;</t>
  </si>
  <si>
    <t xml:space="preserve">        &lt;button class="role-btn" onclick="apply('👑 CEO')"&gt;👑 CEO (Собственник)&lt;/button&gt;</t>
  </si>
  <si>
    <t xml:space="preserve">        &lt;button class="role-btn" onclick="apply('📋 РОП')"&gt;📋 РОП (Коммерческий директор)&lt;/button&gt;</t>
  </si>
  <si>
    <t xml:space="preserve">        &lt;button class="role-btn" onclick="apply('💼 KAM')"&gt;💼 KAM (Менеджер по продажам)&lt;/button&gt;</t>
  </si>
  <si>
    <t xml:space="preserve">        &lt;button class="role-btn" onclick="apply('📞 SDR')"&gt;📞 SDR (Телемаркетолог)&lt;/button&gt;</t>
  </si>
  <si>
    <t xml:space="preserve">        &lt;button class="role-btn" onclick="apply('🌐 CMO')"&gt;🌐 CMO (Маркетолог)&lt;/button&gt;</t>
  </si>
  <si>
    <t xml:space="preserve">        &lt;button class="role-btn" onclick="apply('💳 CFO')"&gt;💳 CFO (Финансовый директор)&lt;/button&gt;</t>
  </si>
  <si>
    <t xml:space="preserve">        &lt;button class="role-btn" onclick="apply('🔧 Admin')"&gt;🔧 Admin (RevOps Lead)&lt;/button&gt;</t>
  </si>
  <si>
    <t xml:space="preserve">        &lt;div class="footer"&gt;RevOps Platform V17.6 Enterprise Multi-User&lt;/div&gt;</t>
  </si>
  <si>
    <t xml:space="preserve">          function apply(role) {</t>
  </si>
  <si>
    <t xml:space="preserve">              google.script.host.close();</t>
  </si>
  <si>
    <t xml:space="preserve">            }).applyRoleVisibility(role);</t>
  </si>
  <si>
    <t xml:space="preserve">  `).setWidth(340).setHeight(460);</t>
  </si>
  <si>
    <t xml:space="preserve">  ui.showModalDialog(html, 'RevOps Access Control');</t>
  </si>
  <si>
    <t>Битые ссылки (deal без client)</t>
  </si>
  <si>
    <t>Сделки без привязки к client_id</t>
  </si>
  <si>
    <t xml:space="preserve"> * 15. Telegram Dispatcher с защитой от пустых сделок и тестовых токенов</t>
  </si>
  <si>
    <t>function checkAndDispatchSlaAlerts() {</t>
  </si>
  <si>
    <t xml:space="preserve">  const ss = SpreadsheetApp.getActiveSpreadsheet();</t>
  </si>
  <si>
    <t xml:space="preserve">  const actionSheet = ss.getSheetByName('🎯 Action_Center');</t>
  </si>
  <si>
    <t xml:space="preserve">  const settingsSheet = ss.getSheetByName('⚙️ Настройки');</t>
  </si>
  <si>
    <t xml:space="preserve">  if (!actionSheet || !settingsSheet) return 0;</t>
  </si>
  <si>
    <t xml:space="preserve">  // Реальная конфигурация Telegram Bot API в ⚙️ Настройки (B52:B54)</t>
  </si>
  <si>
    <t xml:space="preserve">  const botToken = String(settingsSheet.getRange('B52').getValue()).trim();</t>
  </si>
  <si>
    <t xml:space="preserve">  const ropChatId = String(settingsSheet.getRange('B53').getValue()).trim();</t>
  </si>
  <si>
    <t xml:space="preserve">  const ceoChatId = String(settingsSheet.getRange('B54').getValue()).trim();</t>
  </si>
  <si>
    <t xml:space="preserve">  // Защита от тестовых заглушек (placeholder_bot_token_env / REPLACE) и пустых токенов</t>
  </si>
  <si>
    <t xml:space="preserve">  if (!botToken || botToken.indexOf('placeholder') !== -1 || botToken.indexOf('REPLACE') !== -1) {</t>
  </si>
  <si>
    <t xml:space="preserve">    return 0;</t>
  </si>
  <si>
    <t xml:space="preserve">  const data = actionSheet.getDataRange().getValues();</t>
  </si>
  <si>
    <t xml:space="preserve">  let dispatchedCount = 0;</t>
  </si>
  <si>
    <t xml:space="preserve">  for (let i = 1; i &lt; data.length; i++) {</t>
  </si>
  <si>
    <t xml:space="preserve">    const urgency = String(data[i][4]).trim();</t>
  </si>
  <si>
    <t xml:space="preserve">    const status = String(data[i][7]).trim();</t>
  </si>
  <si>
    <t xml:space="preserve">    const dealId = String(data[i][2]).trim();</t>
  </si>
  <si>
    <t xml:space="preserve">    const impact = Number(data[i][5]);</t>
  </si>
  <si>
    <t>Несогласованные статусы</t>
  </si>
  <si>
    <t xml:space="preserve">    const action = String(data[i][6]).trim();</t>
  </si>
  <si>
    <t>Оплаченные счета без даты фактической оплаты</t>
  </si>
  <si>
    <t xml:space="preserve">    if (status === 'new' || status === 'in_progress') {</t>
  </si>
  <si>
    <t xml:space="preserve">      if (urgency.indexOf('🔴') !== -1 &amp;&amp; dealId !== '' &amp;&amp; impact &gt; 0) {</t>
  </si>
  <si>
    <t xml:space="preserve">        const msg = '🚨 *REVOPS SLA ALERT (P0)*\n' +</t>
  </si>
  <si>
    <t xml:space="preserve">                    '• *Сделка:* ' + dealId + '\n' +</t>
  </si>
  <si>
    <t xml:space="preserve">                    '• *Сумма в риске:* ' + impact.toLocaleString('ru-RU') + ' ₽\n' +</t>
  </si>
  <si>
    <t xml:space="preserve">                    '• *Действие:* ' + action;</t>
  </si>
  <si>
    <t xml:space="preserve">        </t>
  </si>
  <si>
    <t xml:space="preserve">        const targetChat = ropChatId || ceoChatId;</t>
  </si>
  <si>
    <t xml:space="preserve">        if (!targetChat || (String(targetChat).indexOf('-100') !== 0 &amp;&amp; isNaN(Number(targetChat)))) {</t>
  </si>
  <si>
    <t xml:space="preserve">          continue;</t>
  </si>
  <si>
    <t xml:space="preserve">        try {</t>
  </si>
  <si>
    <t xml:space="preserve">          UrlFetchApp.fetch('https://api.telegram.org/bot' + botToken + '/sendMessage', {</t>
  </si>
  <si>
    <t xml:space="preserve">            method: 'post',</t>
  </si>
  <si>
    <t xml:space="preserve">            contentType: 'application/json',</t>
  </si>
  <si>
    <t xml:space="preserve">            payload: JSON.stringify({ chat_id: targetChat, text: msg, parse_mode: 'Markdown' }),</t>
  </si>
  <si>
    <t xml:space="preserve">            muteHttpExceptions: true</t>
  </si>
  <si>
    <t xml:space="preserve">          });</t>
  </si>
  <si>
    <t xml:space="preserve">          dispatchedCount++;</t>
  </si>
  <si>
    <t xml:space="preserve">        } catch (e) {</t>
  </si>
  <si>
    <t xml:space="preserve">          console.warn('Ошибка отправки в Telegram: ' + e.message);</t>
  </si>
  <si>
    <t>DQ Score</t>
  </si>
  <si>
    <t xml:space="preserve">  return dispatchedCount;</t>
  </si>
  <si>
    <t>Интегральный скоринг качества данных</t>
  </si>
  <si>
    <t>Вердикт</t>
  </si>
  <si>
    <t>Заключение по готовности данных для Wave 2</t>
  </si>
  <si>
    <t>action_id</t>
  </si>
  <si>
    <t>trigger_type</t>
  </si>
  <si>
    <t>amount_at_risk</t>
  </si>
  <si>
    <t>suggested_action</t>
  </si>
  <si>
    <t>created_at</t>
  </si>
  <si>
    <t>due_at</t>
  </si>
  <si>
    <t>verified_at</t>
  </si>
  <si>
    <t>sla_forecast</t>
  </si>
  <si>
    <t>sla_breach_cost</t>
  </si>
  <si>
    <t>ACT-001</t>
  </si>
  <si>
    <t>КП без ответа &gt; 48ч</t>
  </si>
  <si>
    <t>🔴 P0</t>
  </si>
  <si>
    <t>Повторный контакт с ЛПР + звонок РОПа</t>
  </si>
  <si>
    <t>in_progress</t>
  </si>
  <si>
    <t>ACT-002</t>
  </si>
  <si>
    <t>Просрочен счёт</t>
  </si>
  <si>
    <t>Дожим счета через AI-бота + автозвонок РОПа</t>
  </si>
  <si>
    <t>transition_id</t>
  </si>
  <si>
    <t>from_stage</t>
  </si>
  <si>
    <t>to_stage</t>
  </si>
  <si>
    <t>escalation_L1_h</t>
  </si>
  <si>
    <t>escalation_L2_h</t>
  </si>
  <si>
    <t>escalation_L3_h</t>
  </si>
  <si>
    <t>escalation_owner_L1</t>
  </si>
  <si>
    <t>escalation_owner_L2</t>
  </si>
  <si>
    <t>escalation_owner_L3</t>
  </si>
  <si>
    <t>TR-01</t>
  </si>
  <si>
    <t>Коммерческий директор</t>
  </si>
  <si>
    <t>TR-02</t>
  </si>
  <si>
    <t>TR-03</t>
  </si>
  <si>
    <t>Генеральный директор</t>
  </si>
  <si>
    <t>TR-04</t>
  </si>
  <si>
    <t>ACT-003</t>
  </si>
  <si>
    <t>Критический брак речи</t>
  </si>
  <si>
    <t>Финансовый директор</t>
  </si>
  <si>
    <t>TR-05</t>
  </si>
  <si>
    <t>🟡 P1</t>
  </si>
  <si>
    <t>Прослушать звонок C-504, отработать возражения</t>
  </si>
  <si>
    <t>ACT-004</t>
  </si>
  <si>
    <t>Зависание на этапе счета</t>
  </si>
  <si>
    <t>Эскалация РОПу, согласование спец-условий</t>
  </si>
  <si>
    <t>ACT-005</t>
  </si>
  <si>
    <t>Крупная сделка без движения</t>
  </si>
  <si>
    <t>Подключение генерального директора к переговорам</t>
  </si>
  <si>
    <t>assigned</t>
  </si>
  <si>
    <t>🎲 REVOPS СЛУЖЕБНЫЙ ДВИЖОК СИМУЛЯЦИИ И МОНТЕ-КАРЛО (CALC_SIMULATOR V17.5)</t>
  </si>
  <si>
    <t>Параметр воронки и выручки</t>
  </si>
  <si>
    <t>Фактическая выручка месяца (As-Is)</t>
  </si>
  <si>
    <t>Потенциал ликвидации утечек (Upside)</t>
  </si>
  <si>
    <t>Целевой план месяца</t>
  </si>
  <si>
    <t>План</t>
  </si>
  <si>
    <t>Управленческая цель ОП</t>
  </si>
  <si>
    <t>--- РАСЧЕТ ВЕРОЯТНОСТНОГО КОРИДОРА ВЫРУЧКИ МОНТЕ-КАРЛО ---</t>
  </si>
  <si>
    <t>P10 (Пессимистичный порог - 90% защита)</t>
  </si>
  <si>
    <t>90% гарантия</t>
  </si>
  <si>
    <t>P50 (Медианное ожидание кассы)</t>
  </si>
  <si>
    <t>50% медиана</t>
  </si>
  <si>
    <t>P90 (Оптимистичный таргет с ИИ-дожимом)</t>
  </si>
  <si>
    <t>План перевыполнен</t>
  </si>
  <si>
    <t>Вероятность выполнения плана 5 000 000 ₽</t>
  </si>
  <si>
    <t>Анализ риска</t>
  </si>
  <si>
    <t>Статус вероятности</t>
  </si>
  <si>
    <t>Индикатор</t>
  </si>
  <si>
    <t>Светофор вероятности</t>
  </si>
  <si>
    <t>category</t>
  </si>
  <si>
    <t>always_visible</t>
  </si>
  <si>
    <t>Буфер ликвидности</t>
  </si>
  <si>
    <t>Системные</t>
  </si>
  <si>
    <t>👁</t>
  </si>
  <si>
    <t>✏️</t>
  </si>
  <si>
    <t>Витрины</t>
  </si>
  <si>
    <t>⛔</t>
  </si>
  <si>
    <t>💸 Диагностика_Утечек_ОП</t>
  </si>
  <si>
    <t>🎯 Action_Center</t>
  </si>
  <si>
    <t>🎙️ ИИ_Аудит</t>
  </si>
  <si>
    <t>⚡ Экспресс_Калькулятор_3_Цифры</t>
  </si>
  <si>
    <t>🧪 QA_Suite</t>
  </si>
  <si>
    <t>Служебные</t>
  </si>
  <si>
    <t>🌐 Мультиканальная_Атрибуция</t>
  </si>
  <si>
    <t>👥 Мотивация_ОП</t>
  </si>
  <si>
    <t>🔮 Симулятор_Роста</t>
  </si>
  <si>
    <t>🗄️ DWH_и_Безопасность</t>
  </si>
  <si>
    <t>🌐 Сквозная_RevOps_Аналитика</t>
  </si>
  <si>
    <t>📈 Когорты_LTV</t>
  </si>
  <si>
    <t>👥 Ресурсный_План</t>
  </si>
  <si>
    <t>🎯 Воронка_и_SLA</t>
  </si>
  <si>
    <t>📊 Юнит_Экономика</t>
  </si>
  <si>
    <t>🚨 Радар_Алертов</t>
  </si>
  <si>
    <t>📋 Задачи_и_Спринты</t>
  </si>
  <si>
    <t>📅 Deal_Event_Log</t>
  </si>
  <si>
    <t>📊 Stage_History</t>
  </si>
  <si>
    <t>⏱️ SLA_Matrix</t>
  </si>
  <si>
    <t>📊 Data_Quality</t>
  </si>
  <si>
    <t>changelog</t>
  </si>
  <si>
    <t>🔐 RBAC_Matrix</t>
  </si>
  <si>
    <t>Calc</t>
  </si>
  <si>
    <t>calc_sales</t>
  </si>
  <si>
    <t>calc_marketing</t>
  </si>
  <si>
    <t>calc_finance</t>
  </si>
  <si>
    <t>calc_simulator</t>
  </si>
  <si>
    <t>Raw</t>
  </si>
  <si>
    <t>raw_alerts</t>
  </si>
  <si>
    <t>raw_audit_log</t>
  </si>
  <si>
    <t>🛠️ Apps_Script_Console</t>
  </si>
  <si>
    <t>🔐 Code_Archive</t>
  </si>
  <si>
    <t>📋 Data_Contract</t>
  </si>
  <si>
    <t>🆔 ID_Registry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</si>
</sst>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#,##0 ₽"/>
    <numFmt numFmtId="165" formatCode="0.0%"/>
    <numFmt numFmtId="166" formatCode="yyyy-mm-dd"/>
    <numFmt numFmtId="167" formatCode="#,##0 &quot;₽&quot;"/>
    <numFmt numFmtId="168" formatCode="+0.0%;-0.0%;0.0%"/>
    <numFmt numFmtId="169" formatCode="+#,##0 &quot;₽&quot;;-#,##0 &quot;₽&quot;;0 &quot;₽&quot;"/>
    <numFmt numFmtId="170" formatCode="yyyy-mm-dd h:mm:ss"/>
    <numFmt numFmtId="171" formatCode="#,##0 &quot;записей&quot;"/>
    <numFmt numFmtId="172" formatCode="#,##0 &quot;активных&quot;"/>
    <numFmt numFmtId="173" formatCode="0.0 &quot;из 13&quot;"/>
    <numFmt numFmtId="174" formatCode="YYYY-MM-DD HH:mm:ss"/>
    <numFmt numFmtId="175" formatCode="yyyy-mm-dd h:mm"/>
    <numFmt numFmtId="176" formatCode="0.0x"/>
    <numFmt numFmtId="177" formatCode="DD.MM.YYYY"/>
    <numFmt numFmtId="178" formatCode="0.0 &quot;x&quot;"/>
    <numFmt numFmtId="179" formatCode="0.0 &quot;мес&quot;"/>
    <numFmt numFmtId="180" formatCode="0.0 &quot;дн&quot;"/>
    <numFmt numFmtId="181" formatCode="m-d"/>
    <numFmt numFmtId="182" formatCode="0.0"/>
  </numFmts>
  <fonts count="134">
    <font>
      <sz val="10.0"/>
      <color rgb="FF000000"/>
      <name val="Arial"/>
      <scheme val="minor"/>
    </font>
    <font>
      <b/>
      <sz val="13.0"/>
      <color rgb="FFFFFFFF"/>
      <name val="Quattrocento Sans"/>
    </font>
    <font>
      <b/>
      <sz val="15.0"/>
      <color rgb="FFFFFFFF"/>
      <name val="Playfair Display"/>
    </font>
    <font>
      <b/>
      <sz val="9.0"/>
      <color rgb="FF94A3B8"/>
      <name val="Quattrocento Sans"/>
    </font>
    <font>
      <b/>
      <sz val="15.0"/>
      <color rgb="FFFFFFFF"/>
      <name val="Arial"/>
    </font>
    <font>
      <sz val="10.0"/>
      <color rgb="FF333F54"/>
      <name val="Roboto"/>
    </font>
    <font/>
    <font>
      <b/>
      <sz val="9.0"/>
      <color rgb="FFFFFFFF"/>
      <name val="Quattrocento Sans"/>
    </font>
    <font>
      <b/>
      <sz val="8.0"/>
      <color rgb="FF64748B"/>
      <name val="Quattrocento Sans"/>
    </font>
    <font>
      <b/>
      <sz val="8.0"/>
      <color rgb="FF2563EB"/>
      <name val="Quattrocento Sans"/>
    </font>
    <font>
      <b/>
      <sz val="8.0"/>
      <color rgb="FFB45309"/>
      <name val="Quattrocento Sans"/>
    </font>
    <font>
      <b/>
      <u/>
      <sz val="9.0"/>
      <color rgb="FF1E4993"/>
      <name val="Roboto"/>
    </font>
    <font>
      <b/>
      <sz val="8.0"/>
      <color rgb="FFDC2626"/>
      <name val="Quattrocento Sans"/>
    </font>
    <font>
      <b/>
      <sz val="13.0"/>
      <color rgb="FF0F172A"/>
      <name val="Quattrocento Sans"/>
    </font>
    <font>
      <b/>
      <sz val="13.0"/>
      <color rgb="FF2563EB"/>
      <name val="Quattrocento Sans"/>
    </font>
    <font>
      <b/>
      <sz val="13.0"/>
      <color rgb="FFB45309"/>
      <name val="Quattrocento Sans"/>
    </font>
    <font>
      <b/>
      <u/>
      <sz val="10.0"/>
      <color rgb="FF1E3A8A"/>
      <name val="Montserrat"/>
    </font>
    <font>
      <b/>
      <sz val="13.0"/>
      <color rgb="FFDC2626"/>
      <name val="Quattrocento Sans"/>
    </font>
    <font>
      <b/>
      <sz val="11.0"/>
      <color rgb="FFDC2626"/>
      <name val="Quattrocento Sans"/>
    </font>
    <font>
      <color theme="1"/>
      <name val="Arial"/>
    </font>
    <font>
      <b/>
      <sz val="11.0"/>
      <color rgb="FF0F172A"/>
      <name val="Quattrocento Sans"/>
    </font>
    <font>
      <sz val="10.0"/>
      <color theme="1"/>
      <name val="Quattrocento Sans"/>
    </font>
    <font>
      <sz val="9.0"/>
      <color rgb="FF0F172A"/>
      <name val="Quattrocento Sans"/>
    </font>
    <font>
      <b/>
      <sz val="10.0"/>
      <color rgb="FFDC2626"/>
      <name val="Quattrocento Sans"/>
    </font>
    <font>
      <b/>
      <sz val="10.0"/>
      <color theme="1"/>
      <name val="Quattrocento Sans"/>
    </font>
    <font>
      <b/>
      <sz val="9.0"/>
      <color rgb="FF0F172A"/>
      <name val="Quattrocento Sans"/>
    </font>
    <font>
      <b/>
      <u/>
      <sz val="9.0"/>
      <color rgb="FFFFFFFF"/>
      <name val="Roboto"/>
    </font>
    <font>
      <b/>
      <sz val="13.0"/>
      <color rgb="FFFFFFFF"/>
      <name val="Playfair Display"/>
    </font>
    <font>
      <b/>
      <sz val="10.0"/>
      <color rgb="FF0F1628"/>
      <name val="Roboto"/>
    </font>
    <font>
      <b/>
      <sz val="15.0"/>
      <color rgb="FF914F0A"/>
      <name val="Roboto"/>
    </font>
    <font>
      <sz val="10.0"/>
      <color rgb="FF63728C"/>
      <name val="Roboto"/>
    </font>
    <font>
      <b/>
      <sz val="13.0"/>
      <color rgb="FF0F1628"/>
      <name val="Roboto"/>
    </font>
    <font>
      <b/>
      <sz val="20.0"/>
      <color rgb="FFBE123C"/>
      <name val="Playfair Display"/>
    </font>
    <font>
      <b/>
      <sz val="20.0"/>
      <color rgb="FF047857"/>
      <name val="Playfair Display"/>
    </font>
    <font>
      <b/>
      <sz val="14.0"/>
      <color rgb="FF191919"/>
      <name val="Arial"/>
    </font>
    <font>
      <b/>
      <sz val="9.0"/>
      <color rgb="FF63728C"/>
      <name val="Roboto"/>
    </font>
    <font>
      <b/>
      <sz val="14.0"/>
      <color rgb="FF055E44"/>
      <name val="Roboto"/>
    </font>
    <font>
      <b/>
      <sz val="10.0"/>
      <color rgb="FF1E4993"/>
      <name val="Roboto"/>
    </font>
    <font>
      <b/>
      <sz val="9.0"/>
      <color rgb="FF1E4993"/>
      <name val="Roboto"/>
    </font>
    <font>
      <b/>
      <color rgb="FFFFFFFF"/>
      <name val="Arial"/>
    </font>
    <font>
      <b/>
      <sz val="9.0"/>
      <color rgb="FF991C1C"/>
      <name val="Roboto"/>
    </font>
    <font>
      <b/>
      <sz val="14.0"/>
      <color rgb="FF0F1628"/>
      <name val="Roboto"/>
    </font>
    <font>
      <b/>
      <sz val="9.0"/>
      <color rgb="FF914F0A"/>
      <name val="Roboto"/>
    </font>
    <font>
      <b/>
      <color theme="1"/>
      <name val="Arial"/>
    </font>
    <font>
      <b/>
      <sz val="11.0"/>
      <color rgb="FF1E283D"/>
      <name val="Roboto"/>
    </font>
    <font>
      <b/>
      <sz val="9.0"/>
      <color rgb="FF055E44"/>
      <name val="Roboto"/>
    </font>
    <font>
      <b/>
      <sz val="20.0"/>
      <color rgb="FFB45309"/>
      <name val="Playfair Display"/>
    </font>
    <font>
      <b/>
      <sz val="20.0"/>
      <color rgb="FF991C1C"/>
      <name val="Roboto"/>
    </font>
    <font>
      <sz val="10.0"/>
      <color rgb="FFDC2626"/>
      <name val="Quattrocento Sans"/>
    </font>
    <font>
      <b/>
      <sz val="18.0"/>
      <color rgb="FF991C1C"/>
      <name val="Roboto"/>
    </font>
    <font>
      <b/>
      <sz val="20.0"/>
      <color rgb="FF055E44"/>
      <name val="Roboto"/>
    </font>
    <font>
      <b/>
      <sz val="10.0"/>
      <color theme="1"/>
      <name val="Arial"/>
    </font>
    <font>
      <b/>
      <sz val="16.0"/>
      <color rgb="FF055E44"/>
      <name val="Roboto"/>
    </font>
    <font>
      <b/>
      <sz val="10.0"/>
      <color rgb="FFFFFFFF"/>
      <name val="Roboto"/>
    </font>
    <font>
      <b/>
      <sz val="10.0"/>
      <color rgb="FF63728C"/>
      <name val="Roboto"/>
    </font>
    <font>
      <b/>
      <sz val="11.0"/>
      <color rgb="FF0F1628"/>
      <name val="Roboto"/>
    </font>
    <font>
      <sz val="9.0"/>
      <color rgb="FF0F172A"/>
      <name val="Arial"/>
    </font>
    <font>
      <sz val="10.0"/>
      <color rgb="FFDC2626"/>
      <name val="Arial"/>
    </font>
    <font>
      <b/>
      <sz val="12.0"/>
      <color rgb="FF991C1C"/>
      <name val="Roboto"/>
    </font>
    <font>
      <sz val="9.0"/>
      <color rgb="FF0F1628"/>
      <name val="Roboto"/>
    </font>
    <font>
      <i/>
      <sz val="9.0"/>
      <color rgb="FF055E44"/>
      <name val="Roboto"/>
    </font>
    <font>
      <b/>
      <sz val="11.0"/>
      <color rgb="FFCC1919"/>
      <name val="Arial"/>
    </font>
    <font>
      <b/>
      <sz val="11.0"/>
      <color rgb="FFD81919"/>
      <name val="Arial"/>
    </font>
    <font>
      <b/>
      <sz val="12.0"/>
      <color rgb="FF0F1628"/>
      <name val="Roboto"/>
    </font>
    <font>
      <b/>
      <sz val="14.0"/>
      <color rgb="FF991C1C"/>
      <name val="Roboto"/>
    </font>
    <font>
      <b/>
      <sz val="11.0"/>
      <color theme="1"/>
      <name val="Arial"/>
    </font>
    <font>
      <b/>
      <u/>
      <sz val="11.0"/>
      <color rgb="FF0F1628"/>
      <name val="Roboto"/>
    </font>
    <font>
      <b/>
      <sz val="13.0"/>
      <color rgb="FF055E44"/>
      <name val="Roboto"/>
    </font>
    <font>
      <b/>
      <sz val="10.0"/>
      <color rgb="FF991C1C"/>
      <name val="Roboto"/>
    </font>
    <font>
      <sz val="9.0"/>
      <color rgb="FF63728C"/>
      <name val="Roboto"/>
    </font>
    <font>
      <b/>
      <sz val="10.0"/>
      <color rgb="FF16A34A"/>
      <name val="Quattrocento Sans"/>
    </font>
    <font>
      <b/>
      <u/>
      <sz val="12.0"/>
      <color rgb="FFFFFFFF"/>
      <name val="Montserrat"/>
    </font>
    <font>
      <b/>
      <sz val="12.0"/>
      <color rgb="FFFFFFFF"/>
      <name val="Montserrat"/>
    </font>
    <font>
      <i/>
      <sz val="10.0"/>
      <color rgb="FF1E4993"/>
      <name val="Roboto"/>
    </font>
    <font>
      <u/>
      <sz val="10.0"/>
      <color rgb="FF64748B"/>
      <name val="Montserrat"/>
    </font>
    <font>
      <b/>
      <u/>
      <sz val="11.0"/>
      <color rgb="FF0F1628"/>
      <name val="Roboto"/>
    </font>
    <font>
      <sz val="10.0"/>
      <color rgb="FF64748B"/>
      <name val="Montserrat"/>
    </font>
    <font>
      <b/>
      <sz val="11.0"/>
      <color rgb="FFFFFFFF"/>
      <name val="Roboto"/>
    </font>
    <font>
      <b/>
      <sz val="14.0"/>
      <color rgb="FF0F162A"/>
      <name val="Playfair Display"/>
    </font>
    <font>
      <b/>
      <u/>
      <color rgb="FF114892"/>
      <name val="Arial"/>
    </font>
    <font>
      <b/>
      <sz val="9.0"/>
      <color rgb="FF117233"/>
      <name val="Arial"/>
    </font>
    <font>
      <b/>
      <sz val="9.0"/>
      <color rgb="FFFFFFFF"/>
      <name val="Arial"/>
    </font>
    <font>
      <b/>
      <sz val="9.0"/>
      <color rgb="FF0F1628"/>
      <name val="Roboto"/>
    </font>
    <font>
      <b/>
      <sz val="11.0"/>
      <color rgb="FF914F0A"/>
      <name val="Roboto"/>
    </font>
    <font>
      <b/>
      <sz val="11.0"/>
      <color rgb="FF1E4993"/>
      <name val="Roboto"/>
    </font>
    <font>
      <b/>
      <sz val="9.0"/>
      <color rgb="FF1966D8"/>
      <name val="Arial"/>
    </font>
    <font>
      <sz val="9.0"/>
      <color theme="1"/>
      <name val="Quattrocento Sans"/>
    </font>
    <font>
      <b/>
      <u/>
      <sz val="10.0"/>
      <color rgb="FF1E3A8A"/>
      <name val="Montserrat"/>
    </font>
    <font>
      <b/>
      <sz val="10.0"/>
      <color rgb="FF475569"/>
      <name val="Montserrat"/>
    </font>
    <font>
      <b/>
      <sz val="9.0"/>
      <color rgb="FFFFFFFF"/>
      <name val="Roboto"/>
    </font>
    <font>
      <b/>
      <sz val="18.0"/>
      <color rgb="FF0F172A"/>
      <name val="Playfair Display"/>
    </font>
    <font>
      <b/>
      <sz val="18.0"/>
      <color rgb="FFB45309"/>
      <name val="Playfair Display"/>
    </font>
    <font>
      <u/>
      <color rgb="FF0000FF"/>
    </font>
    <font>
      <b/>
      <sz val="12.0"/>
      <color rgb="FF0F172A"/>
      <name val="Playfair Display"/>
    </font>
    <font>
      <b/>
      <sz val="13.0"/>
      <color rgb="FFFFFFFF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0.0"/>
      <color rgb="FFFFFFFF"/>
      <name val="Arial"/>
    </font>
    <font>
      <i/>
      <color theme="1"/>
      <name val="Arial"/>
    </font>
    <font>
      <b/>
      <sz val="16.0"/>
      <color rgb="FF047857"/>
      <name val="Playfair Display"/>
    </font>
    <font>
      <b/>
      <sz val="9.0"/>
      <color rgb="FFCCD8F2"/>
      <name val="Roboto"/>
    </font>
    <font>
      <b/>
      <sz val="20.0"/>
      <color theme="1"/>
      <name val="Playfair Display"/>
    </font>
    <font>
      <b/>
      <sz val="11.0"/>
      <color rgb="FF141E33"/>
      <name val="Roboto"/>
    </font>
    <font>
      <b/>
      <sz val="10.0"/>
      <color theme="1"/>
      <name val="Roboto"/>
    </font>
    <font>
      <sz val="10.0"/>
      <color theme="1"/>
      <name val="Roboto"/>
    </font>
    <font>
      <color theme="1"/>
      <name val="Roboto"/>
    </font>
    <font>
      <i/>
      <sz val="8.0"/>
      <color rgb="FF555555"/>
      <name val="Arial"/>
    </font>
    <font>
      <b/>
      <sz val="10.0"/>
      <color rgb="FF055E44"/>
      <name val="Roboto"/>
    </font>
    <font>
      <i/>
      <sz val="9.0"/>
      <color rgb="FF0F1628"/>
      <name val="Roboto"/>
    </font>
    <font>
      <b/>
      <sz val="10.0"/>
      <color rgb="FF1D2C60"/>
      <name val="Arial"/>
    </font>
    <font>
      <b/>
      <u/>
      <sz val="10.0"/>
      <color rgb="FF1D2C60"/>
    </font>
    <font>
      <b/>
      <sz val="16.0"/>
      <color rgb="FF914F0A"/>
      <name val="Roboto"/>
    </font>
    <font>
      <b/>
      <sz val="12.0"/>
      <color rgb="FFFFFFFF"/>
      <name val="Arial"/>
    </font>
    <font>
      <b/>
      <sz val="11.0"/>
      <color rgb="FFFFFFFF"/>
      <name val="Arial"/>
    </font>
    <font>
      <b/>
      <sz val="9.0"/>
      <color rgb="FF192633"/>
      <name val="Arial"/>
    </font>
    <font>
      <b/>
      <u/>
      <sz val="10.0"/>
      <color rgb="FF334C72"/>
      <name val="Arial"/>
    </font>
    <font>
      <b/>
      <u/>
      <sz val="10.0"/>
      <color rgb="FF0C723F"/>
      <name val="Arial"/>
    </font>
    <font>
      <b/>
      <sz val="10.0"/>
      <color rgb="FF3F598C"/>
      <name val="Arial"/>
    </font>
    <font>
      <b/>
      <sz val="18.0"/>
      <color rgb="FF0F1628"/>
      <name val="Roboto"/>
    </font>
    <font>
      <b/>
      <sz val="18.0"/>
      <color rgb="FFBE123C"/>
      <name val="Playfair Display"/>
    </font>
    <font>
      <b/>
      <u/>
      <sz val="10.0"/>
      <color rgb="FF0F1628"/>
      <name val="Roboto"/>
    </font>
    <font>
      <sz val="10.0"/>
      <color rgb="FF0F1628"/>
      <name val="Roboto"/>
    </font>
    <font>
      <b/>
      <sz val="11.0"/>
      <color rgb="FF055E44"/>
      <name val="Roboto"/>
    </font>
    <font>
      <b/>
      <u/>
      <sz val="10.0"/>
      <color rgb="FF0F1628"/>
      <name val="Roboto"/>
    </font>
    <font>
      <b/>
      <sz val="9.0"/>
      <color theme="1"/>
      <name val="Arial"/>
    </font>
    <font>
      <b/>
      <sz val="10.0"/>
      <color rgb="FF2D384C"/>
      <name val="Arial"/>
    </font>
    <font>
      <b/>
      <sz val="13.0"/>
      <color theme="1"/>
      <name val="Arial"/>
    </font>
    <font>
      <b/>
      <sz val="12.0"/>
      <color rgb="FFFFFFFF"/>
      <name val="Roboto"/>
    </font>
    <font>
      <b/>
      <sz val="9.0"/>
      <color rgb="FFE5EAF9"/>
      <name val="Roboto"/>
    </font>
    <font>
      <sz val="9.0"/>
      <color theme="1"/>
      <name val="Arial"/>
    </font>
    <font>
      <b/>
      <sz val="8.0"/>
      <color rgb="FFFFFFFF"/>
      <name val="Arial"/>
    </font>
    <font>
      <b/>
      <sz val="13.0"/>
      <color rgb="FFFFFFFF"/>
      <name val="Roboto"/>
    </font>
    <font>
      <sz val="9.0"/>
      <color rgb="FF19334C"/>
      <name val="Consolas"/>
    </font>
    <font>
      <b/>
      <sz val="10.0"/>
      <color rgb="FFFFFFFF"/>
      <name val="Quattrocento Sans"/>
    </font>
  </fonts>
  <fills count="83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1E2847"/>
        <bgColor rgb="FF1E2847"/>
      </patternFill>
    </fill>
    <fill>
      <patternFill patternType="solid">
        <fgColor rgb="FF0C472D"/>
        <bgColor rgb="FF0C472D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FF4FC"/>
        <bgColor rgb="FFEFF4FC"/>
      </patternFill>
    </fill>
    <fill>
      <patternFill patternType="solid">
        <fgColor rgb="FFFEF2F2"/>
        <bgColor rgb="FFFEF2F2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8C1E1E"/>
        <bgColor rgb="FF8C1E1E"/>
      </patternFill>
    </fill>
    <fill>
      <patternFill patternType="solid">
        <fgColor rgb="FF1E283D"/>
        <bgColor rgb="FF1E283D"/>
      </patternFill>
    </fill>
    <fill>
      <patternFill patternType="solid">
        <fgColor rgb="FFFFF9EA"/>
        <bgColor rgb="FFFFF9EA"/>
      </patternFill>
    </fill>
    <fill>
      <patternFill patternType="solid">
        <fgColor rgb="FFFFF1F2"/>
        <bgColor rgb="FFFFF1F2"/>
      </patternFill>
    </fill>
    <fill>
      <patternFill patternType="solid">
        <fgColor rgb="FFF7F9FC"/>
        <bgColor rgb="FFF7F9FC"/>
      </patternFill>
    </fill>
    <fill>
      <patternFill patternType="solid">
        <fgColor rgb="FFECFDF5"/>
        <bgColor rgb="FFECFDF5"/>
      </patternFill>
    </fill>
    <fill>
      <patternFill patternType="solid">
        <fgColor rgb="FFF2F4F9"/>
        <bgColor rgb="FFF2F4F9"/>
      </patternFill>
    </fill>
    <fill>
      <patternFill patternType="solid">
        <fgColor rgb="FF991B1B"/>
        <bgColor rgb="FF991B1B"/>
      </patternFill>
    </fill>
    <fill>
      <patternFill patternType="solid">
        <fgColor rgb="FFEFF7FF"/>
        <bgColor rgb="FFEFF7FF"/>
      </patternFill>
    </fill>
    <fill>
      <patternFill patternType="solid">
        <fgColor rgb="FF26334C"/>
        <bgColor rgb="FF26334C"/>
      </patternFill>
    </fill>
    <fill>
      <patternFill patternType="solid">
        <fgColor rgb="FFFCF2F2"/>
        <bgColor rgb="FFFCF2F2"/>
      </patternFill>
    </fill>
    <fill>
      <patternFill patternType="solid">
        <fgColor rgb="FFF7F9FF"/>
        <bgColor rgb="FFF7F9FF"/>
      </patternFill>
    </fill>
    <fill>
      <patternFill patternType="solid">
        <fgColor rgb="FFEAF9F2"/>
        <bgColor rgb="FFEAF9F2"/>
      </patternFill>
    </fill>
    <fill>
      <patternFill patternType="solid">
        <fgColor rgb="FFF9EAEA"/>
        <bgColor rgb="FFF9EAEA"/>
      </patternFill>
    </fill>
    <fill>
      <patternFill patternType="solid">
        <fgColor rgb="FF047857"/>
        <bgColor rgb="FF047857"/>
      </patternFill>
    </fill>
    <fill>
      <patternFill patternType="solid">
        <fgColor rgb="FFEAF9EF"/>
        <bgColor rgb="FFEAF9EF"/>
      </patternFill>
    </fill>
    <fill>
      <patternFill patternType="solid">
        <fgColor rgb="FF4F46E5"/>
        <bgColor rgb="FF4F46E5"/>
      </patternFill>
    </fill>
    <fill>
      <patternFill patternType="solid">
        <fgColor rgb="FF263851"/>
        <bgColor rgb="FF263851"/>
      </patternFill>
    </fill>
    <fill>
      <patternFill patternType="solid">
        <fgColor rgb="FFE5F9EA"/>
        <bgColor rgb="FFE5F9EA"/>
      </patternFill>
    </fill>
    <fill>
      <patternFill patternType="solid">
        <fgColor rgb="FFF1F6FA"/>
        <bgColor rgb="FFF1F6FA"/>
      </patternFill>
    </fill>
    <fill>
      <patternFill patternType="solid">
        <fgColor rgb="FFEEF4FB"/>
        <bgColor rgb="FFEEF4FB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5F4EA"/>
        <bgColor rgb="FFE5F4EA"/>
      </patternFill>
    </fill>
    <fill>
      <patternFill patternType="solid">
        <fgColor rgb="FF333F59"/>
        <bgColor rgb="FF333F59"/>
      </patternFill>
    </fill>
    <fill>
      <patternFill patternType="solid">
        <fgColor rgb="FF0B5394"/>
        <bgColor rgb="FF0B5394"/>
      </patternFill>
    </fill>
    <fill>
      <patternFill patternType="solid">
        <fgColor rgb="FFFFF9D8"/>
        <bgColor rgb="FFFFF9D8"/>
      </patternFill>
    </fill>
    <fill>
      <patternFill patternType="solid">
        <fgColor rgb="FFE8EFFF"/>
        <bgColor rgb="FFE8EFFF"/>
      </patternFill>
    </fill>
    <fill>
      <patternFill patternType="solid">
        <fgColor rgb="FFF1F5F9"/>
        <bgColor rgb="FFF1F5F9"/>
      </patternFill>
    </fill>
    <fill>
      <patternFill patternType="solid">
        <fgColor rgb="FF783F04"/>
        <bgColor rgb="FF783F04"/>
      </patternFill>
    </fill>
    <fill>
      <patternFill patternType="solid">
        <fgColor rgb="FF334C72"/>
        <bgColor rgb="FF334C72"/>
      </patternFill>
    </fill>
    <fill>
      <patternFill patternType="solid">
        <fgColor rgb="FF263859"/>
        <bgColor rgb="FF263859"/>
      </patternFill>
    </fill>
    <fill>
      <patternFill patternType="solid">
        <fgColor rgb="FFE5EDF7"/>
        <bgColor rgb="FFE5EDF7"/>
      </patternFill>
    </fill>
    <fill>
      <patternFill patternType="solid">
        <fgColor rgb="FFEAEFF4"/>
        <bgColor rgb="FFEAEFF4"/>
      </patternFill>
    </fill>
    <fill>
      <patternFill patternType="solid">
        <fgColor rgb="FFFEF3C7"/>
        <bgColor rgb="FFFEF3C7"/>
      </patternFill>
    </fill>
    <fill>
      <patternFill patternType="solid">
        <fgColor rgb="FF4C1130"/>
        <bgColor rgb="FF4C1130"/>
      </patternFill>
    </fill>
    <fill>
      <patternFill patternType="solid">
        <fgColor rgb="FF3D85C6"/>
        <bgColor rgb="FF3D85C6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212D47"/>
        <bgColor rgb="FF212D47"/>
      </patternFill>
    </fill>
    <fill>
      <patternFill patternType="solid">
        <fgColor rgb="FFEFF4F9"/>
        <bgColor rgb="FFEFF4F9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20124D"/>
        <bgColor rgb="FF20124D"/>
      </patternFill>
    </fill>
    <fill>
      <patternFill patternType="solid">
        <fgColor rgb="FFEEEEEE"/>
        <bgColor rgb="FFEEEEEE"/>
      </patternFill>
    </fill>
    <fill>
      <patternFill patternType="solid">
        <fgColor rgb="FFEAEFF9"/>
        <bgColor rgb="FFEAEFF9"/>
      </patternFill>
    </fill>
    <fill>
      <patternFill patternType="solid">
        <fgColor rgb="FFF2FCF4"/>
        <bgColor rgb="FFF2FCF4"/>
      </patternFill>
    </fill>
    <fill>
      <patternFill patternType="solid">
        <fgColor rgb="FFDCE0FF"/>
        <bgColor rgb="FFDCE0FF"/>
      </patternFill>
    </fill>
    <fill>
      <patternFill patternType="solid">
        <fgColor rgb="FFFFF4E0"/>
        <bgColor rgb="FFFFF4E0"/>
      </patternFill>
    </fill>
    <fill>
      <patternFill patternType="solid">
        <fgColor rgb="FFB45F06"/>
        <bgColor rgb="FFB45F06"/>
      </patternFill>
    </fill>
    <fill>
      <patternFill patternType="solid">
        <fgColor rgb="FF1E283A"/>
        <bgColor rgb="FF1E283A"/>
      </patternFill>
    </fill>
    <fill>
      <patternFill patternType="solid">
        <fgColor rgb="FFF4F7F9"/>
        <bgColor rgb="FFF4F7F9"/>
      </patternFill>
    </fill>
    <fill>
      <patternFill patternType="solid">
        <fgColor rgb="FFE0F4EA"/>
        <bgColor rgb="FFE0F4EA"/>
      </patternFill>
    </fill>
    <fill>
      <patternFill patternType="solid">
        <fgColor rgb="FF1E3989"/>
        <bgColor rgb="FF1E3989"/>
      </patternFill>
    </fill>
    <fill>
      <patternFill patternType="solid">
        <fgColor rgb="FFEDEDF4"/>
        <bgColor rgb="FFEDEDF4"/>
      </patternFill>
    </fill>
    <fill>
      <patternFill patternType="solid">
        <fgColor rgb="FF434343"/>
        <bgColor rgb="FF434343"/>
      </patternFill>
    </fill>
    <fill>
      <patternFill patternType="solid">
        <fgColor rgb="FFEDF0F6"/>
        <bgColor rgb="FFEDF0F6"/>
      </patternFill>
    </fill>
    <fill>
      <patternFill patternType="solid">
        <fgColor rgb="FF142D59"/>
        <bgColor rgb="FF142D59"/>
      </patternFill>
    </fill>
    <fill>
      <patternFill patternType="solid">
        <fgColor rgb="FF333333"/>
        <bgColor rgb="FF333333"/>
      </patternFill>
    </fill>
    <fill>
      <patternFill patternType="solid">
        <fgColor rgb="FF592D14"/>
        <bgColor rgb="FF592D14"/>
      </patternFill>
    </fill>
    <fill>
      <patternFill patternType="solid">
        <fgColor rgb="FF14472D"/>
        <bgColor rgb="FF14472D"/>
      </patternFill>
    </fill>
    <fill>
      <patternFill patternType="solid">
        <fgColor rgb="FF141E33"/>
        <bgColor rgb="FF141E33"/>
      </patternFill>
    </fill>
    <fill>
      <patternFill patternType="solid">
        <fgColor rgb="FF263F66"/>
        <bgColor rgb="FF263F66"/>
      </patternFill>
    </fill>
    <fill>
      <patternFill patternType="solid">
        <fgColor rgb="FF19263F"/>
        <bgColor rgb="FF19263F"/>
      </patternFill>
    </fill>
  </fills>
  <borders count="20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medium">
        <color rgb="FFF9C460"/>
      </left>
      <right style="medium">
        <color rgb="FFF9C460"/>
      </right>
      <top style="medium">
        <color rgb="FFF9C460"/>
      </top>
      <bottom style="medium">
        <color rgb="FFF9C460"/>
      </bottom>
    </border>
    <border>
      <left style="medium">
        <color rgb="FF93C4F9"/>
      </left>
      <right style="medium">
        <color rgb="FF93C4F9"/>
      </right>
      <top style="medium">
        <color rgb="FF93C4F9"/>
      </top>
      <bottom style="medium">
        <color rgb="FF93C4F9"/>
      </bottom>
    </border>
    <border>
      <left style="medium">
        <color rgb="FFF9A5A5"/>
      </left>
      <right style="medium">
        <color rgb="FFF9A5A5"/>
      </right>
      <top style="medium">
        <color rgb="FFF9A5A5"/>
      </top>
      <bottom style="medium">
        <color rgb="FFF9A5A5"/>
      </bottom>
    </border>
    <border>
      <top style="thin">
        <color rgb="FFD8E0EA"/>
      </top>
      <bottom style="thin">
        <color rgb="FFD8E0EA"/>
      </bottom>
    </border>
    <border>
      <left style="medium">
        <color rgb="FFF9A5A5"/>
      </left>
      <right style="medium">
        <color rgb="FFF9A5A5"/>
      </right>
      <top style="medium">
        <color rgb="FFF9A5A5"/>
      </top>
    </border>
    <border>
      <left style="medium">
        <color rgb="FF6DD1A5"/>
      </left>
      <right style="medium">
        <color rgb="FF6DD1A5"/>
      </right>
      <top style="medium">
        <color rgb="FF6DD1A5"/>
      </top>
    </border>
    <border>
      <left style="medium">
        <color rgb="FFF9A5A5"/>
      </left>
      <right style="medium">
        <color rgb="FFF9A5A5"/>
      </right>
      <bottom style="medium">
        <color rgb="FFF9A5A5"/>
      </bottom>
    </border>
    <border>
      <left style="medium">
        <color rgb="FF6DD1A5"/>
      </left>
      <right style="medium">
        <color rgb="FF6DD1A5"/>
      </right>
      <bottom style="medium">
        <color rgb="FF6DD1A5"/>
      </bottom>
    </border>
    <border>
      <top style="thin">
        <color rgb="FFE0E8EF"/>
      </top>
      <bottom style="thin">
        <color rgb="FFE0E8EF"/>
      </bottom>
    </border>
    <border>
      <top style="medium">
        <color rgb="FF6DD1A5"/>
      </top>
      <bottom style="medium">
        <color rgb="FF6DD1A5"/>
      </bottom>
    </border>
    <border>
      <left style="medium">
        <color rgb="FF93C4F9"/>
      </left>
      <right style="medium">
        <color rgb="FF93C4F9"/>
      </right>
      <top style="thin">
        <color rgb="FFE0E8EF"/>
      </top>
      <bottom style="thin">
        <color rgb="FFE0E8EF"/>
      </bottom>
    </border>
    <border>
      <left style="medium">
        <color rgb="FF33598C"/>
      </left>
      <right style="medium">
        <color rgb="FF33598C"/>
      </right>
      <top style="medium">
        <color rgb="FF33598C"/>
      </top>
      <bottom style="medium">
        <color rgb="FF33598C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  <border>
      <left style="thin">
        <color rgb="FFE0E8EF"/>
      </left>
      <right style="thin">
        <color rgb="FFE0E8EF"/>
      </right>
      <top style="medium">
        <color rgb="FF93C4F9"/>
      </top>
      <bottom style="thin">
        <color rgb="FFE0E8EF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vertical="center"/>
    </xf>
    <xf borderId="0" fillId="4" fontId="4" numFmtId="0" xfId="0" applyAlignment="1" applyFill="1" applyFont="1">
      <alignment horizontal="left" vertical="center"/>
    </xf>
    <xf borderId="2" fillId="0" fontId="6" numFmtId="0" xfId="0" applyBorder="1" applyFont="1"/>
    <xf borderId="0" fillId="5" fontId="5" numFmtId="0" xfId="0" applyAlignment="1" applyFill="1" applyFont="1">
      <alignment horizontal="left" vertical="center"/>
    </xf>
    <xf borderId="3" fillId="0" fontId="6" numFmtId="0" xfId="0" applyBorder="1" applyFont="1"/>
    <xf borderId="1" fillId="6" fontId="7" numFmtId="0" xfId="0" applyAlignment="1" applyBorder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9" fontId="10" numFmtId="0" xfId="0" applyAlignment="1" applyFill="1" applyFont="1">
      <alignment horizontal="center" vertical="center"/>
    </xf>
    <xf borderId="4" fillId="10" fontId="11" numFmtId="0" xfId="0" applyAlignment="1" applyBorder="1" applyFill="1" applyFont="1">
      <alignment horizontal="center" vertical="center"/>
    </xf>
    <xf borderId="0" fillId="11" fontId="12" numFmtId="0" xfId="0" applyAlignment="1" applyFill="1" applyFont="1">
      <alignment horizontal="center" vertical="center"/>
    </xf>
    <xf borderId="0" fillId="7" fontId="13" numFmtId="0" xfId="0" applyAlignment="1" applyFill="1" applyFont="1">
      <alignment horizontal="center" vertical="center"/>
    </xf>
    <xf borderId="0" fillId="8" fontId="14" numFmtId="0" xfId="0" applyAlignment="1" applyFill="1" applyFont="1">
      <alignment horizontal="center" vertical="center"/>
    </xf>
    <xf borderId="0" fillId="9" fontId="15" numFmtId="0" xfId="0" applyAlignment="1" applyFill="1" applyFont="1">
      <alignment horizontal="center" vertical="center"/>
    </xf>
    <xf borderId="4" fillId="8" fontId="16" numFmtId="0" xfId="0" applyAlignment="1" applyBorder="1" applyFill="1" applyFont="1">
      <alignment horizontal="center" vertical="center"/>
    </xf>
    <xf borderId="0" fillId="11" fontId="17" numFmtId="0" xfId="0" applyAlignment="1" applyFill="1" applyFont="1">
      <alignment horizontal="center" vertical="center"/>
    </xf>
    <xf borderId="0" fillId="11" fontId="18" numFmtId="0" xfId="0" applyAlignment="1" applyFill="1" applyFont="1">
      <alignment horizontal="center" vertical="center"/>
    </xf>
    <xf borderId="0" fillId="0" fontId="19" numFmtId="0" xfId="0" applyFont="1"/>
    <xf borderId="0" fillId="8" fontId="20" numFmtId="0" xfId="0" applyAlignment="1" applyFill="1" applyFont="1">
      <alignment horizontal="left" vertical="center"/>
    </xf>
    <xf borderId="4" fillId="12" fontId="7" numFmtId="0" xfId="0" applyAlignment="1" applyBorder="1" applyFill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shrinkToFit="0" vertical="center" wrapText="1"/>
    </xf>
    <xf quotePrefix="1" borderId="4" fillId="0" fontId="21" numFmtId="0" xfId="0" applyAlignment="1" applyBorder="1" applyFont="1">
      <alignment horizontal="center" vertical="center"/>
    </xf>
    <xf borderId="4" fillId="13" fontId="22" numFmtId="0" xfId="0" applyAlignment="1" applyBorder="1" applyFill="1" applyFont="1">
      <alignment horizontal="left" vertical="center"/>
    </xf>
    <xf borderId="4" fillId="0" fontId="21" numFmtId="0" xfId="0" applyAlignment="1" applyBorder="1" applyFont="1">
      <alignment horizontal="center" vertical="center"/>
    </xf>
    <xf borderId="0" fillId="14" fontId="5" numFmtId="0" xfId="0" applyAlignment="1" applyFill="1" applyFont="1">
      <alignment horizontal="left" vertical="center"/>
    </xf>
    <xf borderId="4" fillId="0" fontId="23" numFmtId="0" xfId="0" applyAlignment="1" applyBorder="1" applyFont="1">
      <alignment horizontal="right" vertical="center"/>
    </xf>
    <xf borderId="4" fillId="0" fontId="24" numFmtId="0" xfId="0" applyAlignment="1" applyBorder="1" applyFont="1">
      <alignment horizontal="center" vertical="center"/>
    </xf>
    <xf borderId="1" fillId="13" fontId="22" numFmtId="0" xfId="0" applyAlignment="1" applyBorder="1" applyFill="1" applyFont="1">
      <alignment horizontal="left" vertical="center"/>
    </xf>
    <xf borderId="1" fillId="7" fontId="25" numFmtId="0" xfId="0" applyAlignment="1" applyBorder="1" applyFill="1" applyFont="1">
      <alignment horizontal="left" vertical="center"/>
    </xf>
    <xf quotePrefix="1" borderId="4" fillId="0" fontId="24" numFmtId="0" xfId="0" applyAlignment="1" applyBorder="1" applyFont="1">
      <alignment horizontal="center" vertical="center"/>
    </xf>
    <xf borderId="4" fillId="7" fontId="25" numFmtId="0" xfId="0" applyAlignment="1" applyBorder="1" applyFill="1" applyFont="1">
      <alignment horizontal="left" vertical="center"/>
    </xf>
    <xf borderId="4" fillId="15" fontId="26" numFmtId="0" xfId="0" applyAlignment="1" applyBorder="1" applyFill="1" applyFont="1">
      <alignment horizontal="center" vertical="center"/>
    </xf>
    <xf borderId="4" fillId="0" fontId="24" numFmtId="0" xfId="0" applyAlignment="1" applyBorder="1" applyFont="1">
      <alignment horizontal="right" vertical="center"/>
    </xf>
    <xf borderId="0" fillId="0" fontId="5" numFmtId="0" xfId="0" applyFont="1"/>
    <xf borderId="0" fillId="3" fontId="27" numFmtId="0" xfId="0" applyAlignment="1" applyFill="1" applyFont="1">
      <alignment vertical="center"/>
    </xf>
    <xf borderId="5" fillId="13" fontId="28" numFmtId="0" xfId="0" applyAlignment="1" applyBorder="1" applyFill="1" applyFont="1">
      <alignment vertical="center"/>
    </xf>
    <xf borderId="6" fillId="16" fontId="29" numFmtId="0" xfId="0" applyAlignment="1" applyBorder="1" applyFill="1" applyFont="1">
      <alignment horizontal="center" vertical="center"/>
    </xf>
    <xf borderId="5" fillId="13" fontId="30" numFmtId="0" xfId="0" applyAlignment="1" applyBorder="1" applyFill="1" applyFont="1">
      <alignment vertical="center"/>
    </xf>
    <xf borderId="5" fillId="13" fontId="31" numFmtId="164" xfId="0" applyAlignment="1" applyBorder="1" applyFill="1" applyFont="1" applyNumberFormat="1">
      <alignment vertical="center"/>
    </xf>
    <xf borderId="0" fillId="0" fontId="5" numFmtId="164" xfId="0" applyFont="1" applyNumberFormat="1"/>
    <xf borderId="0" fillId="17" fontId="32" numFmtId="164" xfId="0" applyAlignment="1" applyFill="1" applyFont="1" applyNumberFormat="1">
      <alignment horizontal="center" vertical="center"/>
    </xf>
    <xf borderId="5" fillId="18" fontId="28" numFmtId="0" xfId="0" applyAlignment="1" applyBorder="1" applyFill="1" applyFont="1">
      <alignment vertical="center"/>
    </xf>
    <xf borderId="6" fillId="16" fontId="29" numFmtId="164" xfId="0" applyAlignment="1" applyBorder="1" applyFill="1" applyFont="1" applyNumberFormat="1">
      <alignment horizontal="center" vertical="center"/>
    </xf>
    <xf borderId="0" fillId="19" fontId="33" numFmtId="164" xfId="0" applyAlignment="1" applyFill="1" applyFont="1" applyNumberFormat="1">
      <alignment horizontal="center" vertical="center"/>
    </xf>
    <xf borderId="4" fillId="13" fontId="22" numFmtId="0" xfId="0" applyAlignment="1" applyBorder="1" applyFill="1" applyFont="1">
      <alignment horizontal="left" shrinkToFit="0" vertical="center" wrapText="1"/>
    </xf>
    <xf borderId="5" fillId="18" fontId="30" numFmtId="0" xfId="0" applyAlignment="1" applyBorder="1" applyFill="1" applyFont="1">
      <alignment vertical="center"/>
    </xf>
    <xf borderId="1" fillId="0" fontId="23" numFmtId="0" xfId="0" applyAlignment="1" applyBorder="1" applyFont="1">
      <alignment horizontal="left" vertical="center"/>
    </xf>
    <xf borderId="1" fillId="13" fontId="22" numFmtId="0" xfId="0" applyAlignment="1" applyBorder="1" applyFill="1" applyFont="1">
      <alignment horizontal="left" shrinkToFit="0" vertical="center" wrapText="1"/>
    </xf>
    <xf borderId="0" fillId="20" fontId="34" numFmtId="164" xfId="0" applyAlignment="1" applyFill="1" applyFont="1" applyNumberFormat="1">
      <alignment horizontal="center"/>
    </xf>
    <xf borderId="0" fillId="0" fontId="35" numFmtId="0" xfId="0" applyFont="1"/>
    <xf borderId="1" fillId="9" fontId="24" numFmtId="0" xfId="0" applyAlignment="1" applyBorder="1" applyFill="1" applyFont="1">
      <alignment horizontal="left" vertical="center"/>
    </xf>
    <xf borderId="5" fillId="18" fontId="36" numFmtId="165" xfId="0" applyAlignment="1" applyBorder="1" applyFill="1" applyFont="1" applyNumberFormat="1">
      <alignment horizontal="center" vertical="center"/>
    </xf>
    <xf borderId="0" fillId="21" fontId="27" numFmtId="0" xfId="0" applyAlignment="1" applyFill="1" applyFont="1">
      <alignment horizontal="center" vertical="center"/>
    </xf>
    <xf borderId="0" fillId="21" fontId="27" numFmtId="0" xfId="0" applyAlignment="1" applyFill="1" applyFont="1">
      <alignment horizontal="center" shrinkToFit="0" vertical="center" wrapText="1"/>
    </xf>
    <xf borderId="0" fillId="22" fontId="37" numFmtId="0" xfId="0" applyAlignment="1" applyFill="1" applyFont="1">
      <alignment horizontal="center" vertical="center"/>
    </xf>
    <xf borderId="7" fillId="22" fontId="38" numFmtId="0" xfId="0" applyAlignment="1" applyBorder="1" applyFill="1" applyFont="1">
      <alignment horizontal="center"/>
    </xf>
    <xf borderId="0" fillId="23" fontId="39" numFmtId="0" xfId="0" applyAlignment="1" applyFill="1" applyFont="1">
      <alignment horizontal="center" shrinkToFit="0" vertical="center" wrapText="1"/>
    </xf>
    <xf borderId="8" fillId="24" fontId="40" numFmtId="0" xfId="0" applyAlignment="1" applyBorder="1" applyFill="1" applyFont="1">
      <alignment horizontal="center"/>
    </xf>
    <xf borderId="9" fillId="25" fontId="19" numFmtId="0" xfId="0" applyAlignment="1" applyBorder="1" applyFill="1" applyFont="1">
      <alignment vertical="center"/>
    </xf>
    <xf borderId="5" fillId="13" fontId="41" numFmtId="164" xfId="0" applyAlignment="1" applyBorder="1" applyFill="1" applyFont="1" applyNumberFormat="1">
      <alignment vertical="center"/>
    </xf>
    <xf borderId="9" fillId="25" fontId="19" numFmtId="0" xfId="0" applyAlignment="1" applyBorder="1" applyFill="1" applyFont="1">
      <alignment shrinkToFit="0" vertical="center" wrapText="1"/>
    </xf>
    <xf borderId="6" fillId="16" fontId="42" numFmtId="0" xfId="0" applyAlignment="1" applyBorder="1" applyFill="1" applyFont="1">
      <alignment horizontal="center"/>
    </xf>
    <xf borderId="9" fillId="25" fontId="43" numFmtId="164" xfId="0" applyAlignment="1" applyBorder="1" applyFill="1" applyFont="1" applyNumberFormat="1">
      <alignment horizontal="right" shrinkToFit="0" vertical="center" wrapText="1"/>
    </xf>
    <xf borderId="5" fillId="18" fontId="44" numFmtId="0" xfId="0" applyAlignment="1" applyBorder="1" applyFill="1" applyFont="1">
      <alignment vertical="center"/>
    </xf>
    <xf borderId="9" fillId="13" fontId="19" numFmtId="0" xfId="0" applyAlignment="1" applyBorder="1" applyFill="1" applyFont="1">
      <alignment vertical="center"/>
    </xf>
    <xf borderId="9" fillId="13" fontId="19" numFmtId="0" xfId="0" applyAlignment="1" applyBorder="1" applyFill="1" applyFont="1">
      <alignment shrinkToFit="0" vertical="center" wrapText="1"/>
    </xf>
    <xf borderId="7" fillId="17" fontId="32" numFmtId="0" xfId="0" applyAlignment="1" applyBorder="1" applyFill="1" applyFont="1">
      <alignment horizontal="center" vertical="center"/>
    </xf>
    <xf borderId="5" fillId="18" fontId="44" numFmtId="164" xfId="0" applyAlignment="1" applyBorder="1" applyFill="1" applyFont="1" applyNumberFormat="1">
      <alignment vertical="center"/>
    </xf>
    <xf borderId="9" fillId="13" fontId="43" numFmtId="164" xfId="0" applyAlignment="1" applyBorder="1" applyFill="1" applyFont="1" applyNumberFormat="1">
      <alignment horizontal="right" shrinkToFit="0" vertical="center" wrapText="1"/>
    </xf>
    <xf borderId="10" fillId="24" fontId="40" numFmtId="0" xfId="0" applyAlignment="1" applyBorder="1" applyFill="1" applyFont="1">
      <alignment horizontal="center" vertical="center"/>
    </xf>
    <xf borderId="8" fillId="17" fontId="32" numFmtId="0" xfId="0" applyAlignment="1" applyBorder="1" applyFill="1" applyFont="1">
      <alignment horizontal="center" vertical="center"/>
    </xf>
    <xf borderId="11" fillId="26" fontId="45" numFmtId="0" xfId="0" applyAlignment="1" applyBorder="1" applyFill="1" applyFont="1">
      <alignment horizontal="center" vertical="center"/>
    </xf>
    <xf borderId="6" fillId="9" fontId="46" numFmtId="164" xfId="0" applyAlignment="1" applyBorder="1" applyFill="1" applyFont="1" applyNumberFormat="1">
      <alignment horizontal="center" vertical="center"/>
    </xf>
    <xf borderId="12" fillId="24" fontId="47" numFmtId="164" xfId="0" applyAlignment="1" applyBorder="1" applyFill="1" applyFont="1" applyNumberFormat="1">
      <alignment horizontal="center" vertical="center"/>
    </xf>
    <xf borderId="4" fillId="0" fontId="24" numFmtId="0" xfId="0" applyAlignment="1" applyBorder="1" applyFont="1">
      <alignment horizontal="left" vertical="center"/>
    </xf>
    <xf borderId="1" fillId="0" fontId="48" numFmtId="0" xfId="0" applyAlignment="1" applyBorder="1" applyFont="1">
      <alignment horizontal="left" vertical="center"/>
    </xf>
    <xf borderId="1" fillId="0" fontId="24" numFmtId="0" xfId="0" applyAlignment="1" applyBorder="1" applyFont="1">
      <alignment horizontal="left" vertical="center"/>
    </xf>
    <xf borderId="8" fillId="24" fontId="49" numFmtId="0" xfId="0" applyBorder="1" applyFill="1" applyFont="1"/>
    <xf borderId="13" fillId="26" fontId="50" numFmtId="164" xfId="0" applyAlignment="1" applyBorder="1" applyFill="1" applyFont="1" applyNumberFormat="1">
      <alignment horizontal="center" vertical="center"/>
    </xf>
    <xf borderId="4" fillId="0" fontId="51" numFmtId="0" xfId="0" applyAlignment="1" applyBorder="1" applyFont="1">
      <alignment horizontal="left" vertical="center"/>
    </xf>
    <xf borderId="4" fillId="0" fontId="51" numFmtId="0" xfId="0" applyAlignment="1" applyBorder="1" applyFont="1">
      <alignment horizontal="center" vertical="center"/>
    </xf>
    <xf borderId="13" fillId="26" fontId="52" numFmtId="164" xfId="0" applyAlignment="1" applyBorder="1" applyFill="1" applyFont="1" applyNumberFormat="1">
      <alignment horizontal="center" vertical="center"/>
    </xf>
    <xf borderId="0" fillId="15" fontId="53" numFmtId="0" xfId="0" applyAlignment="1" applyFill="1" applyFont="1">
      <alignment horizontal="center" shrinkToFit="0" vertical="center" wrapText="1"/>
    </xf>
    <xf borderId="14" fillId="13" fontId="54" numFmtId="0" xfId="0" applyAlignment="1" applyBorder="1" applyFill="1" applyFont="1">
      <alignment shrinkToFit="0" vertical="center" wrapText="1"/>
    </xf>
    <xf borderId="14" fillId="13" fontId="55" numFmtId="0" xfId="0" applyAlignment="1" applyBorder="1" applyFill="1" applyFont="1">
      <alignment shrinkToFit="0" vertical="center" wrapText="1"/>
    </xf>
    <xf borderId="1" fillId="13" fontId="56" numFmtId="0" xfId="0" applyAlignment="1" applyBorder="1" applyFill="1" applyFont="1">
      <alignment horizontal="left" shrinkToFit="0" vertical="center" wrapText="1"/>
    </xf>
    <xf borderId="14" fillId="13" fontId="30" numFmtId="0" xfId="0" applyAlignment="1" applyBorder="1" applyFill="1" applyFont="1">
      <alignment shrinkToFit="0" vertical="center" wrapText="1"/>
    </xf>
    <xf borderId="1" fillId="0" fontId="57" numFmtId="0" xfId="0" applyAlignment="1" applyBorder="1" applyFont="1">
      <alignment horizontal="left" vertical="center"/>
    </xf>
    <xf borderId="14" fillId="13" fontId="58" numFmtId="164" xfId="0" applyAlignment="1" applyBorder="1" applyFill="1" applyFont="1" applyNumberFormat="1">
      <alignment horizontal="right" shrinkToFit="0" vertical="center" wrapText="1"/>
    </xf>
    <xf borderId="14" fillId="13" fontId="59" numFmtId="0" xfId="0" applyAlignment="1" applyBorder="1" applyFill="1" applyFont="1">
      <alignment shrinkToFit="0" vertical="center" wrapText="1"/>
    </xf>
    <xf borderId="14" fillId="13" fontId="60" numFmtId="0" xfId="0" applyAlignment="1" applyBorder="1" applyFill="1" applyFont="1">
      <alignment shrinkToFit="0" vertical="center" wrapText="1"/>
    </xf>
    <xf borderId="9" fillId="13" fontId="61" numFmtId="0" xfId="0" applyAlignment="1" applyBorder="1" applyFill="1" applyFont="1">
      <alignment vertical="center"/>
    </xf>
    <xf borderId="14" fillId="18" fontId="54" numFmtId="0" xfId="0" applyAlignment="1" applyBorder="1" applyFill="1" applyFont="1">
      <alignment shrinkToFit="0" vertical="center" wrapText="1"/>
    </xf>
    <xf borderId="14" fillId="18" fontId="55" numFmtId="0" xfId="0" applyAlignment="1" applyBorder="1" applyFill="1" applyFont="1">
      <alignment shrinkToFit="0" vertical="center" wrapText="1"/>
    </xf>
    <xf borderId="9" fillId="13" fontId="61" numFmtId="0" xfId="0" applyAlignment="1" applyBorder="1" applyFill="1" applyFont="1">
      <alignment shrinkToFit="0" vertical="center" wrapText="1"/>
    </xf>
    <xf borderId="14" fillId="18" fontId="30" numFmtId="0" xfId="0" applyAlignment="1" applyBorder="1" applyFill="1" applyFont="1">
      <alignment shrinkToFit="0" vertical="center" wrapText="1"/>
    </xf>
    <xf borderId="14" fillId="18" fontId="58" numFmtId="164" xfId="0" applyAlignment="1" applyBorder="1" applyFill="1" applyFont="1" applyNumberFormat="1">
      <alignment horizontal="right" shrinkToFit="0" vertical="center" wrapText="1"/>
    </xf>
    <xf borderId="14" fillId="18" fontId="59" numFmtId="0" xfId="0" applyAlignment="1" applyBorder="1" applyFill="1" applyFont="1">
      <alignment shrinkToFit="0" vertical="center" wrapText="1"/>
    </xf>
    <xf borderId="14" fillId="18" fontId="60" numFmtId="0" xfId="0" applyAlignment="1" applyBorder="1" applyFill="1" applyFont="1">
      <alignment shrinkToFit="0" vertical="center" wrapText="1"/>
    </xf>
    <xf borderId="0" fillId="27" fontId="62" numFmtId="0" xfId="0" applyFill="1" applyFont="1"/>
    <xf borderId="0" fillId="21" fontId="27" numFmtId="0" xfId="0" applyAlignment="1" applyFill="1" applyFont="1">
      <alignment vertical="center"/>
    </xf>
    <xf borderId="0" fillId="27" fontId="62" numFmtId="0" xfId="0" applyAlignment="1" applyFill="1" applyFont="1">
      <alignment shrinkToFit="0" vertical="center" wrapText="1"/>
    </xf>
    <xf borderId="0" fillId="0" fontId="63" numFmtId="0" xfId="0" applyFont="1"/>
    <xf borderId="0" fillId="15" fontId="53" numFmtId="0" xfId="0" applyAlignment="1" applyFill="1" applyFont="1">
      <alignment horizontal="center" vertical="center"/>
    </xf>
    <xf borderId="0" fillId="27" fontId="43" numFmtId="164" xfId="0" applyAlignment="1" applyFill="1" applyFont="1" applyNumberFormat="1">
      <alignment horizontal="right" shrinkToFit="0" vertical="center" wrapText="1"/>
    </xf>
    <xf borderId="15" fillId="26" fontId="5" numFmtId="0" xfId="0" applyAlignment="1" applyBorder="1" applyFill="1" applyFont="1">
      <alignment shrinkToFit="0" vertical="center" wrapText="1"/>
    </xf>
    <xf borderId="15" fillId="26" fontId="55" numFmtId="0" xfId="0" applyAlignment="1" applyBorder="1" applyFill="1" applyFont="1">
      <alignment shrinkToFit="0" vertical="center" wrapText="1"/>
    </xf>
    <xf borderId="0" fillId="28" fontId="27" numFmtId="0" xfId="0" applyAlignment="1" applyFill="1" applyFont="1">
      <alignment shrinkToFit="0" vertical="center" wrapText="1"/>
    </xf>
    <xf borderId="14" fillId="13" fontId="54" numFmtId="0" xfId="0" applyAlignment="1" applyBorder="1" applyFill="1" applyFont="1">
      <alignment vertical="center"/>
    </xf>
    <xf borderId="0" fillId="28" fontId="27" numFmtId="164" xfId="0" applyAlignment="1" applyFill="1" applyFont="1" applyNumberFormat="1">
      <alignment horizontal="right" shrinkToFit="0" vertical="center" wrapText="1"/>
    </xf>
    <xf borderId="0" fillId="28" fontId="27" numFmtId="0" xfId="0" applyAlignment="1" applyFill="1" applyFont="1">
      <alignment vertical="center"/>
    </xf>
    <xf borderId="15" fillId="26" fontId="64" numFmtId="164" xfId="0" applyAlignment="1" applyBorder="1" applyFill="1" applyFont="1" applyNumberFormat="1">
      <alignment horizontal="right" shrinkToFit="0" vertical="center" wrapText="1"/>
    </xf>
    <xf borderId="0" fillId="0" fontId="19" numFmtId="0" xfId="0" applyAlignment="1" applyFont="1">
      <alignment shrinkToFit="0" vertical="center" wrapText="1"/>
    </xf>
    <xf borderId="0" fillId="0" fontId="65" numFmtId="164" xfId="0" applyAlignment="1" applyFont="1" applyNumberFormat="1">
      <alignment horizontal="right" shrinkToFit="0" vertical="center" wrapText="1"/>
    </xf>
    <xf borderId="14" fillId="13" fontId="66" numFmtId="0" xfId="0" applyAlignment="1" applyBorder="1" applyFill="1" applyFont="1">
      <alignment shrinkToFit="0" vertical="center" wrapText="1"/>
    </xf>
    <xf borderId="15" fillId="26" fontId="67" numFmtId="0" xfId="0" applyAlignment="1" applyBorder="1" applyFill="1" applyFont="1">
      <alignment shrinkToFit="0" vertical="center" wrapText="1"/>
    </xf>
    <xf borderId="0" fillId="0" fontId="19" numFmtId="164" xfId="0" applyAlignment="1" applyFont="1" applyNumberFormat="1">
      <alignment shrinkToFit="0" vertical="center" wrapText="1"/>
    </xf>
    <xf borderId="0" fillId="29" fontId="5" numFmtId="0" xfId="0" applyFill="1" applyFont="1"/>
    <xf borderId="14" fillId="13" fontId="55" numFmtId="164" xfId="0" applyAlignment="1" applyBorder="1" applyFill="1" applyFont="1" applyNumberFormat="1">
      <alignment horizontal="right" shrinkToFit="0" vertical="center" wrapText="1"/>
    </xf>
    <xf borderId="14" fillId="13" fontId="68" numFmtId="0" xfId="0" applyAlignment="1" applyBorder="1" applyFill="1" applyFont="1">
      <alignment shrinkToFit="0" vertical="center" wrapText="1"/>
    </xf>
    <xf borderId="14" fillId="13" fontId="69" numFmtId="0" xfId="0" applyAlignment="1" applyBorder="1" applyFill="1" applyFont="1">
      <alignment shrinkToFit="0" vertical="center" wrapText="1"/>
    </xf>
    <xf borderId="1" fillId="0" fontId="70" numFmtId="0" xfId="0" applyAlignment="1" applyBorder="1" applyFont="1">
      <alignment horizontal="center" vertical="center"/>
    </xf>
    <xf borderId="0" fillId="30" fontId="71" numFmtId="0" xfId="0" applyAlignment="1" applyFill="1" applyFont="1">
      <alignment horizontal="center" vertical="center"/>
    </xf>
    <xf borderId="0" fillId="30" fontId="72" numFmtId="0" xfId="0" applyAlignment="1" applyFill="1" applyFont="1">
      <alignment horizontal="center" vertical="center"/>
    </xf>
    <xf borderId="16" fillId="22" fontId="73" numFmtId="0" xfId="0" applyAlignment="1" applyBorder="1" applyFill="1" applyFont="1">
      <alignment shrinkToFit="0" vertical="center" wrapText="1"/>
    </xf>
    <xf borderId="14" fillId="18" fontId="54" numFmtId="0" xfId="0" applyAlignment="1" applyBorder="1" applyFill="1" applyFont="1">
      <alignment vertical="center"/>
    </xf>
    <xf borderId="0" fillId="0" fontId="74" numFmtId="0" xfId="0" applyAlignment="1" applyFont="1">
      <alignment horizontal="center" vertical="center"/>
    </xf>
    <xf borderId="14" fillId="18" fontId="75" numFmtId="0" xfId="0" applyAlignment="1" applyBorder="1" applyFill="1" applyFont="1">
      <alignment shrinkToFit="0" vertical="center" wrapText="1"/>
    </xf>
    <xf borderId="0" fillId="0" fontId="76" numFmtId="0" xfId="0" applyAlignment="1" applyFont="1">
      <alignment horizontal="center" vertical="center"/>
    </xf>
    <xf borderId="14" fillId="18" fontId="55" numFmtId="164" xfId="0" applyAlignment="1" applyBorder="1" applyFill="1" applyFont="1" applyNumberFormat="1">
      <alignment horizontal="right" shrinkToFit="0" vertical="center" wrapText="1"/>
    </xf>
    <xf borderId="14" fillId="18" fontId="68" numFmtId="0" xfId="0" applyAlignment="1" applyBorder="1" applyFill="1" applyFont="1">
      <alignment shrinkToFit="0" vertical="center" wrapText="1"/>
    </xf>
    <xf quotePrefix="1" borderId="1" fillId="0" fontId="70" numFmtId="0" xfId="0" applyAlignment="1" applyBorder="1" applyFont="1">
      <alignment horizontal="center" vertical="center"/>
    </xf>
    <xf borderId="14" fillId="18" fontId="69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horizontal="right" shrinkToFit="0" vertical="center" wrapText="1"/>
    </xf>
    <xf borderId="0" fillId="31" fontId="77" numFmtId="0" xfId="0" applyAlignment="1" applyFill="1" applyFont="1">
      <alignment horizontal="center" shrinkToFit="0" vertical="center" wrapText="1"/>
    </xf>
    <xf borderId="0" fillId="31" fontId="77" numFmtId="0" xfId="0" applyAlignment="1" applyFill="1" applyFont="1">
      <alignment vertical="center"/>
    </xf>
    <xf borderId="0" fillId="25" fontId="5" numFmtId="0" xfId="0" applyAlignment="1" applyFill="1" applyFont="1">
      <alignment shrinkToFit="0" vertical="center" wrapText="1"/>
    </xf>
    <xf borderId="0" fillId="32" fontId="5" numFmtId="0" xfId="0" applyAlignment="1" applyFill="1" applyFont="1">
      <alignment shrinkToFit="0" vertical="center" wrapText="1"/>
    </xf>
    <xf borderId="0" fillId="33" fontId="78" numFmtId="0" xfId="0" applyAlignment="1" applyFill="1" applyFont="1">
      <alignment horizontal="center" vertical="center"/>
    </xf>
    <xf borderId="0" fillId="33" fontId="78" numFmtId="0" xfId="0" applyAlignment="1" applyFill="1" applyFont="1">
      <alignment vertical="center"/>
    </xf>
    <xf borderId="4" fillId="34" fontId="79" numFmtId="0" xfId="0" applyAlignment="1" applyBorder="1" applyFill="1" applyFont="1">
      <alignment horizontal="center" vertical="center"/>
    </xf>
    <xf borderId="0" fillId="35" fontId="39" numFmtId="0" xfId="0" applyAlignment="1" applyFill="1" applyFont="1">
      <alignment horizontal="center"/>
    </xf>
    <xf borderId="0" fillId="0" fontId="19" numFmtId="166" xfId="0" applyFont="1" applyNumberFormat="1"/>
    <xf borderId="0" fillId="0" fontId="19" numFmtId="165" xfId="0" applyFont="1" applyNumberFormat="1"/>
    <xf borderId="0" fillId="36" fontId="5" numFmtId="0" xfId="0" applyFill="1" applyFont="1"/>
    <xf borderId="0" fillId="0" fontId="19" numFmtId="167" xfId="0" applyFont="1" applyNumberFormat="1"/>
    <xf borderId="0" fillId="35" fontId="53" numFmtId="0" xfId="0" applyAlignment="1" applyFill="1" applyFont="1">
      <alignment horizontal="center" vertical="center"/>
    </xf>
    <xf borderId="0" fillId="37" fontId="5" numFmtId="0" xfId="0" applyFill="1" applyFont="1"/>
    <xf borderId="0" fillId="38" fontId="5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15" fontId="7" numFmtId="0" xfId="0" applyAlignment="1" applyFill="1" applyFont="1">
      <alignment horizontal="center" vertical="center"/>
    </xf>
    <xf borderId="0" fillId="36" fontId="5" numFmtId="0" xfId="0" applyAlignment="1" applyFill="1" applyFont="1">
      <alignment shrinkToFit="0" vertical="center" wrapText="1"/>
    </xf>
    <xf borderId="0" fillId="37" fontId="5" numFmtId="167" xfId="0" applyAlignment="1" applyFill="1" applyFont="1" applyNumberFormat="1">
      <alignment shrinkToFit="0" vertical="center" wrapText="1"/>
    </xf>
    <xf borderId="0" fillId="15" fontId="7" numFmtId="0" xfId="0" applyAlignment="1" applyFill="1" applyFont="1">
      <alignment horizontal="right" vertical="center"/>
    </xf>
    <xf borderId="0" fillId="39" fontId="80" numFmtId="0" xfId="0" applyAlignment="1" applyFill="1" applyFont="1">
      <alignment horizontal="center" vertical="center"/>
    </xf>
    <xf borderId="0" fillId="40" fontId="7" numFmtId="0" xfId="0" applyAlignment="1" applyFill="1" applyFont="1">
      <alignment horizontal="center" vertical="center"/>
    </xf>
    <xf borderId="0" fillId="41" fontId="81" numFmtId="0" xfId="0" applyAlignment="1" applyFill="1" applyFont="1">
      <alignment horizontal="center"/>
    </xf>
    <xf borderId="0" fillId="10" fontId="82" numFmtId="0" xfId="0" applyAlignment="1" applyFill="1" applyFont="1">
      <alignment horizontal="right" shrinkToFit="0" vertical="center" wrapText="1"/>
    </xf>
    <xf borderId="17" fillId="42" fontId="83" numFmtId="0" xfId="0" applyAlignment="1" applyBorder="1" applyFill="1" applyFont="1">
      <alignment horizontal="center" shrinkToFit="0" vertical="center" wrapText="1"/>
    </xf>
    <xf borderId="17" fillId="42" fontId="84" numFmtId="0" xfId="0" applyAlignment="1" applyBorder="1" applyFill="1" applyFont="1">
      <alignment horizontal="center" shrinkToFit="0" vertical="center" wrapText="1"/>
    </xf>
    <xf borderId="17" fillId="42" fontId="55" numFmtId="0" xfId="0" applyAlignment="1" applyBorder="1" applyFill="1" applyFont="1">
      <alignment horizontal="center" shrinkToFit="0" vertical="center" wrapText="1"/>
    </xf>
    <xf borderId="0" fillId="15" fontId="81" numFmtId="0" xfId="0" applyAlignment="1" applyFill="1" applyFont="1">
      <alignment horizontal="right" vertical="center"/>
    </xf>
    <xf borderId="0" fillId="43" fontId="85" numFmtId="0" xfId="0" applyAlignment="1" applyFill="1" applyFont="1">
      <alignment horizontal="center" vertical="center"/>
    </xf>
    <xf borderId="0" fillId="0" fontId="86" numFmtId="0" xfId="0" applyAlignment="1" applyFont="1">
      <alignment vertical="center"/>
    </xf>
    <xf borderId="0" fillId="0" fontId="19" numFmtId="14" xfId="0" applyFont="1" applyNumberFormat="1"/>
    <xf borderId="0" fillId="0" fontId="5" numFmtId="9" xfId="0" applyFont="1" applyNumberFormat="1"/>
    <xf borderId="0" fillId="8" fontId="87" numFmtId="0" xfId="0" applyAlignment="1" applyFill="1" applyFont="1">
      <alignment horizontal="center" vertical="center"/>
    </xf>
    <xf borderId="0" fillId="44" fontId="88" numFmtId="0" xfId="0" applyAlignment="1" applyFill="1" applyFont="1">
      <alignment horizontal="center" vertical="center"/>
    </xf>
    <xf borderId="0" fillId="15" fontId="89" numFmtId="0" xfId="0" applyAlignment="1" applyFill="1" applyFont="1">
      <alignment horizontal="center" vertical="center"/>
    </xf>
    <xf borderId="0" fillId="19" fontId="33" numFmtId="167" xfId="0" applyAlignment="1" applyFill="1" applyFont="1" applyNumberFormat="1">
      <alignment horizontal="center" vertical="center"/>
    </xf>
    <xf borderId="0" fillId="19" fontId="33" numFmtId="165" xfId="0" applyAlignment="1" applyFill="1" applyFont="1" applyNumberFormat="1">
      <alignment horizontal="center" vertical="center"/>
    </xf>
    <xf borderId="0" fillId="7" fontId="90" numFmtId="167" xfId="0" applyAlignment="1" applyFill="1" applyFont="1" applyNumberFormat="1">
      <alignment horizontal="center" vertical="center"/>
    </xf>
    <xf borderId="0" fillId="9" fontId="91" numFmtId="167" xfId="0" applyAlignment="1" applyFill="1" applyFont="1" applyNumberFormat="1">
      <alignment horizontal="center" vertical="center"/>
    </xf>
    <xf borderId="0" fillId="45" fontId="53" numFmtId="0" xfId="0" applyAlignment="1" applyFill="1" applyFont="1">
      <alignment horizontal="center" vertical="center"/>
    </xf>
    <xf borderId="0" fillId="17" fontId="32" numFmtId="3" xfId="0" applyAlignment="1" applyFill="1" applyFont="1" applyNumberFormat="1">
      <alignment horizontal="center" vertical="center"/>
    </xf>
    <xf borderId="0" fillId="18" fontId="63" numFmtId="165" xfId="0" applyAlignment="1" applyFill="1" applyFont="1" applyNumberFormat="1">
      <alignment horizontal="center" vertical="center"/>
    </xf>
    <xf borderId="0" fillId="15" fontId="53" numFmtId="0" xfId="0" applyAlignment="1" applyFill="1" applyFont="1">
      <alignment horizontal="left" vertical="center"/>
    </xf>
    <xf borderId="0" fillId="15" fontId="53" numFmtId="0" xfId="0" applyAlignment="1" applyFill="1" applyFont="1">
      <alignment horizontal="left" shrinkToFit="0" vertical="center" wrapText="1"/>
    </xf>
    <xf borderId="0" fillId="46" fontId="77" numFmtId="0" xfId="0" applyAlignment="1" applyFill="1" applyFont="1">
      <alignment vertical="center"/>
    </xf>
    <xf borderId="0" fillId="46" fontId="77" numFmtId="0" xfId="0" applyAlignment="1" applyFill="1" applyFont="1">
      <alignment shrinkToFit="0" vertical="center" wrapText="1"/>
    </xf>
    <xf borderId="0" fillId="47" fontId="89" numFmtId="0" xfId="0" applyAlignment="1" applyFill="1" applyFont="1">
      <alignment horizontal="center" vertical="center"/>
    </xf>
    <xf borderId="0" fillId="48" fontId="5" numFmtId="0" xfId="0" applyFill="1" applyFont="1"/>
    <xf borderId="0" fillId="48" fontId="5" numFmtId="0" xfId="0" applyAlignment="1" applyFill="1" applyFont="1">
      <alignment shrinkToFit="0" vertical="center" wrapText="1"/>
    </xf>
    <xf borderId="0" fillId="0" fontId="19" numFmtId="3" xfId="0" applyFont="1" applyNumberFormat="1"/>
    <xf borderId="0" fillId="0" fontId="5" numFmtId="0" xfId="0" applyAlignment="1" applyFont="1">
      <alignment horizontal="right" shrinkToFit="0" vertical="center" wrapText="1"/>
    </xf>
    <xf borderId="0" fillId="0" fontId="92" numFmtId="0" xfId="0" applyFont="1"/>
    <xf borderId="0" fillId="15" fontId="53" numFmtId="165" xfId="0" applyAlignment="1" applyFill="1" applyFont="1" applyNumberFormat="1">
      <alignment horizontal="left" vertical="center"/>
    </xf>
    <xf borderId="0" fillId="15" fontId="53" numFmtId="0" xfId="0" applyAlignment="1" applyFill="1" applyFont="1">
      <alignment vertical="center"/>
    </xf>
    <xf borderId="0" fillId="15" fontId="53" numFmtId="0" xfId="0" applyAlignment="1" applyFill="1" applyFont="1">
      <alignment horizontal="right" vertical="center"/>
    </xf>
    <xf borderId="0" fillId="49" fontId="28" numFmtId="0" xfId="0" applyFill="1" applyFont="1"/>
    <xf borderId="0" fillId="0" fontId="5" numFmtId="165" xfId="0" applyAlignment="1" applyFont="1" applyNumberFormat="1">
      <alignment horizontal="center"/>
    </xf>
    <xf borderId="0" fillId="50" fontId="93" numFmtId="0" xfId="0" applyAlignment="1" applyFill="1" applyFont="1">
      <alignment vertical="center"/>
    </xf>
    <xf borderId="0" fillId="51" fontId="81" numFmtId="0" xfId="0" applyAlignment="1" applyFill="1" applyFont="1">
      <alignment horizontal="center"/>
    </xf>
    <xf borderId="0" fillId="41" fontId="94" numFmtId="0" xfId="0" applyAlignment="1" applyFill="1" applyFont="1">
      <alignment horizontal="center" vertical="center"/>
    </xf>
    <xf borderId="0" fillId="0" fontId="95" numFmtId="0" xfId="0" applyFont="1"/>
    <xf borderId="0" fillId="52" fontId="81" numFmtId="0" xfId="0" applyAlignment="1" applyFill="1" applyFont="1">
      <alignment horizontal="center"/>
    </xf>
    <xf borderId="0" fillId="36" fontId="96" numFmtId="167" xfId="0" applyAlignment="1" applyFill="1" applyFont="1" applyNumberFormat="1">
      <alignment horizontal="center" vertical="center"/>
    </xf>
    <xf borderId="0" fillId="36" fontId="96" numFmtId="168" xfId="0" applyAlignment="1" applyFill="1" applyFont="1" applyNumberFormat="1">
      <alignment horizontal="center" vertical="center"/>
    </xf>
    <xf borderId="0" fillId="36" fontId="96" numFmtId="0" xfId="0" applyAlignment="1" applyFill="1" applyFont="1">
      <alignment horizontal="center" vertical="center"/>
    </xf>
    <xf borderId="0" fillId="53" fontId="97" numFmtId="0" xfId="0" applyAlignment="1" applyFill="1" applyFont="1">
      <alignment vertical="center"/>
    </xf>
    <xf borderId="0" fillId="54" fontId="81" numFmtId="0" xfId="0" applyAlignment="1" applyFill="1" applyFont="1">
      <alignment horizontal="center"/>
    </xf>
    <xf borderId="0" fillId="0" fontId="19" numFmtId="168" xfId="0" applyFont="1" applyNumberFormat="1"/>
    <xf borderId="0" fillId="0" fontId="19" numFmtId="169" xfId="0" applyFont="1" applyNumberFormat="1"/>
    <xf borderId="0" fillId="55" fontId="43" numFmtId="0" xfId="0" applyFill="1" applyFont="1"/>
    <xf borderId="0" fillId="55" fontId="43" numFmtId="167" xfId="0" applyFill="1" applyFont="1" applyNumberFormat="1"/>
    <xf borderId="0" fillId="55" fontId="43" numFmtId="168" xfId="0" applyFill="1" applyFont="1" applyNumberFormat="1"/>
    <xf borderId="0" fillId="55" fontId="43" numFmtId="0" xfId="0" applyAlignment="1" applyFill="1" applyFont="1">
      <alignment horizontal="center"/>
    </xf>
    <xf borderId="0" fillId="55" fontId="98" numFmtId="0" xfId="0" applyFill="1" applyFont="1"/>
    <xf borderId="0" fillId="51" fontId="97" numFmtId="0" xfId="0" applyAlignment="1" applyFill="1" applyFont="1">
      <alignment vertical="center"/>
    </xf>
    <xf borderId="0" fillId="56" fontId="81" numFmtId="0" xfId="0" applyAlignment="1" applyFill="1" applyFont="1">
      <alignment horizontal="center"/>
    </xf>
    <xf borderId="0" fillId="0" fontId="19" numFmtId="170" xfId="0" applyFont="1" applyNumberFormat="1"/>
    <xf borderId="0" fillId="19" fontId="99" numFmtId="0" xfId="0" applyAlignment="1" applyFill="1" applyFont="1">
      <alignment horizontal="center" vertical="center"/>
    </xf>
    <xf borderId="0" fillId="57" fontId="100" numFmtId="0" xfId="0" applyAlignment="1" applyFill="1" applyFont="1">
      <alignment horizontal="center" vertical="center"/>
    </xf>
    <xf borderId="0" fillId="58" fontId="101" numFmtId="0" xfId="0" applyAlignment="1" applyFill="1" applyFont="1">
      <alignment horizontal="center" vertical="center"/>
    </xf>
    <xf borderId="0" fillId="58" fontId="102" numFmtId="165" xfId="0" applyAlignment="1" applyFill="1" applyFont="1" applyNumberFormat="1">
      <alignment horizontal="center" vertical="center"/>
    </xf>
    <xf borderId="0" fillId="58" fontId="102" numFmtId="0" xfId="0" applyAlignment="1" applyFill="1" applyFont="1">
      <alignment horizontal="center" vertical="center"/>
    </xf>
    <xf borderId="0" fillId="47" fontId="53" numFmtId="0" xfId="0" applyAlignment="1" applyFill="1" applyFont="1">
      <alignment vertical="center"/>
    </xf>
    <xf borderId="0" fillId="47" fontId="53" numFmtId="0" xfId="0" applyAlignment="1" applyFill="1" applyFont="1">
      <alignment horizontal="center" vertical="center"/>
    </xf>
    <xf borderId="0" fillId="0" fontId="103" numFmtId="0" xfId="0" applyAlignment="1" applyFont="1">
      <alignment horizontal="center" vertical="center"/>
    </xf>
    <xf borderId="0" fillId="0" fontId="104" numFmtId="0" xfId="0" applyAlignment="1" applyFont="1">
      <alignment vertical="center"/>
    </xf>
    <xf borderId="0" fillId="0" fontId="104" numFmtId="0" xfId="0" applyAlignment="1" applyFont="1">
      <alignment horizontal="center" vertical="center"/>
    </xf>
    <xf borderId="0" fillId="0" fontId="105" numFmtId="0" xfId="0" applyAlignment="1" applyFont="1">
      <alignment vertical="center"/>
    </xf>
    <xf borderId="0" fillId="0" fontId="104" numFmtId="167" xfId="0" applyAlignment="1" applyFont="1" applyNumberFormat="1">
      <alignment vertical="center"/>
    </xf>
    <xf borderId="0" fillId="35" fontId="81" numFmtId="0" xfId="0" applyAlignment="1" applyFill="1" applyFont="1">
      <alignment horizontal="center"/>
    </xf>
    <xf borderId="0" fillId="59" fontId="97" numFmtId="0" xfId="0" applyAlignment="1" applyFill="1" applyFont="1">
      <alignment vertical="center"/>
    </xf>
    <xf borderId="0" fillId="60" fontId="81" numFmtId="0" xfId="0" applyAlignment="1" applyFill="1" applyFont="1">
      <alignment horizontal="center"/>
    </xf>
    <xf borderId="0" fillId="0" fontId="43" numFmtId="0" xfId="0" applyAlignment="1" applyFont="1">
      <alignment horizontal="center"/>
    </xf>
    <xf borderId="0" fillId="37" fontId="43" numFmtId="0" xfId="0" applyAlignment="1" applyFill="1" applyFont="1">
      <alignment horizontal="center"/>
    </xf>
    <xf borderId="0" fillId="0" fontId="19" numFmtId="0" xfId="0" applyAlignment="1" applyFont="1">
      <alignment horizontal="center"/>
    </xf>
    <xf borderId="0" fillId="0" fontId="43" numFmtId="165" xfId="0" applyAlignment="1" applyFont="1" applyNumberFormat="1">
      <alignment horizontal="center"/>
    </xf>
    <xf borderId="0" fillId="61" fontId="43" numFmtId="0" xfId="0" applyAlignment="1" applyFill="1" applyFont="1">
      <alignment horizontal="center"/>
    </xf>
    <xf borderId="0" fillId="36" fontId="96" numFmtId="165" xfId="0" applyAlignment="1" applyFill="1" applyFont="1" applyNumberFormat="1">
      <alignment horizontal="center" vertical="center"/>
    </xf>
    <xf borderId="0" fillId="0" fontId="19" numFmtId="2" xfId="0" applyFont="1" applyNumberFormat="1"/>
    <xf borderId="0" fillId="0" fontId="43" numFmtId="167" xfId="0" applyFont="1" applyNumberFormat="1"/>
    <xf borderId="0" fillId="37" fontId="43" numFmtId="0" xfId="0" applyFill="1" applyFont="1"/>
    <xf borderId="0" fillId="37" fontId="19" numFmtId="0" xfId="0" applyFill="1" applyFont="1"/>
    <xf borderId="0" fillId="37" fontId="43" numFmtId="167" xfId="0" applyFill="1" applyFont="1" applyNumberFormat="1"/>
    <xf borderId="0" fillId="0" fontId="106" numFmtId="0" xfId="0" applyFont="1"/>
    <xf borderId="0" fillId="0" fontId="105" numFmtId="167" xfId="0" applyAlignment="1" applyFont="1" applyNumberFormat="1">
      <alignment vertical="center"/>
    </xf>
    <xf borderId="0" fillId="62" fontId="94" numFmtId="0" xfId="0" applyAlignment="1" applyFill="1" applyFont="1">
      <alignment horizontal="center" vertical="center"/>
    </xf>
    <xf borderId="0" fillId="63" fontId="37" numFmtId="0" xfId="0" applyAlignment="1" applyFill="1" applyFont="1">
      <alignment horizontal="center"/>
    </xf>
    <xf borderId="0" fillId="59" fontId="81" numFmtId="0" xfId="0" applyAlignment="1" applyFill="1" applyFont="1">
      <alignment horizontal="center"/>
    </xf>
    <xf borderId="0" fillId="36" fontId="65" numFmtId="0" xfId="0" applyAlignment="1" applyFill="1" applyFont="1">
      <alignment horizontal="center" vertical="center"/>
    </xf>
    <xf borderId="0" fillId="36" fontId="65" numFmtId="171" xfId="0" applyAlignment="1" applyFill="1" applyFont="1" applyNumberFormat="1">
      <alignment horizontal="center" vertical="center"/>
    </xf>
    <xf borderId="0" fillId="52" fontId="53" numFmtId="0" xfId="0" applyAlignment="1" applyFill="1" applyFont="1">
      <alignment horizontal="center" vertical="center"/>
    </xf>
    <xf borderId="0" fillId="54" fontId="53" numFmtId="0" xfId="0" applyAlignment="1" applyFill="1" applyFont="1">
      <alignment horizontal="center" vertical="center"/>
    </xf>
    <xf borderId="0" fillId="36" fontId="65" numFmtId="172" xfId="0" applyAlignment="1" applyFill="1" applyFont="1" applyNumberFormat="1">
      <alignment horizontal="center" vertical="center"/>
    </xf>
    <xf borderId="0" fillId="41" fontId="97" numFmtId="0" xfId="0" applyAlignment="1" applyFill="1" applyFont="1">
      <alignment vertical="center"/>
    </xf>
    <xf borderId="0" fillId="0" fontId="43" numFmtId="0" xfId="0" applyFont="1"/>
    <xf borderId="0" fillId="0" fontId="5" numFmtId="167" xfId="0" applyFont="1" applyNumberFormat="1"/>
    <xf borderId="0" fillId="38" fontId="5" numFmtId="168" xfId="0" applyAlignment="1" applyFill="1" applyFont="1" applyNumberFormat="1">
      <alignment horizontal="center"/>
    </xf>
    <xf borderId="0" fillId="55" fontId="5" numFmtId="167" xfId="0" applyAlignment="1" applyFill="1" applyFont="1" applyNumberFormat="1">
      <alignment horizontal="center"/>
    </xf>
    <xf borderId="0" fillId="0" fontId="5" numFmtId="3" xfId="0" applyFont="1" applyNumberFormat="1"/>
    <xf borderId="0" fillId="37" fontId="5" numFmtId="3" xfId="0" applyFill="1" applyFont="1" applyNumberFormat="1"/>
    <xf borderId="0" fillId="0" fontId="5" numFmtId="165" xfId="0" applyFont="1" applyNumberFormat="1"/>
    <xf borderId="0" fillId="55" fontId="5" numFmtId="165" xfId="0" applyAlignment="1" applyFill="1" applyFont="1" applyNumberFormat="1">
      <alignment horizontal="center"/>
    </xf>
    <xf borderId="0" fillId="0" fontId="19" numFmtId="9" xfId="0" applyFont="1" applyNumberFormat="1"/>
    <xf borderId="0" fillId="38" fontId="5" numFmtId="3" xfId="0" applyAlignment="1" applyFill="1" applyFont="1" applyNumberFormat="1">
      <alignment horizontal="center"/>
    </xf>
    <xf borderId="0" fillId="55" fontId="5" numFmtId="3" xfId="0" applyAlignment="1" applyFill="1" applyFont="1" applyNumberFormat="1">
      <alignment horizontal="center"/>
    </xf>
    <xf borderId="0" fillId="37" fontId="5" numFmtId="167" xfId="0" applyFill="1" applyFont="1" applyNumberFormat="1"/>
    <xf borderId="0" fillId="38" fontId="5" numFmtId="165" xfId="0" applyAlignment="1" applyFill="1" applyFont="1" applyNumberFormat="1">
      <alignment horizontal="center"/>
    </xf>
    <xf borderId="0" fillId="37" fontId="5" numFmtId="165" xfId="0" applyFill="1" applyFont="1" applyNumberFormat="1"/>
    <xf borderId="0" fillId="37" fontId="5" numFmtId="0" xfId="0" applyAlignment="1" applyFill="1" applyFont="1">
      <alignment horizontal="center"/>
    </xf>
    <xf borderId="0" fillId="3" fontId="27" numFmtId="0" xfId="0" applyAlignment="1" applyFill="1" applyFont="1">
      <alignment horizontal="left" shrinkToFit="0" vertical="center" wrapText="1"/>
    </xf>
    <xf borderId="0" fillId="64" fontId="28" numFmtId="0" xfId="0" applyAlignment="1" applyFill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65" fontId="31" numFmtId="164" xfId="0" applyAlignment="1" applyFill="1" applyFont="1" applyNumberFormat="1">
      <alignment horizontal="center" shrinkToFit="0" vertical="center" wrapText="1"/>
    </xf>
    <xf borderId="0" fillId="0" fontId="69" numFmtId="0" xfId="0" applyAlignment="1" applyFont="1">
      <alignment shrinkToFit="0" vertical="center" wrapText="1"/>
    </xf>
    <xf borderId="0" fillId="0" fontId="107" numFmtId="0" xfId="0" applyAlignment="1" applyFont="1">
      <alignment shrinkToFit="0" vertical="center" wrapText="1"/>
    </xf>
    <xf borderId="0" fillId="0" fontId="108" numFmtId="0" xfId="0" applyAlignment="1" applyFont="1">
      <alignment shrinkToFit="0" vertical="center" wrapText="1"/>
    </xf>
    <xf borderId="0" fillId="65" fontId="67" numFmtId="164" xfId="0" applyAlignment="1" applyFill="1" applyFont="1" applyNumberFormat="1">
      <alignment horizontal="center" shrinkToFit="0" vertical="center" wrapText="1"/>
    </xf>
    <xf borderId="0" fillId="66" fontId="109" numFmtId="0" xfId="0" applyAlignment="1" applyFill="1" applyFont="1">
      <alignment horizontal="center" vertical="center"/>
    </xf>
    <xf borderId="0" fillId="65" fontId="36" numFmtId="164" xfId="0" applyAlignment="1" applyFill="1" applyFont="1" applyNumberFormat="1">
      <alignment horizontal="center" shrinkToFit="0" vertical="center" wrapText="1"/>
    </xf>
    <xf borderId="0" fillId="66" fontId="110" numFmtId="0" xfId="0" applyAlignment="1" applyFill="1" applyFont="1">
      <alignment horizontal="center" vertical="center"/>
    </xf>
    <xf borderId="0" fillId="0" fontId="55" numFmtId="0" xfId="0" applyAlignment="1" applyFont="1">
      <alignment shrinkToFit="0" vertical="center" wrapText="1"/>
    </xf>
    <xf borderId="0" fillId="67" fontId="111" numFmtId="165" xfId="0" applyAlignment="1" applyFill="1" applyFont="1" applyNumberFormat="1">
      <alignment horizontal="center" shrinkToFit="0" vertical="center" wrapText="1"/>
    </xf>
    <xf borderId="0" fillId="36" fontId="65" numFmtId="168" xfId="0" applyAlignment="1" applyFill="1" applyFont="1" applyNumberFormat="1">
      <alignment horizontal="center"/>
    </xf>
    <xf borderId="0" fillId="36" fontId="65" numFmtId="167" xfId="0" applyAlignment="1" applyFill="1" applyFont="1" applyNumberFormat="1">
      <alignment horizontal="center"/>
    </xf>
    <xf borderId="0" fillId="36" fontId="65" numFmtId="165" xfId="0" applyAlignment="1" applyFill="1" applyFont="1" applyNumberFormat="1">
      <alignment horizontal="center"/>
    </xf>
    <xf borderId="0" fillId="36" fontId="65" numFmtId="173" xfId="0" applyAlignment="1" applyFill="1" applyFont="1" applyNumberFormat="1">
      <alignment horizontal="center"/>
    </xf>
    <xf borderId="0" fillId="53" fontId="39" numFmtId="0" xfId="0" applyFill="1" applyFont="1"/>
    <xf borderId="0" fillId="54" fontId="81" numFmtId="0" xfId="0" applyFill="1" applyFont="1"/>
    <xf borderId="0" fillId="51" fontId="39" numFmtId="0" xfId="0" applyFill="1" applyFont="1"/>
    <xf borderId="0" fillId="56" fontId="81" numFmtId="0" xfId="0" applyFill="1" applyFont="1"/>
    <xf borderId="0" fillId="0" fontId="19" numFmtId="173" xfId="0" applyFont="1" applyNumberFormat="1"/>
    <xf borderId="0" fillId="41" fontId="112" numFmtId="0" xfId="0" applyAlignment="1" applyFill="1" applyFont="1">
      <alignment horizontal="center" vertical="center"/>
    </xf>
    <xf borderId="0" fillId="45" fontId="39" numFmtId="0" xfId="0" applyFill="1" applyFont="1"/>
    <xf borderId="0" fillId="68" fontId="81" numFmtId="0" xfId="0" applyFill="1" applyFont="1"/>
    <xf borderId="0" fillId="36" fontId="65" numFmtId="3" xfId="0" applyAlignment="1" applyFill="1" applyFont="1" applyNumberFormat="1">
      <alignment horizontal="center"/>
    </xf>
    <xf borderId="0" fillId="53" fontId="97" numFmtId="0" xfId="0" applyFill="1" applyFont="1"/>
    <xf borderId="0" fillId="0" fontId="98" numFmtId="0" xfId="0" applyFont="1"/>
    <xf borderId="0" fillId="69" fontId="113" numFmtId="0" xfId="0" applyAlignment="1" applyFill="1" applyFont="1">
      <alignment vertical="center"/>
    </xf>
    <xf borderId="0" fillId="58" fontId="114" numFmtId="0" xfId="0" applyAlignment="1" applyFill="1" applyFont="1">
      <alignment horizontal="center" vertical="center"/>
    </xf>
    <xf borderId="0" fillId="62" fontId="81" numFmtId="0" xfId="0" applyAlignment="1" applyFill="1" applyFont="1">
      <alignment horizontal="center"/>
    </xf>
    <xf borderId="0" fillId="0" fontId="19" numFmtId="174" xfId="0" applyFont="1" applyNumberFormat="1"/>
    <xf borderId="0" fillId="53" fontId="81" numFmtId="0" xfId="0" applyAlignment="1" applyFill="1" applyFont="1">
      <alignment horizontal="center"/>
    </xf>
    <xf borderId="0" fillId="0" fontId="19" numFmtId="175" xfId="0" applyFont="1" applyNumberFormat="1"/>
    <xf borderId="0" fillId="0" fontId="19" numFmtId="164" xfId="0" applyFont="1" applyNumberFormat="1"/>
    <xf borderId="0" fillId="0" fontId="19" numFmtId="176" xfId="0" applyFont="1" applyNumberFormat="1"/>
    <xf borderId="0" fillId="0" fontId="19" numFmtId="177" xfId="0" applyFont="1" applyNumberFormat="1"/>
    <xf borderId="0" fillId="41" fontId="112" numFmtId="0" xfId="0" applyAlignment="1" applyFill="1" applyFont="1">
      <alignment horizontal="center"/>
    </xf>
    <xf borderId="0" fillId="52" fontId="39" numFmtId="0" xfId="0" applyFill="1" applyFont="1"/>
    <xf borderId="0" fillId="36" fontId="43" numFmtId="167" xfId="0" applyFill="1" applyFont="1" applyNumberFormat="1"/>
    <xf borderId="0" fillId="36" fontId="43" numFmtId="178" xfId="0" applyFill="1" applyFont="1" applyNumberFormat="1"/>
    <xf borderId="0" fillId="36" fontId="43" numFmtId="179" xfId="0" applyFill="1" applyFont="1" applyNumberFormat="1"/>
    <xf borderId="0" fillId="54" fontId="39" numFmtId="0" xfId="0" applyFill="1" applyFont="1"/>
    <xf borderId="0" fillId="35" fontId="112" numFmtId="0" xfId="0" applyAlignment="1" applyFill="1" applyFont="1">
      <alignment horizontal="center"/>
    </xf>
    <xf borderId="0" fillId="37" fontId="43" numFmtId="165" xfId="0" applyFill="1" applyFont="1" applyNumberFormat="1"/>
    <xf borderId="18" fillId="70" fontId="115" numFmtId="0" xfId="0" applyAlignment="1" applyBorder="1" applyFill="1" applyFont="1">
      <alignment horizontal="center" vertical="center"/>
    </xf>
    <xf borderId="18" fillId="71" fontId="116" numFmtId="0" xfId="0" applyAlignment="1" applyBorder="1" applyFill="1" applyFont="1">
      <alignment horizontal="center" vertical="center"/>
    </xf>
    <xf borderId="0" fillId="20" fontId="117" numFmtId="0" xfId="0" applyAlignment="1" applyFill="1" applyFont="1">
      <alignment horizontal="center" vertical="center"/>
    </xf>
    <xf borderId="0" fillId="45" fontId="112" numFmtId="0" xfId="0" applyAlignment="1" applyFill="1" applyFont="1">
      <alignment horizontal="center"/>
    </xf>
    <xf borderId="0" fillId="68" fontId="39" numFmtId="0" xfId="0" applyFill="1" applyFont="1"/>
    <xf borderId="0" fillId="68" fontId="39" numFmtId="0" xfId="0" applyAlignment="1" applyFill="1" applyFont="1">
      <alignment shrinkToFit="0" vertical="center" wrapText="1"/>
    </xf>
    <xf borderId="0" fillId="0" fontId="43" numFmtId="0" xfId="0" applyAlignment="1" applyFont="1">
      <alignment horizontal="center" shrinkToFit="0" vertical="center" wrapText="1"/>
    </xf>
    <xf borderId="19" fillId="18" fontId="35" numFmtId="0" xfId="0" applyBorder="1" applyFill="1" applyFont="1"/>
    <xf borderId="19" fillId="18" fontId="118" numFmtId="167" xfId="0" applyAlignment="1" applyBorder="1" applyFill="1" applyFont="1" applyNumberFormat="1">
      <alignment horizontal="center"/>
    </xf>
    <xf borderId="19" fillId="18" fontId="118" numFmtId="165" xfId="0" applyAlignment="1" applyBorder="1" applyFill="1" applyFont="1" applyNumberFormat="1">
      <alignment horizontal="center"/>
    </xf>
    <xf borderId="5" fillId="19" fontId="33" numFmtId="0" xfId="0" applyAlignment="1" applyBorder="1" applyFill="1" applyFont="1">
      <alignment horizontal="center" vertical="center"/>
    </xf>
    <xf borderId="5" fillId="9" fontId="91" numFmtId="0" xfId="0" applyAlignment="1" applyBorder="1" applyFill="1" applyFont="1">
      <alignment horizontal="center" vertical="center"/>
    </xf>
    <xf borderId="5" fillId="17" fontId="119" numFmtId="0" xfId="0" applyAlignment="1" applyBorder="1" applyFill="1" applyFont="1">
      <alignment horizontal="center" vertical="center"/>
    </xf>
    <xf borderId="5" fillId="13" fontId="52" numFmtId="167" xfId="0" applyAlignment="1" applyBorder="1" applyFill="1" applyFont="1" applyNumberFormat="1">
      <alignment horizontal="center"/>
    </xf>
    <xf borderId="5" fillId="13" fontId="52" numFmtId="165" xfId="0" applyAlignment="1" applyBorder="1" applyFill="1" applyFont="1" applyNumberFormat="1">
      <alignment horizontal="center"/>
    </xf>
    <xf borderId="5" fillId="13" fontId="52" numFmtId="180" xfId="0" applyAlignment="1" applyBorder="1" applyFill="1" applyFont="1" applyNumberFormat="1">
      <alignment horizontal="center"/>
    </xf>
    <xf borderId="5" fillId="13" fontId="52" numFmtId="3" xfId="0" applyAlignment="1" applyBorder="1" applyFill="1" applyFont="1" applyNumberFormat="1">
      <alignment horizontal="center"/>
    </xf>
    <xf borderId="0" fillId="19" fontId="33" numFmtId="0" xfId="0" applyAlignment="1" applyFill="1" applyFont="1">
      <alignment horizontal="center" vertical="center"/>
    </xf>
    <xf borderId="0" fillId="9" fontId="91" numFmtId="0" xfId="0" applyAlignment="1" applyFill="1" applyFont="1">
      <alignment horizontal="center" vertical="center"/>
    </xf>
    <xf borderId="0" fillId="17" fontId="119" numFmtId="0" xfId="0" applyAlignment="1" applyFill="1" applyFont="1">
      <alignment horizontal="center" vertical="center"/>
    </xf>
    <xf borderId="0" fillId="3" fontId="27" numFmtId="0" xfId="0" applyAlignment="1" applyFill="1" applyFont="1">
      <alignment horizontal="center" shrinkToFit="0" vertical="center" wrapText="1"/>
    </xf>
    <xf borderId="0" fillId="0" fontId="19" numFmtId="181" xfId="0" applyFont="1" applyNumberFormat="1"/>
    <xf borderId="14" fillId="15" fontId="53" numFmtId="0" xfId="0" applyAlignment="1" applyBorder="1" applyFill="1" applyFont="1">
      <alignment horizontal="center" shrinkToFit="0" vertical="center" wrapText="1"/>
    </xf>
    <xf borderId="14" fillId="15" fontId="53" numFmtId="167" xfId="0" applyAlignment="1" applyBorder="1" applyFill="1" applyFont="1" applyNumberFormat="1">
      <alignment horizontal="center" shrinkToFit="0" vertical="center" wrapText="1"/>
    </xf>
    <xf borderId="14" fillId="13" fontId="53" numFmtId="0" xfId="0" applyAlignment="1" applyBorder="1" applyFill="1" applyFont="1">
      <alignment shrinkToFit="0" vertical="center" wrapText="1"/>
    </xf>
    <xf borderId="14" fillId="18" fontId="120" numFmtId="0" xfId="0" applyAlignment="1" applyBorder="1" applyFill="1" applyFont="1">
      <alignment shrinkToFit="0" vertical="center" wrapText="1"/>
    </xf>
    <xf borderId="14" fillId="18" fontId="30" numFmtId="3" xfId="0" applyAlignment="1" applyBorder="1" applyFill="1" applyFont="1" applyNumberFormat="1">
      <alignment shrinkToFit="0" vertical="center" wrapText="1"/>
    </xf>
    <xf borderId="14" fillId="18" fontId="55" numFmtId="167" xfId="0" applyAlignment="1" applyBorder="1" applyFill="1" applyFont="1" applyNumberFormat="1">
      <alignment shrinkToFit="0" vertical="center" wrapText="1"/>
    </xf>
    <xf borderId="14" fillId="18" fontId="121" numFmtId="167" xfId="0" applyAlignment="1" applyBorder="1" applyFill="1" applyFont="1" applyNumberFormat="1">
      <alignment shrinkToFit="0" vertical="center" wrapText="1"/>
    </xf>
    <xf borderId="14" fillId="18" fontId="122" numFmtId="0" xfId="0" applyAlignment="1" applyBorder="1" applyFill="1" applyFont="1">
      <alignment shrinkToFit="0" vertical="center" wrapText="1"/>
    </xf>
    <xf borderId="14" fillId="13" fontId="123" numFmtId="0" xfId="0" applyAlignment="1" applyBorder="1" applyFill="1" applyFont="1">
      <alignment shrinkToFit="0" vertical="center" wrapText="1"/>
    </xf>
    <xf borderId="14" fillId="13" fontId="30" numFmtId="3" xfId="0" applyAlignment="1" applyBorder="1" applyFill="1" applyFont="1" applyNumberFormat="1">
      <alignment shrinkToFit="0" vertical="center" wrapText="1"/>
    </xf>
    <xf borderId="14" fillId="13" fontId="55" numFmtId="167" xfId="0" applyAlignment="1" applyBorder="1" applyFill="1" applyFont="1" applyNumberFormat="1">
      <alignment shrinkToFit="0" vertical="center" wrapText="1"/>
    </xf>
    <xf borderId="14" fillId="13" fontId="121" numFmtId="167" xfId="0" applyAlignment="1" applyBorder="1" applyFill="1" applyFont="1" applyNumberFormat="1">
      <alignment shrinkToFit="0" vertical="center" wrapText="1"/>
    </xf>
    <xf borderId="14" fillId="13" fontId="122" numFmtId="0" xfId="0" applyAlignment="1" applyBorder="1" applyFill="1" applyFont="1">
      <alignment shrinkToFit="0" vertical="center" wrapText="1"/>
    </xf>
    <xf borderId="0" fillId="72" fontId="94" numFmtId="0" xfId="0" applyAlignment="1" applyFill="1" applyFont="1">
      <alignment horizontal="center" vertical="center"/>
    </xf>
    <xf borderId="0" fillId="69" fontId="97" numFmtId="0" xfId="0" applyAlignment="1" applyFill="1" applyFont="1">
      <alignment horizontal="center" vertical="center"/>
    </xf>
    <xf borderId="14" fillId="18" fontId="69" numFmtId="165" xfId="0" applyAlignment="1" applyBorder="1" applyFill="1" applyFont="1" applyNumberFormat="1">
      <alignment shrinkToFit="0" vertical="center" wrapText="1"/>
    </xf>
    <xf borderId="14" fillId="13" fontId="69" numFmtId="165" xfId="0" applyAlignment="1" applyBorder="1" applyFill="1" applyFont="1" applyNumberFormat="1">
      <alignment shrinkToFit="0" vertical="center" wrapText="1"/>
    </xf>
    <xf borderId="0" fillId="0" fontId="30" numFmtId="3" xfId="0" applyAlignment="1" applyFont="1" applyNumberFormat="1">
      <alignment shrinkToFit="0" vertical="center" wrapText="1"/>
    </xf>
    <xf borderId="0" fillId="0" fontId="55" numFmtId="167" xfId="0" applyAlignment="1" applyFont="1" applyNumberFormat="1">
      <alignment shrinkToFit="0" vertical="center" wrapText="1"/>
    </xf>
    <xf borderId="0" fillId="0" fontId="121" numFmtId="167" xfId="0" applyAlignment="1" applyFont="1" applyNumberFormat="1">
      <alignment shrinkToFit="0" vertical="center" wrapText="1"/>
    </xf>
    <xf borderId="0" fillId="0" fontId="122" numFmtId="0" xfId="0" applyAlignment="1" applyFont="1">
      <alignment shrinkToFit="0" vertical="center" wrapText="1"/>
    </xf>
    <xf borderId="0" fillId="73" fontId="43" numFmtId="0" xfId="0" applyFill="1" applyFont="1"/>
    <xf quotePrefix="1" borderId="0" fillId="0" fontId="19" numFmtId="0" xfId="0" applyFont="1"/>
    <xf borderId="0" fillId="35" fontId="97" numFmtId="0" xfId="0" applyFill="1" applyFont="1"/>
    <xf borderId="0" fillId="37" fontId="124" numFmtId="0" xfId="0" applyFill="1" applyFont="1"/>
    <xf borderId="0" fillId="35" fontId="39" numFmtId="0" xfId="0" applyFill="1" applyFont="1"/>
    <xf borderId="0" fillId="74" fontId="39" numFmtId="0" xfId="0" applyFill="1" applyFont="1"/>
    <xf borderId="0" fillId="75" fontId="125" numFmtId="0" xfId="0" applyAlignment="1" applyFill="1" applyFont="1">
      <alignment horizontal="center" vertical="center"/>
    </xf>
    <xf borderId="0" fillId="0" fontId="126" numFmtId="0" xfId="0" applyFont="1"/>
    <xf borderId="0" fillId="0" fontId="126" numFmtId="167" xfId="0" applyFont="1" applyNumberFormat="1"/>
    <xf borderId="0" fillId="76" fontId="127" numFmtId="0" xfId="0" applyAlignment="1" applyFill="1" applyFont="1">
      <alignment vertical="center"/>
    </xf>
    <xf borderId="0" fillId="0" fontId="126" numFmtId="165" xfId="0" applyFont="1" applyNumberFormat="1"/>
    <xf borderId="0" fillId="0" fontId="126" numFmtId="179" xfId="0" applyFont="1" applyNumberFormat="1"/>
    <xf borderId="0" fillId="0" fontId="126" numFmtId="176" xfId="0" applyFont="1" applyNumberFormat="1"/>
    <xf borderId="0" fillId="57" fontId="128" numFmtId="0" xfId="0" applyAlignment="1" applyFill="1" applyFont="1">
      <alignment vertical="center"/>
    </xf>
    <xf borderId="0" fillId="0" fontId="129" numFmtId="0" xfId="0" applyFont="1"/>
    <xf borderId="0" fillId="0" fontId="104" numFmtId="10" xfId="0" applyAlignment="1" applyFont="1" applyNumberFormat="1">
      <alignment vertical="center"/>
    </xf>
    <xf borderId="0" fillId="0" fontId="43" numFmtId="182" xfId="0" applyFont="1" applyNumberFormat="1"/>
    <xf borderId="0" fillId="51" fontId="97" numFmtId="0" xfId="0" applyFill="1" applyFont="1"/>
    <xf borderId="0" fillId="77" fontId="130" numFmtId="0" xfId="0" applyFill="1" applyFont="1"/>
    <xf borderId="0" fillId="74" fontId="130" numFmtId="0" xfId="0" applyFill="1" applyFont="1"/>
    <xf borderId="0" fillId="0" fontId="104" numFmtId="165" xfId="0" applyAlignment="1" applyFont="1" applyNumberFormat="1">
      <alignment vertical="center"/>
    </xf>
    <xf borderId="0" fillId="59" fontId="97" numFmtId="0" xfId="0" applyFill="1" applyFont="1"/>
    <xf borderId="0" fillId="78" fontId="127" numFmtId="0" xfId="0" applyAlignment="1" applyFill="1" applyFont="1">
      <alignment vertical="center"/>
    </xf>
    <xf borderId="0" fillId="0" fontId="19" numFmtId="10" xfId="0" applyFont="1" applyNumberFormat="1"/>
    <xf borderId="0" fillId="79" fontId="127" numFmtId="0" xfId="0" applyAlignment="1" applyFill="1" applyFont="1">
      <alignment vertical="center"/>
    </xf>
    <xf borderId="0" fillId="80" fontId="131" numFmtId="0" xfId="0" applyAlignment="1" applyFill="1" applyFont="1">
      <alignment vertical="center"/>
    </xf>
    <xf borderId="0" fillId="81" fontId="77" numFmtId="0" xfId="0" applyAlignment="1" applyFill="1" applyFont="1">
      <alignment vertical="center"/>
    </xf>
    <xf borderId="0" fillId="82" fontId="77" numFmtId="0" xfId="0" applyAlignment="1" applyFill="1" applyFont="1">
      <alignment shrinkToFit="0" wrapText="1"/>
    </xf>
    <xf borderId="0" fillId="0" fontId="132" numFmtId="0" xfId="0" applyFont="1"/>
    <xf borderId="0" fillId="15" fontId="133" numFmtId="0" xfId="0" applyAlignment="1" applyFill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b/>
        <color rgb="FF117233"/>
      </font>
      <fill>
        <patternFill patternType="solid">
          <fgColor rgb="FFE5F4EA"/>
          <bgColor rgb="FFE5F4EA"/>
        </patternFill>
      </fill>
      <border/>
    </dxf>
    <dxf>
      <font>
        <b/>
        <color rgb="FF1966D8"/>
      </font>
      <fill>
        <patternFill patternType="solid">
          <fgColor rgb="FFE8EFFF"/>
          <bgColor rgb="FFE8EFFF"/>
        </patternFill>
      </fill>
      <border/>
    </dxf>
    <dxf>
      <font>
        <b/>
        <color rgb="FFC4211E"/>
      </font>
      <fill>
        <patternFill patternType="solid">
          <fgColor rgb="FFFCE8E5"/>
          <bgColor rgb="FFFCE8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19263F"/>
                </a:solidFill>
                <a:latin typeface="+mn-lt"/>
              </a:defRPr>
            </a:pPr>
            <a:r>
              <a:rPr b="1" i="0" sz="1200">
                <a:solidFill>
                  <a:srgbClr val="19263F"/>
                </a:solidFill>
                <a:latin typeface="+mn-lt"/>
              </a:rPr>
              <a:t>📊 Структура капитала: Факт vs Упущенная прибыль vs Потенциал (To-Be)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26A566"/>
            </a:solidFill>
            <a:ln cmpd="sng">
              <a:noFill/>
            </a:ln>
          </c:spPr>
          <c:invertIfNegative val="0"/>
          <c:cat>
            <c:strRef>
              <c:f>'⚡ Экспресс_Калькулятор_3_Цифры'!$G$5:$G$7</c:f>
            </c:strRef>
          </c:cat>
          <c:val>
            <c:numRef>
              <c:f>'⚡ Экспресс_Калькулятор_3_Цифры'!$H$5:$H$7</c:f>
              <c:numCache/>
            </c:numRef>
          </c:val>
        </c:ser>
        <c:axId val="1602062926"/>
        <c:axId val="278322136"/>
      </c:barChart>
      <c:catAx>
        <c:axId val="1602062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8322136"/>
      </c:catAx>
      <c:valAx>
        <c:axId val="278322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Объем капитала,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206292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CC1919"/>
                </a:solidFill>
                <a:latin typeface="+mn-lt"/>
              </a:defRPr>
            </a:pPr>
            <a:r>
              <a:rPr b="1" i="0" sz="1200">
                <a:solidFill>
                  <a:srgbClr val="CC1919"/>
                </a:solidFill>
                <a:latin typeface="+mn-lt"/>
              </a:rPr>
              <a:t>🚨 Распределение капитала в зоне риска по инцидентам дня (₽)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E53F33"/>
            </a:solidFill>
            <a:ln cmpd="sng">
              <a:noFill/>
            </a:ln>
          </c:spPr>
          <c:invertIfNegative val="0"/>
          <c:cat>
            <c:strRef>
              <c:f>'📋 Пульт_РОПа_15_Минут'!$B$9:$B$13</c:f>
            </c:strRef>
          </c:cat>
          <c:val>
            <c:numRef>
              <c:f>'📋 Пульт_РОПа_15_Минут'!$D$9:$D$13</c:f>
              <c:numCache/>
            </c:numRef>
          </c:val>
        </c:ser>
        <c:axId val="1716839343"/>
        <c:axId val="1179282468"/>
      </c:barChart>
      <c:catAx>
        <c:axId val="17168393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9282468"/>
      </c:catAx>
      <c:valAx>
        <c:axId val="11792824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Сумма в риске,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6839343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300">
                <a:solidFill>
                  <a:srgbClr val="1C1713"/>
                </a:solidFill>
                <a:latin typeface="Roboto"/>
              </a:defRPr>
            </a:pPr>
            <a:r>
              <a:rPr b="1" i="0" sz="1300">
                <a:solidFill>
                  <a:srgbClr val="1C1713"/>
                </a:solidFill>
                <a:latin typeface="Roboto"/>
              </a:rPr>
              <a:t>Контроль качества звонков: средний балл по менеджерам (из 13)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calc_engine!$G$42</c:f>
            </c:strRef>
          </c:tx>
          <c:spPr>
            <a:solidFill>
              <a:srgbClr val="487A9D"/>
            </a:solidFill>
            <a:ln cmpd="sng">
              <a:noFill/>
            </a:ln>
          </c:spPr>
          <c:invertIfNegative val="0"/>
          <c:cat>
            <c:strRef>
              <c:f>calc_engine!$B$43:$B$45</c:f>
            </c:strRef>
          </c:cat>
          <c:val>
            <c:numRef>
              <c:f>calc_engine!$G$43:$G$45</c:f>
              <c:numCache/>
            </c:numRef>
          </c:val>
        </c:ser>
        <c:axId val="349174100"/>
        <c:axId val="1089103707"/>
      </c:barChart>
      <c:catAx>
        <c:axId val="349174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Менеджер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89103707"/>
      </c:catAx>
      <c:valAx>
        <c:axId val="1089103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Средний балл (из 13)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49174100"/>
      </c:valAx>
    </c:plotArea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BF1919"/>
                </a:solidFill>
                <a:latin typeface="+mn-lt"/>
              </a:defRPr>
            </a:pPr>
            <a:r>
              <a:rPr b="1" i="0" sz="1200">
                <a:solidFill>
                  <a:srgbClr val="BF1919"/>
                </a:solidFill>
                <a:latin typeface="+mn-lt"/>
              </a:rPr>
              <a:t>🔴 Топ финансовых дыр воронки ОП по объему потерь (₽)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D82626"/>
            </a:solidFill>
            <a:ln cmpd="sng">
              <a:noFill/>
            </a:ln>
          </c:spPr>
          <c:invertIfNegative val="0"/>
          <c:cat>
            <c:strRef>
              <c:f>'💸 Диагностика_Утечек_ОП'!$B$9:$B$15</c:f>
            </c:strRef>
          </c:cat>
          <c:val>
            <c:numRef>
              <c:f>'💸 Диагностика_Утечек_ОП'!$E$9:$E$15</c:f>
              <c:numCache/>
            </c:numRef>
          </c:val>
        </c:ser>
        <c:axId val="2062447353"/>
        <c:axId val="1290016055"/>
      </c:barChart>
      <c:catAx>
        <c:axId val="20624473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0016055"/>
      </c:catAx>
      <c:valAx>
        <c:axId val="12900160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Упущенная выгода,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2447353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🚨 Топ-5 критических рисков выручки (₽)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DB2626"/>
            </a:solidFill>
            <a:ln cmpd="sng">
              <a:noFill/>
            </a:ln>
          </c:spPr>
          <c:invertIfNegative val="0"/>
          <c:cat>
            <c:strRef>
              <c:f>'📄 Executive_OnePager'!$F$9:$F$13</c:f>
            </c:strRef>
          </c:cat>
          <c:val>
            <c:numRef>
              <c:f>'📄 Executive_OnePager'!$H$9:$H$13</c:f>
              <c:numCache/>
            </c:numRef>
          </c:val>
        </c:ser>
        <c:axId val="1847093180"/>
        <c:axId val="379682023"/>
      </c:barChart>
      <c:catAx>
        <c:axId val="1847093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9682023"/>
      </c:catAx>
      <c:valAx>
        <c:axId val="3796820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47093180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93366"/>
                </a:solidFill>
                <a:latin typeface="+mn-lt"/>
              </a:defRPr>
            </a:pPr>
            <a:r>
              <a:rPr b="1" i="0" sz="1100">
                <a:solidFill>
                  <a:srgbClr val="193366"/>
                </a:solidFill>
                <a:latin typeface="+mn-lt"/>
              </a:rPr>
              <a:t>🎲 Коридор уверенности выручки Монте-Карло: P10 vs P50 vs P90 vs План (₽)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267FBF"/>
            </a:solidFill>
            <a:ln cmpd="sng">
              <a:noFill/>
            </a:ln>
          </c:spPr>
          <c:invertIfNegative val="0"/>
          <c:cat>
            <c:strRef>
              <c:f>calc_engine!$A$232:$A$235</c:f>
            </c:strRef>
          </c:cat>
          <c:val>
            <c:numRef>
              <c:f>calc_engine!$B$232:$B$235</c:f>
              <c:numCache/>
            </c:numRef>
          </c:val>
        </c:ser>
        <c:axId val="1150816417"/>
        <c:axId val="1431761264"/>
      </c:barChart>
      <c:catAx>
        <c:axId val="1150816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1761264"/>
      </c:catAx>
      <c:valAx>
        <c:axId val="1431761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Ожидаемая касса,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081641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📊 Воронка капитала по этапам CRM (Номинал vs Взвешенный, ₽)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2659A5"/>
            </a:solidFill>
            <a:ln cmpd="sng">
              <a:noFill/>
            </a:ln>
          </c:spPr>
          <c:invertIfNegative val="0"/>
          <c:cat>
            <c:strRef>
              <c:f>'⚡ Пульс_Компании'!$A$9:$A$15</c:f>
            </c:strRef>
          </c:cat>
          <c:val>
            <c:numRef>
              <c:f>'⚡ Пульс_Компании'!$C$9:$C$15</c:f>
              <c:numCache/>
            </c:numRef>
          </c:val>
        </c:ser>
        <c:ser>
          <c:idx val="1"/>
          <c:order val="1"/>
          <c:spPr>
            <a:solidFill>
              <a:srgbClr val="19A566"/>
            </a:solidFill>
            <a:ln cmpd="sng">
              <a:noFill/>
            </a:ln>
          </c:spPr>
          <c:invertIfNegative val="0"/>
          <c:cat>
            <c:strRef>
              <c:f>'⚡ Пульс_Компании'!$A$9:$A$15</c:f>
            </c:strRef>
          </c:cat>
          <c:val>
            <c:numRef>
              <c:f>'⚡ Пульс_Компании'!$D$9:$D$15</c:f>
              <c:numCache/>
            </c:numRef>
          </c:val>
        </c:ser>
        <c:axId val="191044757"/>
        <c:axId val="1377962281"/>
      </c:barChart>
      <c:catAx>
        <c:axId val="1910447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7962281"/>
      </c:catAx>
      <c:valAx>
        <c:axId val="13779622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1044757"/>
        <c:crosses val="max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🎯 Выручка, Пайплайн и Прогноз vs План (₽)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4F44E5"/>
            </a:solidFill>
            <a:ln cmpd="sng">
              <a:noFill/>
            </a:ln>
          </c:spPr>
          <c:invertIfNegative val="0"/>
          <c:cat>
            <c:strRef>
              <c:f>'⚡ Пульс_Компании'!$F$9:$F$13</c:f>
            </c:strRef>
          </c:cat>
          <c:val>
            <c:numRef>
              <c:f>'⚡ Пульс_Компании'!$G$9:$G$13</c:f>
              <c:numCache/>
            </c:numRef>
          </c:val>
        </c:ser>
        <c:axId val="1095315446"/>
        <c:axId val="474982302"/>
      </c:barChart>
      <c:catAx>
        <c:axId val="1095315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4982302"/>
      </c:catAx>
      <c:valAx>
        <c:axId val="474982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5315446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🎯 Динамика сквозной воронки (Сквозной поток лидов и сделок)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2659A5"/>
            </a:solidFill>
            <a:ln cmpd="sng">
              <a:noFill/>
            </a:ln>
          </c:spPr>
          <c:invertIfNegative val="0"/>
          <c:cat>
            <c:strRef>
              <c:f>'🎯 Воронка_и_SLA'!$A$4:$A$10</c:f>
            </c:strRef>
          </c:cat>
          <c:val>
            <c:numRef>
              <c:f>'🎯 Воронка_и_SLA'!$B$4:$B$10</c:f>
              <c:numCache/>
            </c:numRef>
          </c:val>
        </c:ser>
        <c:axId val="1492490593"/>
        <c:axId val="818849522"/>
      </c:barChart>
      <c:catAx>
        <c:axId val="1492490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8849522"/>
      </c:catAx>
      <c:valAx>
        <c:axId val="818849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2490593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300">
                <a:solidFill>
                  <a:srgbClr val="1C1713"/>
                </a:solidFill>
                <a:latin typeface="Roboto"/>
              </a:defRPr>
            </a:pPr>
            <a:r>
              <a:rPr b="1" i="0" sz="1300">
                <a:solidFill>
                  <a:srgbClr val="1C1713"/>
                </a:solidFill>
                <a:latin typeface="Roboto"/>
              </a:rPr>
              <a:t>Структура потерь по причинам отказа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'🎯 Воронка_и_SLA'!$A$17:$A$21</c:f>
            </c:strRef>
          </c:cat>
          <c:val>
            <c:numRef>
              <c:f>'🎯 Воронка_и_SLA'!$C$17:$C$21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300">
                <a:solidFill>
                  <a:srgbClr val="1C1713"/>
                </a:solidFill>
                <a:latin typeface="Roboto"/>
              </a:defRPr>
            </a:pPr>
            <a:r>
              <a:rPr b="1" i="0" sz="1300">
                <a:solidFill>
                  <a:srgbClr val="1C1713"/>
                </a:solidFill>
                <a:latin typeface="Roboto"/>
              </a:rPr>
              <a:t>Эффективность каналов: Расходы (Spend) vs Выручка (Revenue)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calc_engine!$B$84</c:f>
            </c:strRef>
          </c:tx>
          <c:spPr>
            <a:solidFill>
              <a:srgbClr val="C65951"/>
            </a:solidFill>
            <a:ln cmpd="sng">
              <a:noFill/>
            </a:ln>
          </c:spPr>
          <c:invertIfNegative val="0"/>
          <c:cat>
            <c:strRef>
              <c:f>calc_engine!$A$85:$A$87</c:f>
            </c:strRef>
          </c:cat>
          <c:val>
            <c:numRef>
              <c:f>calc_engine!$B$85:$B$87</c:f>
              <c:numCache/>
            </c:numRef>
          </c:val>
        </c:ser>
        <c:ser>
          <c:idx val="1"/>
          <c:order val="1"/>
          <c:tx>
            <c:strRef>
              <c:f>calc_engine!$D$84</c:f>
            </c:strRef>
          </c:tx>
          <c:spPr>
            <a:solidFill>
              <a:srgbClr val="388E68"/>
            </a:solidFill>
            <a:ln cmpd="sng">
              <a:noFill/>
            </a:ln>
          </c:spPr>
          <c:invertIfNegative val="0"/>
          <c:cat>
            <c:strRef>
              <c:f>calc_engine!$A$85:$A$87</c:f>
            </c:strRef>
          </c:cat>
          <c:val>
            <c:numRef>
              <c:f>calc_engine!$D$85:$D$87</c:f>
              <c:numCache/>
            </c:numRef>
          </c:val>
        </c:ser>
        <c:axId val="214242002"/>
        <c:axId val="728850023"/>
      </c:barChart>
      <c:catAx>
        <c:axId val="214242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Маркетинговый канал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28850023"/>
      </c:catAx>
      <c:valAx>
        <c:axId val="728850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Сумма, 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4242002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4572000" cy="3048000"/>
    <xdr:graphicFrame>
      <xdr:nvGraphicFramePr>
        <xdr:cNvPr id="1" name="Chart 1" title="📊 Структура капитала: Факт vs Упущенная прибыль vs Потенциал (To-Be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5715000" cy="3048000"/>
    <xdr:graphicFrame>
      <xdr:nvGraphicFramePr>
        <xdr:cNvPr id="3" name="Chart 3" title="🚨 Распределение капитала в зоне риска по инцидентам дня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66</xdr:row>
      <xdr:rowOff>152400</xdr:rowOff>
    </xdr:from>
    <xdr:ext cx="6286500" cy="2857500"/>
    <xdr:graphicFrame>
      <xdr:nvGraphicFramePr>
        <xdr:cNvPr id="4" name="Chart 4" title="Контроль качества звонков: средний балл по менеджерам (из 13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0</xdr:rowOff>
    </xdr:from>
    <xdr:ext cx="5905500" cy="3238500"/>
    <xdr:graphicFrame>
      <xdr:nvGraphicFramePr>
        <xdr:cNvPr id="2" name="Chart 2" title="🔴 Топ финансовых дыр воронки ОП по объему потерь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4953000" cy="2667000"/>
    <xdr:graphicFrame>
      <xdr:nvGraphicFramePr>
        <xdr:cNvPr id="5" name="Chart 5" title="🚨 Топ-5 критических рисков выручки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6477000" cy="3048000"/>
    <xdr:graphicFrame>
      <xdr:nvGraphicFramePr>
        <xdr:cNvPr id="6" name="Chart 6" title="🎲 Коридор уверенности выручки Монте-Карло: P10 vs P50 vs P90 vs План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4381500" cy="3143250"/>
    <xdr:graphicFrame>
      <xdr:nvGraphicFramePr>
        <xdr:cNvPr id="8" name="Chart 8" title="📊 Воронка капитала по этапам CRM (Номинал vs Взвешенный, 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27</xdr:row>
      <xdr:rowOff>0</xdr:rowOff>
    </xdr:from>
    <xdr:ext cx="4572000" cy="3143250"/>
    <xdr:graphicFrame>
      <xdr:nvGraphicFramePr>
        <xdr:cNvPr id="11" name="Chart 11" title="🎯 Выручка, Пайплайн и Прогноз vs План (₽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4572000" cy="3143250"/>
    <xdr:graphicFrame>
      <xdr:nvGraphicFramePr>
        <xdr:cNvPr id="7" name="Chart 7" title="🎯 Динамика сквозной воронки (Сквозной поток лидов и сделок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26</xdr:row>
      <xdr:rowOff>0</xdr:rowOff>
    </xdr:from>
    <xdr:ext cx="4191000" cy="3143250"/>
    <xdr:graphicFrame>
      <xdr:nvGraphicFramePr>
        <xdr:cNvPr id="10" name="Chart 10" title="Структура потерь по причинам отказ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7239000" cy="3143250"/>
    <xdr:graphicFrame>
      <xdr:nvGraphicFramePr>
        <xdr:cNvPr id="9" name="Chart 9" title="Эффективность каналов: Расходы (Spend) vs Выручка (Revenue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659"/>
    <outlinePr summaryBelow="0" summaryRight="0"/>
  </sheetPr>
  <sheetViews>
    <sheetView workbookViewId="0"/>
  </sheetViews>
  <sheetFormatPr customHeight="1" defaultColWidth="12.63" defaultRowHeight="15.0"/>
  <cols>
    <col customWidth="1" min="1" max="1" width="88.25"/>
    <col customWidth="1" min="2" max="2" width="104.0"/>
    <col customWidth="1" min="3" max="3" width="35.63"/>
    <col customWidth="1" min="4" max="4" width="21.38"/>
    <col customWidth="1" min="5" max="5" width="34.88"/>
    <col customWidth="1" min="6" max="6" width="34.38"/>
    <col customWidth="1" min="7" max="7" width="20.0"/>
    <col customWidth="1" min="8" max="8" width="14.5"/>
    <col customWidth="1" min="9" max="10" width="10.13"/>
  </cols>
  <sheetData>
    <row r="1" ht="42.0" customHeight="1">
      <c r="A1" s="3"/>
      <c r="B1" s="3" t="s">
        <v>2</v>
      </c>
      <c r="C1" s="3"/>
      <c r="D1" s="2"/>
      <c r="E1" s="2"/>
      <c r="F1" s="2"/>
      <c r="G1" s="2"/>
      <c r="H1" s="2"/>
      <c r="I1" s="7"/>
      <c r="J1" s="7"/>
    </row>
    <row r="2" ht="22.5" customHeight="1">
      <c r="A2" s="14" t="str">
        <f>HYPERLINK("https://docs.google.com/spreadsheets/d/1QnjrrbpqhYssofchee7G06szWrFvBCcOqGIVokjqdVc/edit#gid=1377308911", "📄 1. One-Pager")</f>
        <v>📄 1. One-Pager</v>
      </c>
      <c r="B2" s="14" t="str">
        <f>HYPERLINK("https://docs.google.com/spreadsheets/d/1QnjrrbpqhYssofchee7G06szWrFvBCcOqGIVokjqdVc/edit#gid=1847360667", "⚡ 2. Пульс компании")</f>
        <v>⚡ 2. Пульс компании</v>
      </c>
      <c r="C2" s="14" t="str">
        <f>HYPERLINK("https://docs.google.com/spreadsheets/d/1QnjrrbpqhYssofchee7G06szWrFvBCcOqGIVokjqdVc/edit#gid=777000301", "📋 3. Пульт РОПа")</f>
        <v>📋 3. Пульт РОПа</v>
      </c>
      <c r="D2" s="14" t="str">
        <f>HYPERLINK("https://docs.google.com/spreadsheets/d/1QnjrrbpqhYssofchee7G06szWrFvBCcOqGIVokjqdVc/edit#gid=777000101", "💸 4. 7 Грехов ОП")</f>
        <v>💸 4. 7 Грехов ОП</v>
      </c>
      <c r="E2" s="14" t="str">
        <f>HYPERLINK("https://docs.google.com/spreadsheets/d/1QnjrrbpqhYssofchee7G06szWrFvBCcOqGIVokjqdVc/edit#gid=811060921", "🎯 5. Action Center")</f>
        <v>🎯 5. Action Center</v>
      </c>
      <c r="F2" s="14" t="str">
        <f>HYPERLINK("https://docs.google.com/spreadsheets/d/1QnjrrbpqhYssofchee7G06szWrFvBCcOqGIVokjqdVc/edit#gid=852624872", "🎙️ 6. ИИ-Аудит")</f>
        <v>🎙️ 6. ИИ-Аудит</v>
      </c>
      <c r="G2" s="36" t="str">
        <f>HYPERLINK("https://docs.google.com/spreadsheets/d/1QnjrrbpqhYssofchee7G06szWrFvBCcOqGIVokjqdVc/edit#gid=777000201", "⚡ 7. Экспресс 3 цифры")</f>
        <v>⚡ 7. Экспресс 3 цифры</v>
      </c>
      <c r="H2" s="14" t="str">
        <f>HYPERLINK("https://docs.google.com/spreadsheets/d/1QnjrrbpqhYssofchee7G06szWrFvBCcOqGIVokjqdVc/edit#gid=60692888", "🧪 8. QA Suite")</f>
        <v>🧪 8. QA Suite</v>
      </c>
      <c r="I2" s="14" t="str">
        <f>HYPERLINK("https://docs.google.com/spreadsheets/d/1QnjrrbpqhYssofchee7G06szWrFvBCcOqGIVokjqdVc/edit#gid=985355776", "⚙️ 9. Настройки")</f>
        <v>⚙️ 9. Настройки</v>
      </c>
      <c r="J2" s="38"/>
    </row>
    <row r="3" ht="12.0" customHeight="1">
      <c r="A3" s="38"/>
      <c r="B3" s="38"/>
      <c r="C3" s="38"/>
      <c r="D3" s="38"/>
      <c r="E3" s="38"/>
      <c r="F3" s="38"/>
      <c r="G3" s="38"/>
      <c r="H3" s="38"/>
      <c r="I3" s="38"/>
      <c r="J3" s="38"/>
    </row>
    <row r="4" ht="30.0" customHeight="1">
      <c r="A4" s="39" t="s">
        <v>146</v>
      </c>
      <c r="B4" s="39"/>
      <c r="C4" s="39" t="s">
        <v>147</v>
      </c>
      <c r="D4" s="39"/>
      <c r="E4" s="39"/>
      <c r="F4" s="39"/>
      <c r="G4" s="38" t="s">
        <v>148</v>
      </c>
      <c r="H4" s="38" t="s">
        <v>149</v>
      </c>
      <c r="I4" s="38"/>
      <c r="J4" s="38"/>
    </row>
    <row r="5" ht="27.0" customHeight="1">
      <c r="A5" s="40" t="s">
        <v>152</v>
      </c>
      <c r="B5" s="41">
        <v>150.0</v>
      </c>
      <c r="C5" s="42" t="s">
        <v>166</v>
      </c>
      <c r="D5" s="43">
        <f>B5 * B6</f>
        <v>60000000</v>
      </c>
      <c r="E5" s="38"/>
      <c r="F5" s="38"/>
      <c r="G5" s="38" t="s">
        <v>177</v>
      </c>
      <c r="H5" s="44">
        <f>D7</f>
        <v>1650000</v>
      </c>
      <c r="I5" s="38"/>
      <c r="J5" s="38"/>
    </row>
    <row r="6" ht="27.0" customHeight="1">
      <c r="A6" s="46" t="s">
        <v>183</v>
      </c>
      <c r="B6" s="47">
        <v>400000.0</v>
      </c>
      <c r="C6" s="50" t="s">
        <v>186</v>
      </c>
      <c r="D6" s="56">
        <f>D7/MAX(B5*B6, 1)</f>
        <v>0.0275</v>
      </c>
      <c r="E6" s="38"/>
      <c r="F6" s="38"/>
      <c r="G6" s="38" t="s">
        <v>192</v>
      </c>
      <c r="H6" s="44">
        <f>A11</f>
        <v>1122000</v>
      </c>
      <c r="I6" s="38"/>
      <c r="J6" s="38"/>
    </row>
    <row r="7" ht="27.0" customHeight="1">
      <c r="A7" s="40" t="s">
        <v>204</v>
      </c>
      <c r="B7" s="41">
        <v>4.0</v>
      </c>
      <c r="C7" s="42" t="s">
        <v>205</v>
      </c>
      <c r="D7" s="64">
        <f>calc_engine!B19</f>
        <v>1650000</v>
      </c>
      <c r="E7" s="38"/>
      <c r="F7" s="38"/>
      <c r="G7" s="38" t="s">
        <v>210</v>
      </c>
      <c r="H7" s="44">
        <f>C11</f>
        <v>1986600</v>
      </c>
      <c r="I7" s="38"/>
      <c r="J7" s="38"/>
    </row>
    <row r="8" ht="25.5" customHeight="1">
      <c r="A8" s="46" t="s">
        <v>216</v>
      </c>
      <c r="B8" s="68" t="s">
        <v>217</v>
      </c>
      <c r="C8" s="50" t="s">
        <v>219</v>
      </c>
      <c r="D8" s="72" t="str">
        <f>ROUND(B5 / MAX(B7,1), 0) &amp; " лид/мес"</f>
        <v>38 лид/мес</v>
      </c>
      <c r="E8" s="38"/>
      <c r="F8" s="38"/>
      <c r="G8" s="38"/>
      <c r="H8" s="38"/>
      <c r="I8" s="38"/>
      <c r="J8" s="38"/>
    </row>
    <row r="9" ht="12.0" customHeight="1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ht="39.0" customHeight="1">
      <c r="A10" s="74" t="s">
        <v>233</v>
      </c>
      <c r="B10" s="74" t="s">
        <v>234</v>
      </c>
      <c r="C10" s="76" t="s">
        <v>235</v>
      </c>
      <c r="D10" s="76" t="s">
        <v>237</v>
      </c>
      <c r="E10" s="38"/>
      <c r="F10" s="38"/>
      <c r="G10" s="38"/>
      <c r="H10" s="38"/>
      <c r="I10" s="38"/>
      <c r="J10" s="38"/>
    </row>
    <row r="11" ht="42.0" customHeight="1">
      <c r="A11" s="78">
        <f>SUM(D15:D18)</f>
        <v>1122000</v>
      </c>
      <c r="B11" s="78">
        <f>D7 + A11*0.15</f>
        <v>1818300</v>
      </c>
      <c r="C11" s="83">
        <f>D7 + A11*0.3</f>
        <v>1986600</v>
      </c>
      <c r="D11" s="86">
        <f>D7 + A11*0.5</f>
        <v>2211000</v>
      </c>
      <c r="E11" s="38"/>
      <c r="F11" s="38"/>
      <c r="G11" s="38"/>
      <c r="H11" s="38"/>
      <c r="I11" s="38"/>
      <c r="J11" s="38"/>
    </row>
    <row r="12" ht="12.0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ht="30.0" customHeight="1">
      <c r="A13" s="39" t="s">
        <v>266</v>
      </c>
      <c r="B13" s="39"/>
      <c r="C13" s="39"/>
      <c r="D13" s="39"/>
      <c r="E13" s="39"/>
      <c r="F13" s="39"/>
      <c r="G13" s="39"/>
      <c r="H13" s="38"/>
      <c r="I13" s="38"/>
      <c r="J13" s="38"/>
    </row>
    <row r="14" ht="27.0" customHeight="1">
      <c r="A14" s="87" t="s">
        <v>23</v>
      </c>
      <c r="B14" s="87" t="s">
        <v>271</v>
      </c>
      <c r="C14" s="87" t="s">
        <v>272</v>
      </c>
      <c r="D14" s="87" t="s">
        <v>273</v>
      </c>
      <c r="E14" s="87" t="s">
        <v>274</v>
      </c>
      <c r="F14" s="87" t="s">
        <v>275</v>
      </c>
      <c r="G14" s="38"/>
      <c r="H14" s="38"/>
      <c r="I14" s="38"/>
      <c r="J14" s="38"/>
    </row>
    <row r="15" ht="33.0" customHeight="1">
      <c r="A15" s="88">
        <v>1.0</v>
      </c>
      <c r="B15" s="89" t="s">
        <v>279</v>
      </c>
      <c r="C15" s="91" t="s">
        <v>281</v>
      </c>
      <c r="D15" s="93">
        <f>ROUND(D7 * '⚙️ Настройки'!B43, 0)</f>
        <v>462000</v>
      </c>
      <c r="E15" s="94" t="s">
        <v>289</v>
      </c>
      <c r="F15" s="95" t="s">
        <v>292</v>
      </c>
      <c r="G15" s="38"/>
      <c r="H15" s="38"/>
      <c r="I15" s="38"/>
      <c r="J15" s="38"/>
    </row>
    <row r="16" ht="33.0" customHeight="1">
      <c r="A16" s="97">
        <v>2.0</v>
      </c>
      <c r="B16" s="98" t="s">
        <v>297</v>
      </c>
      <c r="C16" s="100" t="s">
        <v>300</v>
      </c>
      <c r="D16" s="101">
        <f>ROUND(D7 * '⚙️ Настройки'!B44, 0)</f>
        <v>297000</v>
      </c>
      <c r="E16" s="102" t="s">
        <v>311</v>
      </c>
      <c r="F16" s="103" t="s">
        <v>316</v>
      </c>
      <c r="G16" s="38"/>
      <c r="H16" s="38"/>
      <c r="I16" s="38"/>
      <c r="J16" s="38"/>
    </row>
    <row r="17" ht="33.0" customHeight="1">
      <c r="A17" s="88">
        <v>3.0</v>
      </c>
      <c r="B17" s="89" t="s">
        <v>318</v>
      </c>
      <c r="C17" s="91" t="s">
        <v>319</v>
      </c>
      <c r="D17" s="93">
        <f>ROUND(D7 * '⚙️ Настройки'!B45, 0)</f>
        <v>198000</v>
      </c>
      <c r="E17" s="94" t="s">
        <v>323</v>
      </c>
      <c r="F17" s="95" t="s">
        <v>324</v>
      </c>
      <c r="G17" s="38"/>
      <c r="H17" s="38"/>
      <c r="I17" s="38"/>
      <c r="J17" s="38"/>
    </row>
    <row r="18" ht="33.0" customHeight="1">
      <c r="A18" s="97">
        <v>4.0</v>
      </c>
      <c r="B18" s="98" t="s">
        <v>327</v>
      </c>
      <c r="C18" s="100" t="s">
        <v>328</v>
      </c>
      <c r="D18" s="101">
        <f>ROUND(D7 * '⚙️ Настройки'!B46, 0)</f>
        <v>165000</v>
      </c>
      <c r="E18" s="102" t="s">
        <v>333</v>
      </c>
      <c r="F18" s="103" t="s">
        <v>336</v>
      </c>
      <c r="G18" s="38"/>
      <c r="H18" s="38"/>
      <c r="I18" s="38"/>
      <c r="J18" s="38"/>
    </row>
    <row r="19" ht="33.0" customHeight="1">
      <c r="A19" s="110"/>
      <c r="B19" s="111" t="s">
        <v>346</v>
      </c>
      <c r="C19" s="110"/>
      <c r="D19" s="116">
        <f>SUM(D15:D18)</f>
        <v>1122000</v>
      </c>
      <c r="E19" s="111" t="s">
        <v>355</v>
      </c>
      <c r="F19" s="120" t="str">
        <f>ROUND(D19 * '⚙️ Настройки'!B48, 0) &amp; " ₽ в первый месяц"</f>
        <v>392700 ₽ в первый месяц</v>
      </c>
      <c r="G19" s="38"/>
      <c r="H19" s="38"/>
      <c r="I19" s="38"/>
      <c r="J19" s="38"/>
    </row>
    <row r="20" ht="21.0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</row>
    <row r="21" ht="21.0" customHeight="1">
      <c r="A21" s="122" t="s">
        <v>368</v>
      </c>
      <c r="B21" s="122"/>
      <c r="C21" s="122"/>
      <c r="D21" s="122"/>
      <c r="E21" s="122"/>
      <c r="F21" s="122"/>
      <c r="G21" s="38"/>
      <c r="H21" s="38"/>
      <c r="I21" s="38"/>
      <c r="J21" s="38"/>
    </row>
    <row r="22" ht="21.0" customHeight="1">
      <c r="A22" s="122" t="s">
        <v>370</v>
      </c>
      <c r="B22" s="122"/>
      <c r="C22" s="122"/>
      <c r="D22" s="122"/>
      <c r="E22" s="122"/>
      <c r="F22" s="122"/>
      <c r="G22" s="38"/>
      <c r="H22" s="38"/>
      <c r="I22" s="38"/>
      <c r="J22" s="38"/>
    </row>
    <row r="23" ht="21.0" customHeight="1">
      <c r="A23" s="122" t="s">
        <v>374</v>
      </c>
      <c r="B23" s="122"/>
      <c r="C23" s="122"/>
      <c r="D23" s="122"/>
      <c r="E23" s="122"/>
      <c r="F23" s="122"/>
      <c r="G23" s="38"/>
      <c r="H23" s="38"/>
      <c r="I23" s="38"/>
      <c r="J23" s="38"/>
    </row>
    <row r="24" ht="21.0" customHeight="1">
      <c r="A24" s="122" t="s">
        <v>376</v>
      </c>
      <c r="B24" s="122"/>
      <c r="C24" s="122"/>
      <c r="D24" s="122"/>
      <c r="E24" s="122"/>
      <c r="F24" s="122"/>
      <c r="G24" s="38"/>
      <c r="H24" s="38"/>
      <c r="I24" s="38"/>
      <c r="J24" s="38"/>
    </row>
    <row r="25" ht="39.0" customHeight="1">
      <c r="A25" s="127" t="str">
        <f>HYPERLINK("https://ai-rop.ru/?utm_source=sheets_calculator", "🚀 ЗАПУСТИТЬ БЕСПЛАТНЫЙ ТЕСТ-ДРАЙВ НА 3 ЗВОНКАХ (ПЕРЕЙТИ НА AI-ROP.RU)")</f>
        <v>🚀 ЗАПУСТИТЬ БЕСПЛАТНЫЙ ТЕСТ-ДРАЙВ НА 3 ЗВОНКАХ (ПЕРЕЙТИ НА AI-ROP.RU)</v>
      </c>
      <c r="B25" s="128"/>
      <c r="C25" s="128"/>
      <c r="D25" s="128"/>
      <c r="E25" s="128"/>
      <c r="F25" s="128"/>
      <c r="G25" s="38"/>
      <c r="H25" s="38"/>
      <c r="I25" s="38"/>
      <c r="J25" s="38"/>
    </row>
    <row r="26" ht="22.5" customHeight="1">
      <c r="A26" s="131" t="str">
        <f>HYPERLINK("#'💸 Диагностика_Утечек_ОП'!A18", "Нужен комплексный аудит отдела продаж? 👉 Экономика спринта оптимизации (450 000 ₽)")</f>
        <v>Нужен комплексный аудит отдела продаж? 👉 Экономика спринта оптимизации (450 000 ₽)</v>
      </c>
      <c r="B26" s="133"/>
      <c r="C26" s="133"/>
      <c r="D26" s="133"/>
      <c r="E26" s="133"/>
      <c r="F26" s="133"/>
      <c r="G26" s="38"/>
      <c r="H26" s="38"/>
      <c r="I26" s="38"/>
      <c r="J26" s="38"/>
    </row>
    <row r="27" ht="15.75" customHeight="1">
      <c r="A27" s="38" t="s">
        <v>397</v>
      </c>
      <c r="B27" s="38"/>
      <c r="C27" s="38"/>
      <c r="D27" s="38"/>
      <c r="E27" s="38"/>
      <c r="F27" s="38"/>
      <c r="G27" s="38"/>
      <c r="H27" s="38"/>
      <c r="I27" s="38"/>
      <c r="J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926"/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31.5"/>
    <col customWidth="1" min="3" max="3" width="45.63"/>
    <col customWidth="1" min="4" max="4" width="25.75"/>
    <col customWidth="1" min="5" max="5" width="61.0"/>
    <col customWidth="1" min="6" max="6" width="55.0"/>
    <col customWidth="1" min="7" max="7" width="18.25"/>
    <col customWidth="1" min="8" max="8" width="67.75"/>
    <col customWidth="1" min="9" max="10" width="10.13"/>
  </cols>
  <sheetData>
    <row r="1" ht="42.0" customHeight="1">
      <c r="A1" s="2" t="str">
        <f>IF(ISNUMBER(SEARCH("CEO", '⚙️ Настройки'!$B$10)), "📋 СТРАТЕГИЧЕСКИЙ ПУЛЬТ СОБСТВЕННИКА: «5 РЕШЕНИЙ МЕСЯЦА»", IF(ISNUMBER(SEARCH("KAM", '⚙️ Настройки'!$B$10)), "📋 ЛИЧНЫЙ ACTION-LIST МЕНЕДЖЕРА НА СЕГОДНЯ (ПЕТРОВ А.)", IF(ISNUMBER(SEARCH("SDR", '⚙️ Настройки'!$B$10)), "📞 ПУЛЬТ ТЕЛЕМАРКЕТОЛОГА: «СКРИПТЫ И ГОРЯЧИЕ ЗВОНКИ»", IF(ISNUMBER(SEARCH("CMO", '⚙️ Настройки'!$B$10)), "📋 ПУЛЬТ ОПТИМИЗАЦИИ ТРАФИКА: «ТОЧКИ СЛИВА БЮДЖЕТА»", IF(ISNUMBER(SEARCH("CFO", '⚙️ Настройки'!$B$10)), "📋 ПЛАТЕЖНЫЙ КАЛЕНДАРЬ И ДЕБИТОРКА: «СРОЧНЫЕ СЧЕТА»", IF(OR(ISNUMBER(SEARCH("Admin", '⚙️ Настройки'!$B$10)), ISNUMBER(SEARCH("Администр", '⚙️ Настройки'!$B$10))), "🔧 ПУЛЬТ АДМИНИСТРАТОРА: «МОНИТОРИНГ И НАСТРОЙКИ СИСТЕМЫ»", "📋 ОПЕРАТИВНЫЙ ПУЛЬТ РОПа: «15 МИНУТ В ДЕНЬ»"))))))</f>
        <v>📋 СТРАТЕГИЧЕСКИЙ ПУЛЬТ СОБСТВЕННИКА: «5 РЕШЕНИЙ МЕСЯЦА»</v>
      </c>
      <c r="B1" s="2"/>
      <c r="C1" s="2"/>
      <c r="D1" s="2"/>
      <c r="E1" s="2"/>
      <c r="F1" s="2"/>
      <c r="G1" s="2"/>
      <c r="H1" s="2"/>
      <c r="I1" s="29"/>
      <c r="J1" s="29"/>
    </row>
    <row r="2" ht="28.5" customHeight="1">
      <c r="A2" s="19" t="str">
        <f>HYPERLINK("https://docs.google.com/spreadsheets/d/1QnjrrbpqhYssofchee7G06szWrFvBCcOqGIVokjqdVc/edit#gid=1377308911", "📄 1. One-Pager")</f>
        <v>📄 1. One-Pager</v>
      </c>
      <c r="B2" s="19" t="str">
        <f>HYPERLINK("https://docs.google.com/spreadsheets/d/1QnjrrbpqhYssofchee7G06szWrFvBCcOqGIVokjqdVc/edit#gid=1847360667", "⚡ 2. Пульс компании")</f>
        <v>⚡ 2. Пульс компании</v>
      </c>
      <c r="C2" s="19" t="str">
        <f>HYPERLINK("https://docs.google.com/spreadsheets/d/1QnjrrbpqhYssofchee7G06szWrFvBCcOqGIVokjqdVc/edit#gid=777000301", "📋 3. Пульт РОПа")</f>
        <v>📋 3. Пульт РОПа</v>
      </c>
      <c r="D2" s="19" t="str">
        <f>HYPERLINK("https://docs.google.com/spreadsheets/d/1QnjrrbpqhYssofchee7G06szWrFvBCcOqGIVokjqdVc/edit#gid=777000101", "💸 4. 7 Грехов ОП")</f>
        <v>💸 4. 7 Грехов ОП</v>
      </c>
      <c r="E2" s="19" t="str">
        <f>HYPERLINK("https://docs.google.com/spreadsheets/d/1QnjrrbpqhYssofchee7G06szWrFvBCcOqGIVokjqdVc/edit#gid=811060921", "🎯 5. Action Center")</f>
        <v>🎯 5. Action Center</v>
      </c>
      <c r="F2" s="19" t="str">
        <f>HYPERLINK("https://docs.google.com/spreadsheets/d/1QnjrrbpqhYssofchee7G06szWrFvBCcOqGIVokjqdVc/edit#gid=852624872", "🎙️ 6. ИИ-Аудит")</f>
        <v>🎙️ 6. ИИ-Аудит</v>
      </c>
      <c r="G2" s="19" t="str">
        <f>HYPERLINK("https://docs.google.com/spreadsheets/d/1QnjrrbpqhYssofchee7G06szWrFvBCcOqGIVokjqdVc/edit#gid=777000201", "⚡ 7. Экспресс 3 цифры")</f>
        <v>⚡ 7. Экспресс 3 цифры</v>
      </c>
      <c r="H2" s="19" t="str">
        <f>HYPERLINK("https://docs.google.com/spreadsheets/d/1QnjrrbpqhYssofchee7G06szWrFvBCcOqGIVokjqdVc/edit#gid=60692888", "🧪 8. QA Suite")</f>
        <v>🧪 8. QA Suite</v>
      </c>
      <c r="I2" s="14" t="str">
        <f>HYPERLINK("https://docs.google.com/spreadsheets/d/1QnjrrbpqhYssofchee7G06szWrFvBCcOqGIVokjqdVc/edit#gid=985355776", "⚙️ 9. Настройки")</f>
        <v>⚙️ 9. Настройки</v>
      </c>
      <c r="J2" s="38"/>
    </row>
    <row r="3" ht="12.0" customHeight="1">
      <c r="A3" s="38"/>
      <c r="B3" s="54"/>
      <c r="C3" s="54"/>
      <c r="D3" s="54"/>
      <c r="E3" s="54"/>
      <c r="F3" s="54"/>
      <c r="G3" s="38"/>
      <c r="H3" s="38"/>
      <c r="I3" s="38"/>
      <c r="J3" s="38"/>
    </row>
    <row r="4" ht="22.5" customHeight="1">
      <c r="A4" s="59" t="s">
        <v>193</v>
      </c>
      <c r="B4" s="60" t="s">
        <v>202</v>
      </c>
      <c r="C4" s="62" t="s">
        <v>207</v>
      </c>
      <c r="D4" s="66" t="s">
        <v>209</v>
      </c>
      <c r="E4" s="62" t="s">
        <v>213</v>
      </c>
      <c r="F4" s="38"/>
      <c r="G4" s="38"/>
      <c r="H4" s="38"/>
      <c r="I4" s="38"/>
      <c r="J4" s="38"/>
    </row>
    <row r="5" ht="40.5" customHeight="1">
      <c r="A5" s="38">
        <f>calc_engine!B41</f>
        <v>6</v>
      </c>
      <c r="B5" s="71">
        <f>COUNTIFS(raw_calls!$T$2:$T1000, "&lt;9")</f>
        <v>2</v>
      </c>
      <c r="C5" s="75">
        <f>COUNTIF(E9:E13, "*КРИТИЧЕСКИЙ*")</f>
        <v>2</v>
      </c>
      <c r="D5" s="77">
        <f>SUM(D9:D13)</f>
        <v>2730000</v>
      </c>
      <c r="E5" s="82" t="str">
        <f>IF(C5&gt;0, "🚨 ТРЕБУЕТСЯ 15 МИНУТ КОНТРОЛЯ РОПа", "🟢 ВСЕ В РАБОЧЕМ ГРАФИКЕ")</f>
        <v>🚨 ТРЕБУЕТСЯ 15 МИНУТ КОНТРОЛЯ РОПа</v>
      </c>
      <c r="F5" s="38"/>
      <c r="G5" s="38"/>
      <c r="H5" s="38"/>
      <c r="I5" s="38"/>
      <c r="J5" s="38"/>
    </row>
    <row r="6" ht="12.0" customHeight="1">
      <c r="A6" s="38"/>
      <c r="B6" s="38"/>
      <c r="C6" s="38"/>
      <c r="D6" s="38"/>
      <c r="E6" s="38"/>
      <c r="F6" s="38"/>
      <c r="G6" s="38"/>
      <c r="H6" s="38"/>
      <c r="I6" s="38"/>
      <c r="J6" s="38"/>
    </row>
    <row r="7" ht="30.0" customHeight="1">
      <c r="A7" s="105" t="str">
        <f>"🎯 " &amp; IF(ISNUMBER(SEARCH("CEO", '⚙️ Настройки'!$B$10)), "ТОП-5 СТРАТЕГИЧЕСКИХ РЕШЕНИЙ ДЛЯ ЗАЩИТЫ КАПИТАЛА БИЗНЕСА", IF(ISNUMBER(SEARCH("KAM", '⚙️ Настройки'!$B$10)), "МОЙ ПЕРСОНАЛЬНЫЙ СПИСОК ГОРЯЩИХ СДЕЛОК НА СЕГОДНЯ", IF(ISNUMBER(SEARCH("SDR", '⚙️ Настройки'!$B$10)), "ТОП-5 ЗВОНКОВ В РИСКЕ И СРОЧНАЯ КВАЛИФИКАЦИЯ ЛИДОВ", IF(ISNUMBER(SEARCH("CMO", '⚙️ Настройки'!$B$10)), "ТОП-5 ДЕЙСТВИЙ ПО ОПТИМИЗАЦИИ РЕКЛАМНЫХ КАМПАНИЙ", IF(ISNUMBER(SEARCH("CFO", '⚙️ Настройки'!$B$10)), "ТОП-5 СРОЧНЫХ ДЕЙСТВИЙ ПО СБОРУ ДЕБИТОРКИ И ЗАЩИТЕ КАССЫ", IF(OR(ISNUMBER(SEARCH("Admin", '⚙️ Настройки'!$B$10)), ISNUMBER(SEARCH("Администр", '⚙️ Настройки'!$B$10))), "ТОП-5 СИСТЕМНЫХ АЛЕРТОВ И ПРОВЕРКА ЦЕЛОСТНОСТИ REVOPS", "ТОП-5 СРОЧНЫХ ДЕЙСТВИЙ ДЛЯ РОПа НА СЕГОДНЯ (DAILY ACTION LIST)"))))))</f>
        <v>🎯 ТОП-5 СТРАТЕГИЧЕСКИХ РЕШЕНИЙ ДЛЯ ЗАЩИТЫ КАПИТАЛА БИЗНЕСА</v>
      </c>
      <c r="B7" s="105"/>
      <c r="C7" s="105"/>
      <c r="D7" s="105"/>
      <c r="E7" s="105"/>
      <c r="F7" s="105"/>
      <c r="G7" s="105"/>
      <c r="H7" s="107"/>
      <c r="I7" s="38"/>
      <c r="J7" s="38"/>
    </row>
    <row r="8" ht="28.5" customHeight="1">
      <c r="A8" s="108" t="s">
        <v>23</v>
      </c>
      <c r="B8" s="87" t="s">
        <v>179</v>
      </c>
      <c r="C8" s="87" t="s">
        <v>339</v>
      </c>
      <c r="D8" s="87" t="s">
        <v>180</v>
      </c>
      <c r="E8" s="87" t="s">
        <v>200</v>
      </c>
      <c r="F8" s="87" t="s">
        <v>343</v>
      </c>
      <c r="G8" s="87" t="s">
        <v>345</v>
      </c>
      <c r="H8" s="87" t="s">
        <v>347</v>
      </c>
      <c r="I8" s="38"/>
      <c r="J8" s="38"/>
    </row>
    <row r="9" ht="36.0" customHeight="1">
      <c r="A9" s="113">
        <v>1.0</v>
      </c>
      <c r="B9" s="119" t="s">
        <v>354</v>
      </c>
      <c r="C9" s="94" t="s">
        <v>365</v>
      </c>
      <c r="D9" s="123">
        <f>VLOOKUP("D-104", raw_deals!$A$2:$C$1000, 3, FALSE)</f>
        <v>850000</v>
      </c>
      <c r="E9" s="124" t="s">
        <v>375</v>
      </c>
      <c r="F9" s="94" t="s">
        <v>378</v>
      </c>
      <c r="G9" s="125" t="s">
        <v>381</v>
      </c>
      <c r="H9" s="129" t="str">
        <f>"Добрый день, Алексей! Вижу, наш расчет по договору согласован. Чтобы зафиксировать спецусловия октября со скидкой 7%, предлагаю сегодня подписать спецификацию. Слот для звонка: 14:30. Удобно?"</f>
        <v>Добрый день, Алексей! Вижу, наш расчет по договору согласован. Чтобы зафиксировать спецусловия октября со скидкой 7%, предлагаю сегодня подписать спецификацию. Слот для звонка: 14:30. Удобно?</v>
      </c>
      <c r="I9" s="38"/>
      <c r="J9" s="38"/>
    </row>
    <row r="10" ht="36.0" customHeight="1">
      <c r="A10" s="130">
        <v>2.0</v>
      </c>
      <c r="B10" s="132" t="s">
        <v>392</v>
      </c>
      <c r="C10" s="102" t="s">
        <v>395</v>
      </c>
      <c r="D10" s="134">
        <f>VLOOKUP("D-109", raw_deals!$A$2:$C$1000, 3, FALSE)</f>
        <v>600000</v>
      </c>
      <c r="E10" s="135" t="s">
        <v>375</v>
      </c>
      <c r="F10" s="102" t="s">
        <v>401</v>
      </c>
      <c r="G10" s="137" t="s">
        <v>381</v>
      </c>
      <c r="H10" s="129" t="str">
        <f>"Михаил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минут?"</f>
        <v>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</v>
      </c>
      <c r="I10" s="38"/>
      <c r="J10" s="38"/>
    </row>
    <row r="11" ht="36.0" customHeight="1">
      <c r="A11" s="113">
        <v>3.0</v>
      </c>
      <c r="B11" s="119" t="s">
        <v>406</v>
      </c>
      <c r="C11" s="94" t="s">
        <v>407</v>
      </c>
      <c r="D11" s="123">
        <f>VLOOKUP("D-106", raw_deals!$A$2:$C$1000, 3, FALSE)</f>
        <v>280000</v>
      </c>
      <c r="E11" s="124" t="s">
        <v>408</v>
      </c>
      <c r="F11" s="94" t="s">
        <v>409</v>
      </c>
      <c r="G11" s="125" t="s">
        <v>381</v>
      </c>
      <c r="H11" s="129" t="str">
        <f>"Игорь,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забронировать?"</f>
        <v>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</v>
      </c>
      <c r="I11" s="38"/>
      <c r="J11" s="38"/>
    </row>
    <row r="12" ht="36.0" customHeight="1">
      <c r="A12" s="130">
        <v>4.0</v>
      </c>
      <c r="B12" s="132" t="s">
        <v>410</v>
      </c>
      <c r="C12" s="102" t="s">
        <v>411</v>
      </c>
      <c r="D12" s="134">
        <f>VLOOKUP("INV-203", raw_invoices!$A$2:$G$1000, 7, FALSE)</f>
        <v>150000</v>
      </c>
      <c r="E12" s="135" t="s">
        <v>408</v>
      </c>
      <c r="F12" s="102" t="s">
        <v>412</v>
      </c>
      <c r="G12" s="137" t="s">
        <v>381</v>
      </c>
      <c r="H12" s="129" t="str">
        <f>"Ольга,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СБП?"</f>
        <v>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</v>
      </c>
      <c r="I12" s="38"/>
      <c r="J12" s="38"/>
    </row>
    <row r="13" ht="36.0" customHeight="1">
      <c r="A13" s="113">
        <v>5.0</v>
      </c>
      <c r="B13" s="119" t="s">
        <v>413</v>
      </c>
      <c r="C13" s="94" t="s">
        <v>414</v>
      </c>
      <c r="D13" s="123">
        <f>calc_engine!E43</f>
        <v>850000</v>
      </c>
      <c r="E13" s="124" t="s">
        <v>408</v>
      </c>
      <c r="F13" s="94" t="s">
        <v>415</v>
      </c>
      <c r="G13" s="125" t="s">
        <v>381</v>
      </c>
      <c r="H13" s="129" t="str">
        <f>"Регламентное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точек."</f>
        <v>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</v>
      </c>
      <c r="I13" s="38"/>
      <c r="J13" s="38"/>
    </row>
    <row r="14" ht="30.0" customHeight="1">
      <c r="A14" s="38"/>
      <c r="B14" s="138" t="s">
        <v>416</v>
      </c>
      <c r="C14" s="138"/>
      <c r="D14" s="139">
        <f>SUM(D9:D13)</f>
        <v>2730000</v>
      </c>
      <c r="E14" s="138" t="s">
        <v>417</v>
      </c>
      <c r="F14" s="138" t="s">
        <v>418</v>
      </c>
      <c r="G14" s="138" t="s">
        <v>419</v>
      </c>
      <c r="H14" s="138"/>
      <c r="I14" s="38"/>
      <c r="J14" s="38"/>
    </row>
    <row r="15" ht="12.0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</row>
    <row r="16" ht="25.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</row>
    <row r="17" ht="24.0" customHeight="1">
      <c r="A17" s="38"/>
      <c r="B17" s="38"/>
      <c r="C17" s="38"/>
      <c r="D17" s="38"/>
      <c r="E17" s="140" t="s">
        <v>420</v>
      </c>
      <c r="F17" s="140"/>
      <c r="G17" s="141"/>
      <c r="H17" s="38"/>
      <c r="I17" s="38"/>
      <c r="J17" s="38"/>
    </row>
    <row r="18" ht="24.0" customHeight="1">
      <c r="A18" s="38"/>
      <c r="B18" s="38"/>
      <c r="C18" s="38"/>
      <c r="D18" s="38"/>
      <c r="E18" s="142" t="s">
        <v>421</v>
      </c>
      <c r="F18" s="142" t="s">
        <v>422</v>
      </c>
      <c r="G18" s="38"/>
      <c r="H18" s="38"/>
      <c r="I18" s="38"/>
      <c r="J18" s="38"/>
    </row>
    <row r="19" ht="24.0" customHeight="1">
      <c r="A19" s="38"/>
      <c r="B19" s="38"/>
      <c r="C19" s="38"/>
      <c r="D19" s="38"/>
      <c r="E19" s="142" t="s">
        <v>423</v>
      </c>
      <c r="F19" s="142" t="s">
        <v>424</v>
      </c>
      <c r="G19" s="38"/>
      <c r="H19" s="38"/>
      <c r="I19" s="38"/>
      <c r="J19" s="38"/>
    </row>
    <row r="20" ht="24.0" customHeight="1">
      <c r="A20" s="38"/>
      <c r="B20" s="38"/>
      <c r="C20" s="38"/>
      <c r="D20" s="38"/>
      <c r="E20" s="142" t="s">
        <v>425</v>
      </c>
      <c r="F20" s="142" t="s">
        <v>426</v>
      </c>
      <c r="G20" s="38"/>
      <c r="H20" s="38"/>
      <c r="I20" s="38"/>
      <c r="J20" s="38"/>
    </row>
    <row r="21" ht="24.0" customHeight="1">
      <c r="A21" s="38"/>
      <c r="B21" s="38"/>
      <c r="C21" s="38"/>
      <c r="D21" s="38"/>
      <c r="E21" s="142" t="s">
        <v>427</v>
      </c>
      <c r="F21" s="142" t="s">
        <v>428</v>
      </c>
      <c r="G21" s="38"/>
      <c r="H21" s="38"/>
      <c r="I21" s="38"/>
      <c r="J21" s="38"/>
    </row>
    <row r="22" ht="24.0" customHeight="1">
      <c r="A22" s="38"/>
      <c r="B22" s="38"/>
      <c r="C22" s="38"/>
      <c r="D22" s="38"/>
      <c r="E22" s="143" t="s">
        <v>429</v>
      </c>
      <c r="F22" s="143" t="s">
        <v>430</v>
      </c>
      <c r="G22" s="38"/>
      <c r="H22" s="38"/>
      <c r="I22" s="38"/>
      <c r="J22" s="38"/>
    </row>
    <row r="23" ht="21.0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</row>
    <row r="24" ht="21.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</row>
    <row r="25" ht="21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9:G13">
      <formula1>"В РАБОТЕ,✅ СДЕЛАНО"</formula1>
    </dataValidation>
  </dataValidations>
  <hyperlinks>
    <hyperlink display="Сделка D-104 (ООО «Вектор Плюс»)" location="raw_deals!A1" ref="B9"/>
    <hyperlink display="Звонок C-505 / Сделка D-109 (ООО «ПромКомплект»)" location="raw_calls!A1" ref="B10"/>
    <hyperlink display="Звонок C-503 / Сделка D-106 (ООО «СнабСервис»)" location="raw_calls!A1" ref="B11"/>
    <hyperlink display="Сделка D-107 (ООО «ТехноПром»)" location="raw_deals!A1" ref="B12"/>
    <hyperlink display="Сделка D-103 (ООО «ИнвестХолдинг»)" location="raw_deals!A1" ref="B1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838"/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32.63"/>
    <col customWidth="1" min="3" max="4" width="16.38"/>
    <col customWidth="1" min="5" max="5" width="13.88"/>
    <col customWidth="1" min="6" max="6" width="18.88"/>
    <col customWidth="1" min="7" max="18" width="9.5"/>
    <col customWidth="1" min="19" max="19" width="10.75"/>
    <col customWidth="1" min="20" max="20" width="13.25"/>
    <col customWidth="1" min="21" max="21" width="17.0"/>
    <col customWidth="1" min="22" max="22" width="22.0"/>
  </cols>
  <sheetData>
    <row r="1" ht="31.5" customHeight="1">
      <c r="A1" s="1" t="s">
        <v>0</v>
      </c>
    </row>
    <row r="2" ht="24.0" customHeight="1">
      <c r="A2" s="4" t="s">
        <v>3</v>
      </c>
      <c r="B2" s="6"/>
      <c r="C2" s="8"/>
      <c r="D2" s="4" t="s">
        <v>4</v>
      </c>
      <c r="E2" s="6"/>
      <c r="F2" s="8"/>
      <c r="G2" s="9" t="s">
        <v>5</v>
      </c>
      <c r="H2" s="6"/>
      <c r="I2" s="6"/>
      <c r="J2" s="8"/>
      <c r="K2" s="10" t="s">
        <v>6</v>
      </c>
      <c r="N2" s="10" t="s">
        <v>7</v>
      </c>
      <c r="Q2" s="10" t="s">
        <v>8</v>
      </c>
    </row>
    <row r="3" ht="18.0" customHeight="1">
      <c r="A3" s="11" t="s">
        <v>9</v>
      </c>
      <c r="C3" s="12" t="s">
        <v>10</v>
      </c>
      <c r="E3" s="13" t="s">
        <v>11</v>
      </c>
      <c r="G3" s="15" t="s">
        <v>12</v>
      </c>
      <c r="J3" s="15" t="s">
        <v>13</v>
      </c>
      <c r="M3" s="15" t="s">
        <v>14</v>
      </c>
    </row>
    <row r="4" ht="28.5" customHeight="1">
      <c r="A4" s="16" t="s">
        <v>15</v>
      </c>
      <c r="C4" s="17" t="s">
        <v>16</v>
      </c>
      <c r="E4" s="18" t="s">
        <v>17</v>
      </c>
      <c r="G4" s="20" t="s">
        <v>18</v>
      </c>
      <c r="J4" s="20" t="s">
        <v>19</v>
      </c>
      <c r="M4" s="21" t="s">
        <v>20</v>
      </c>
    </row>
    <row r="5" ht="10.5" customHeight="1">
      <c r="A5" s="22" t="s">
        <v>21</v>
      </c>
      <c r="B5" s="22" t="s">
        <v>21</v>
      </c>
      <c r="C5" s="22" t="s">
        <v>21</v>
      </c>
      <c r="D5" s="22" t="s">
        <v>21</v>
      </c>
      <c r="E5" s="22" t="s">
        <v>21</v>
      </c>
      <c r="F5" s="22" t="s">
        <v>21</v>
      </c>
      <c r="G5" s="22" t="s">
        <v>21</v>
      </c>
      <c r="H5" s="22" t="s">
        <v>21</v>
      </c>
      <c r="I5" s="22" t="s">
        <v>21</v>
      </c>
      <c r="J5" s="22" t="s">
        <v>21</v>
      </c>
      <c r="K5" s="22" t="s">
        <v>21</v>
      </c>
      <c r="L5" s="22" t="s">
        <v>21</v>
      </c>
      <c r="M5" s="22" t="s">
        <v>21</v>
      </c>
      <c r="N5" s="22" t="s">
        <v>21</v>
      </c>
      <c r="O5" s="22" t="s">
        <v>21</v>
      </c>
      <c r="P5" s="22" t="s">
        <v>21</v>
      </c>
      <c r="Q5" s="22" t="s">
        <v>21</v>
      </c>
      <c r="R5" s="22" t="s">
        <v>21</v>
      </c>
      <c r="S5" s="22" t="s">
        <v>21</v>
      </c>
      <c r="T5" s="22" t="s">
        <v>21</v>
      </c>
      <c r="U5" s="22" t="s">
        <v>21</v>
      </c>
      <c r="V5" s="22" t="s">
        <v>21</v>
      </c>
    </row>
    <row r="6" ht="21.0" customHeight="1">
      <c r="A6" s="23" t="s">
        <v>22</v>
      </c>
    </row>
    <row r="7" ht="21.0" customHeight="1">
      <c r="A7" s="24" t="s">
        <v>23</v>
      </c>
      <c r="B7" s="24" t="s">
        <v>24</v>
      </c>
      <c r="C7" s="24" t="s">
        <v>25</v>
      </c>
      <c r="D7" s="24" t="s">
        <v>26</v>
      </c>
      <c r="E7" s="24" t="s">
        <v>27</v>
      </c>
      <c r="F7" s="24" t="s">
        <v>28</v>
      </c>
      <c r="G7" s="24" t="s">
        <v>29</v>
      </c>
      <c r="H7" s="24" t="s">
        <v>30</v>
      </c>
      <c r="I7" s="24" t="s">
        <v>31</v>
      </c>
      <c r="J7" s="25" t="s">
        <v>32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</row>
    <row r="8" ht="19.5" customHeight="1">
      <c r="A8" s="26" t="s">
        <v>33</v>
      </c>
      <c r="B8" s="27" t="s">
        <v>34</v>
      </c>
      <c r="C8" s="26" t="s">
        <v>35</v>
      </c>
      <c r="D8" s="26" t="s">
        <v>36</v>
      </c>
      <c r="E8" s="26" t="s">
        <v>37</v>
      </c>
      <c r="F8" s="28" t="s">
        <v>38</v>
      </c>
      <c r="G8" s="26" t="s">
        <v>39</v>
      </c>
      <c r="H8" s="30" t="s">
        <v>40</v>
      </c>
      <c r="I8" s="31" t="s">
        <v>41</v>
      </c>
      <c r="J8" s="32" t="s">
        <v>42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8"/>
    </row>
    <row r="9" ht="19.5" customHeight="1">
      <c r="A9" s="26" t="s">
        <v>43</v>
      </c>
      <c r="B9" s="27" t="s">
        <v>44</v>
      </c>
      <c r="C9" s="26" t="s">
        <v>45</v>
      </c>
      <c r="D9" s="26" t="s">
        <v>46</v>
      </c>
      <c r="E9" s="26" t="s">
        <v>47</v>
      </c>
      <c r="F9" s="28" t="s">
        <v>48</v>
      </c>
      <c r="G9" s="26" t="s">
        <v>33</v>
      </c>
      <c r="H9" s="30" t="s">
        <v>49</v>
      </c>
      <c r="I9" s="31" t="s">
        <v>50</v>
      </c>
      <c r="J9" s="32" t="s">
        <v>51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8"/>
    </row>
    <row r="10" ht="19.5" customHeight="1">
      <c r="A10" s="26" t="s">
        <v>52</v>
      </c>
      <c r="B10" s="27" t="s">
        <v>53</v>
      </c>
      <c r="C10" s="26" t="s">
        <v>45</v>
      </c>
      <c r="D10" s="26" t="s">
        <v>54</v>
      </c>
      <c r="E10" s="26" t="s">
        <v>55</v>
      </c>
      <c r="F10" s="28" t="s">
        <v>56</v>
      </c>
      <c r="G10" s="26" t="s">
        <v>43</v>
      </c>
      <c r="H10" s="30" t="s">
        <v>57</v>
      </c>
      <c r="I10" s="31" t="s">
        <v>58</v>
      </c>
      <c r="J10" s="32" t="s">
        <v>59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</row>
    <row r="11" ht="19.5" customHeight="1">
      <c r="A11" s="26" t="s">
        <v>60</v>
      </c>
      <c r="B11" s="27" t="s">
        <v>61</v>
      </c>
      <c r="C11" s="26" t="s">
        <v>45</v>
      </c>
      <c r="D11" s="26" t="s">
        <v>62</v>
      </c>
      <c r="E11" s="26" t="s">
        <v>63</v>
      </c>
      <c r="F11" s="28" t="s">
        <v>64</v>
      </c>
      <c r="G11" s="26" t="s">
        <v>52</v>
      </c>
      <c r="H11" s="30" t="s">
        <v>65</v>
      </c>
      <c r="I11" s="31" t="s">
        <v>66</v>
      </c>
      <c r="J11" s="32" t="s">
        <v>67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8"/>
    </row>
    <row r="12" ht="19.5" customHeight="1">
      <c r="A12" s="26" t="s">
        <v>45</v>
      </c>
      <c r="B12" s="27" t="s">
        <v>68</v>
      </c>
      <c r="C12" s="26" t="s">
        <v>60</v>
      </c>
      <c r="D12" s="26" t="s">
        <v>69</v>
      </c>
      <c r="E12" s="26" t="s">
        <v>70</v>
      </c>
      <c r="F12" s="28" t="s">
        <v>71</v>
      </c>
      <c r="G12" s="26" t="s">
        <v>52</v>
      </c>
      <c r="H12" s="30" t="s">
        <v>65</v>
      </c>
      <c r="I12" s="31" t="s">
        <v>66</v>
      </c>
      <c r="J12" s="32" t="s">
        <v>72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8"/>
    </row>
    <row r="13" ht="21.0" customHeight="1">
      <c r="A13" s="33" t="s">
        <v>73</v>
      </c>
      <c r="B13" s="8"/>
      <c r="C13" s="34" t="s">
        <v>74</v>
      </c>
      <c r="D13" s="31" t="s">
        <v>75</v>
      </c>
      <c r="E13" s="34" t="s">
        <v>55</v>
      </c>
      <c r="F13" s="31" t="s">
        <v>76</v>
      </c>
      <c r="G13" s="34" t="s">
        <v>77</v>
      </c>
      <c r="H13" s="30" t="s">
        <v>19</v>
      </c>
      <c r="I13" s="35" t="s">
        <v>78</v>
      </c>
      <c r="J13" s="33" t="s">
        <v>79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8"/>
    </row>
    <row r="14" ht="10.5" customHeight="1">
      <c r="A14" s="22" t="s">
        <v>21</v>
      </c>
      <c r="B14" s="22" t="s">
        <v>21</v>
      </c>
      <c r="C14" s="22" t="s">
        <v>21</v>
      </c>
      <c r="D14" s="22" t="s">
        <v>21</v>
      </c>
      <c r="E14" s="22" t="s">
        <v>21</v>
      </c>
      <c r="F14" s="22" t="s">
        <v>21</v>
      </c>
      <c r="G14" s="22" t="s">
        <v>21</v>
      </c>
      <c r="H14" s="22" t="s">
        <v>21</v>
      </c>
      <c r="I14" s="22" t="s">
        <v>21</v>
      </c>
      <c r="J14" s="22" t="s">
        <v>21</v>
      </c>
      <c r="K14" s="22" t="s">
        <v>21</v>
      </c>
      <c r="L14" s="22" t="s">
        <v>21</v>
      </c>
      <c r="M14" s="22" t="s">
        <v>21</v>
      </c>
      <c r="N14" s="22" t="s">
        <v>21</v>
      </c>
      <c r="O14" s="22" t="s">
        <v>21</v>
      </c>
      <c r="P14" s="22" t="s">
        <v>21</v>
      </c>
      <c r="Q14" s="22" t="s">
        <v>21</v>
      </c>
      <c r="R14" s="22" t="s">
        <v>21</v>
      </c>
      <c r="S14" s="22" t="s">
        <v>21</v>
      </c>
      <c r="T14" s="22" t="s">
        <v>21</v>
      </c>
      <c r="U14" s="22" t="s">
        <v>21</v>
      </c>
      <c r="V14" s="22" t="s">
        <v>21</v>
      </c>
    </row>
    <row r="15" ht="21.0" customHeight="1">
      <c r="A15" s="23" t="s">
        <v>80</v>
      </c>
    </row>
    <row r="16" ht="21.0" customHeight="1">
      <c r="A16" s="24" t="s">
        <v>81</v>
      </c>
      <c r="B16" s="24" t="s">
        <v>82</v>
      </c>
      <c r="C16" s="24" t="s">
        <v>83</v>
      </c>
      <c r="D16" s="24" t="s">
        <v>84</v>
      </c>
      <c r="E16" s="24" t="s">
        <v>85</v>
      </c>
      <c r="F16" s="24" t="s">
        <v>86</v>
      </c>
      <c r="G16" s="24" t="s">
        <v>87</v>
      </c>
      <c r="H16" s="24" t="s">
        <v>88</v>
      </c>
      <c r="I16" s="24" t="s">
        <v>89</v>
      </c>
      <c r="J16" s="24" t="s">
        <v>90</v>
      </c>
      <c r="K16" s="24" t="s">
        <v>91</v>
      </c>
      <c r="L16" s="24" t="s">
        <v>92</v>
      </c>
      <c r="M16" s="24" t="s">
        <v>93</v>
      </c>
      <c r="N16" s="24" t="s">
        <v>94</v>
      </c>
      <c r="O16" s="24" t="s">
        <v>95</v>
      </c>
      <c r="P16" s="24" t="s">
        <v>96</v>
      </c>
      <c r="Q16" s="24" t="s">
        <v>97</v>
      </c>
      <c r="R16" s="24" t="s">
        <v>98</v>
      </c>
      <c r="S16" s="24" t="s">
        <v>99</v>
      </c>
      <c r="T16" s="24" t="s">
        <v>100</v>
      </c>
      <c r="U16" s="24" t="s">
        <v>101</v>
      </c>
      <c r="V16" s="24" t="s">
        <v>102</v>
      </c>
    </row>
    <row r="17" ht="18.75" customHeight="1">
      <c r="A17" s="28" t="s">
        <v>103</v>
      </c>
      <c r="B17" s="27" t="s">
        <v>104</v>
      </c>
      <c r="C17" s="27" t="s">
        <v>105</v>
      </c>
      <c r="D17" s="37" t="s">
        <v>106</v>
      </c>
      <c r="E17" s="26" t="s">
        <v>107</v>
      </c>
      <c r="F17" s="28" t="s">
        <v>108</v>
      </c>
      <c r="G17" s="26" t="s">
        <v>33</v>
      </c>
      <c r="H17" s="26" t="s">
        <v>33</v>
      </c>
      <c r="I17" s="26" t="s">
        <v>33</v>
      </c>
      <c r="J17" s="26" t="s">
        <v>33</v>
      </c>
      <c r="K17" s="26" t="s">
        <v>33</v>
      </c>
      <c r="L17" s="26" t="s">
        <v>33</v>
      </c>
      <c r="M17" s="26" t="s">
        <v>33</v>
      </c>
      <c r="N17" s="26" t="s">
        <v>33</v>
      </c>
      <c r="O17" s="26" t="s">
        <v>33</v>
      </c>
      <c r="P17" s="26" t="s">
        <v>33</v>
      </c>
      <c r="Q17" s="26" t="s">
        <v>33</v>
      </c>
      <c r="R17" s="26" t="s">
        <v>33</v>
      </c>
      <c r="S17" s="26" t="s">
        <v>33</v>
      </c>
      <c r="T17" s="34" t="s">
        <v>109</v>
      </c>
      <c r="U17" s="31" t="s">
        <v>110</v>
      </c>
      <c r="V17" s="30" t="s">
        <v>40</v>
      </c>
    </row>
    <row r="18" ht="18.75" customHeight="1">
      <c r="A18" s="28" t="s">
        <v>111</v>
      </c>
      <c r="B18" s="27" t="s">
        <v>112</v>
      </c>
      <c r="C18" s="27" t="s">
        <v>113</v>
      </c>
      <c r="D18" s="37" t="s">
        <v>106</v>
      </c>
      <c r="E18" s="26" t="s">
        <v>114</v>
      </c>
      <c r="F18" s="28" t="s">
        <v>115</v>
      </c>
      <c r="G18" s="26" t="s">
        <v>33</v>
      </c>
      <c r="H18" s="26" t="s">
        <v>33</v>
      </c>
      <c r="I18" s="26" t="s">
        <v>33</v>
      </c>
      <c r="J18" s="26" t="s">
        <v>33</v>
      </c>
      <c r="K18" s="26" t="s">
        <v>33</v>
      </c>
      <c r="L18" s="26" t="s">
        <v>39</v>
      </c>
      <c r="M18" s="26" t="s">
        <v>33</v>
      </c>
      <c r="N18" s="26" t="s">
        <v>33</v>
      </c>
      <c r="O18" s="26" t="s">
        <v>33</v>
      </c>
      <c r="P18" s="26" t="s">
        <v>33</v>
      </c>
      <c r="Q18" s="26" t="s">
        <v>33</v>
      </c>
      <c r="R18" s="26" t="s">
        <v>33</v>
      </c>
      <c r="S18" s="26" t="s">
        <v>33</v>
      </c>
      <c r="T18" s="34" t="s">
        <v>116</v>
      </c>
      <c r="U18" s="31" t="s">
        <v>117</v>
      </c>
      <c r="V18" s="30" t="s">
        <v>40</v>
      </c>
    </row>
    <row r="19" ht="18.75" customHeight="1">
      <c r="A19" s="28" t="s">
        <v>118</v>
      </c>
      <c r="B19" s="27" t="s">
        <v>119</v>
      </c>
      <c r="C19" s="27" t="s">
        <v>120</v>
      </c>
      <c r="D19" s="37" t="s">
        <v>121</v>
      </c>
      <c r="E19" s="26" t="s">
        <v>122</v>
      </c>
      <c r="F19" s="28" t="s">
        <v>123</v>
      </c>
      <c r="G19" s="26" t="s">
        <v>39</v>
      </c>
      <c r="H19" s="26" t="s">
        <v>33</v>
      </c>
      <c r="I19" s="26" t="s">
        <v>33</v>
      </c>
      <c r="J19" s="26" t="s">
        <v>39</v>
      </c>
      <c r="K19" s="26" t="s">
        <v>33</v>
      </c>
      <c r="L19" s="26" t="s">
        <v>39</v>
      </c>
      <c r="M19" s="26" t="s">
        <v>33</v>
      </c>
      <c r="N19" s="26" t="s">
        <v>39</v>
      </c>
      <c r="O19" s="26" t="s">
        <v>33</v>
      </c>
      <c r="P19" s="26" t="s">
        <v>39</v>
      </c>
      <c r="Q19" s="26" t="s">
        <v>33</v>
      </c>
      <c r="R19" s="26" t="s">
        <v>39</v>
      </c>
      <c r="S19" s="26" t="s">
        <v>33</v>
      </c>
      <c r="T19" s="34" t="s">
        <v>124</v>
      </c>
      <c r="U19" s="31" t="s">
        <v>78</v>
      </c>
      <c r="V19" s="30" t="s">
        <v>121</v>
      </c>
    </row>
    <row r="20" ht="18.75" customHeight="1">
      <c r="A20" s="28" t="s">
        <v>125</v>
      </c>
      <c r="B20" s="27" t="s">
        <v>126</v>
      </c>
      <c r="C20" s="27" t="s">
        <v>120</v>
      </c>
      <c r="D20" s="37" t="s">
        <v>127</v>
      </c>
      <c r="E20" s="26" t="s">
        <v>128</v>
      </c>
      <c r="F20" s="28" t="s">
        <v>129</v>
      </c>
      <c r="G20" s="26" t="s">
        <v>33</v>
      </c>
      <c r="H20" s="26" t="s">
        <v>33</v>
      </c>
      <c r="I20" s="26" t="s">
        <v>33</v>
      </c>
      <c r="J20" s="26" t="s">
        <v>39</v>
      </c>
      <c r="K20" s="26" t="s">
        <v>33</v>
      </c>
      <c r="L20" s="26" t="s">
        <v>33</v>
      </c>
      <c r="M20" s="26" t="s">
        <v>39</v>
      </c>
      <c r="N20" s="26" t="s">
        <v>39</v>
      </c>
      <c r="O20" s="26" t="s">
        <v>33</v>
      </c>
      <c r="P20" s="26" t="s">
        <v>33</v>
      </c>
      <c r="Q20" s="26" t="s">
        <v>39</v>
      </c>
      <c r="R20" s="26" t="s">
        <v>33</v>
      </c>
      <c r="S20" s="26" t="s">
        <v>33</v>
      </c>
      <c r="T20" s="34" t="s">
        <v>77</v>
      </c>
      <c r="U20" s="31" t="s">
        <v>78</v>
      </c>
      <c r="V20" s="30" t="s">
        <v>127</v>
      </c>
    </row>
    <row r="21" ht="18.75" customHeight="1">
      <c r="A21" s="28" t="s">
        <v>130</v>
      </c>
      <c r="B21" s="27" t="s">
        <v>131</v>
      </c>
      <c r="C21" s="27" t="s">
        <v>132</v>
      </c>
      <c r="D21" s="37" t="s">
        <v>133</v>
      </c>
      <c r="E21" s="26" t="s">
        <v>134</v>
      </c>
      <c r="F21" s="28" t="s">
        <v>108</v>
      </c>
      <c r="G21" s="26" t="s">
        <v>39</v>
      </c>
      <c r="H21" s="26" t="s">
        <v>39</v>
      </c>
      <c r="I21" s="26" t="s">
        <v>39</v>
      </c>
      <c r="J21" s="26" t="s">
        <v>39</v>
      </c>
      <c r="K21" s="26" t="s">
        <v>39</v>
      </c>
      <c r="L21" s="26" t="s">
        <v>39</v>
      </c>
      <c r="M21" s="26" t="s">
        <v>39</v>
      </c>
      <c r="N21" s="26" t="s">
        <v>39</v>
      </c>
      <c r="O21" s="26" t="s">
        <v>33</v>
      </c>
      <c r="P21" s="26" t="s">
        <v>39</v>
      </c>
      <c r="Q21" s="26" t="s">
        <v>39</v>
      </c>
      <c r="R21" s="26" t="s">
        <v>39</v>
      </c>
      <c r="S21" s="26" t="s">
        <v>33</v>
      </c>
      <c r="T21" s="34" t="s">
        <v>43</v>
      </c>
      <c r="U21" s="31" t="s">
        <v>135</v>
      </c>
      <c r="V21" s="30" t="s">
        <v>133</v>
      </c>
    </row>
    <row r="22" ht="18.75" customHeight="1">
      <c r="A22" s="28" t="s">
        <v>136</v>
      </c>
      <c r="B22" s="27" t="s">
        <v>137</v>
      </c>
      <c r="C22" s="27" t="s">
        <v>105</v>
      </c>
      <c r="D22" s="37" t="s">
        <v>138</v>
      </c>
      <c r="E22" s="26" t="s">
        <v>139</v>
      </c>
      <c r="F22" s="28" t="s">
        <v>140</v>
      </c>
      <c r="G22" s="26" t="s">
        <v>33</v>
      </c>
      <c r="H22" s="26" t="s">
        <v>33</v>
      </c>
      <c r="I22" s="26" t="s">
        <v>33</v>
      </c>
      <c r="J22" s="26" t="s">
        <v>33</v>
      </c>
      <c r="K22" s="26" t="s">
        <v>33</v>
      </c>
      <c r="L22" s="26" t="s">
        <v>33</v>
      </c>
      <c r="M22" s="26" t="s">
        <v>33</v>
      </c>
      <c r="N22" s="26" t="s">
        <v>33</v>
      </c>
      <c r="O22" s="26" t="s">
        <v>33</v>
      </c>
      <c r="P22" s="26" t="s">
        <v>33</v>
      </c>
      <c r="Q22" s="26" t="s">
        <v>33</v>
      </c>
      <c r="R22" s="26" t="s">
        <v>33</v>
      </c>
      <c r="S22" s="26" t="s">
        <v>33</v>
      </c>
      <c r="T22" s="34" t="s">
        <v>109</v>
      </c>
      <c r="U22" s="31" t="s">
        <v>110</v>
      </c>
      <c r="V22" s="30" t="s">
        <v>40</v>
      </c>
    </row>
    <row r="23" ht="18.75" customHeight="1">
      <c r="A23" s="28" t="s">
        <v>141</v>
      </c>
      <c r="B23" s="27" t="s">
        <v>142</v>
      </c>
      <c r="C23" s="27" t="s">
        <v>132</v>
      </c>
      <c r="D23" s="37" t="s">
        <v>143</v>
      </c>
      <c r="E23" s="26" t="s">
        <v>144</v>
      </c>
      <c r="F23" s="28" t="s">
        <v>145</v>
      </c>
      <c r="G23" s="26" t="s">
        <v>39</v>
      </c>
      <c r="H23" s="26" t="s">
        <v>33</v>
      </c>
      <c r="I23" s="26" t="s">
        <v>33</v>
      </c>
      <c r="J23" s="26" t="s">
        <v>39</v>
      </c>
      <c r="K23" s="26" t="s">
        <v>39</v>
      </c>
      <c r="L23" s="26" t="s">
        <v>39</v>
      </c>
      <c r="M23" s="26" t="s">
        <v>33</v>
      </c>
      <c r="N23" s="26" t="s">
        <v>39</v>
      </c>
      <c r="O23" s="26" t="s">
        <v>33</v>
      </c>
      <c r="P23" s="26" t="s">
        <v>39</v>
      </c>
      <c r="Q23" s="26" t="s">
        <v>39</v>
      </c>
      <c r="R23" s="26" t="s">
        <v>33</v>
      </c>
      <c r="S23" s="26" t="s">
        <v>39</v>
      </c>
      <c r="T23" s="34" t="s">
        <v>45</v>
      </c>
      <c r="U23" s="31" t="s">
        <v>135</v>
      </c>
      <c r="V23" s="30" t="s">
        <v>143</v>
      </c>
    </row>
    <row r="24" ht="18.75" customHeight="1">
      <c r="A24" s="28" t="s">
        <v>150</v>
      </c>
      <c r="B24" s="27" t="s">
        <v>151</v>
      </c>
      <c r="C24" s="27" t="s">
        <v>153</v>
      </c>
      <c r="D24" s="37" t="s">
        <v>154</v>
      </c>
      <c r="E24" s="26" t="s">
        <v>155</v>
      </c>
      <c r="F24" s="28" t="s">
        <v>156</v>
      </c>
      <c r="G24" s="26" t="s">
        <v>39</v>
      </c>
      <c r="H24" s="26" t="s">
        <v>39</v>
      </c>
      <c r="I24" s="26" t="s">
        <v>33</v>
      </c>
      <c r="J24" s="26" t="s">
        <v>39</v>
      </c>
      <c r="K24" s="26" t="s">
        <v>39</v>
      </c>
      <c r="L24" s="26" t="s">
        <v>39</v>
      </c>
      <c r="M24" s="26" t="s">
        <v>39</v>
      </c>
      <c r="N24" s="26" t="s">
        <v>39</v>
      </c>
      <c r="O24" s="26" t="s">
        <v>33</v>
      </c>
      <c r="P24" s="26" t="s">
        <v>33</v>
      </c>
      <c r="Q24" s="26" t="s">
        <v>39</v>
      </c>
      <c r="R24" s="26" t="s">
        <v>33</v>
      </c>
      <c r="S24" s="26" t="s">
        <v>39</v>
      </c>
      <c r="T24" s="34" t="s">
        <v>60</v>
      </c>
      <c r="U24" s="31" t="s">
        <v>135</v>
      </c>
      <c r="V24" s="30" t="s">
        <v>154</v>
      </c>
    </row>
    <row r="25" ht="18.75" customHeight="1">
      <c r="A25" s="28" t="s">
        <v>157</v>
      </c>
      <c r="B25" s="27" t="s">
        <v>158</v>
      </c>
      <c r="C25" s="27" t="s">
        <v>113</v>
      </c>
      <c r="D25" s="37" t="s">
        <v>159</v>
      </c>
      <c r="E25" s="26" t="s">
        <v>160</v>
      </c>
      <c r="F25" s="28" t="s">
        <v>161</v>
      </c>
      <c r="G25" s="26" t="s">
        <v>33</v>
      </c>
      <c r="H25" s="26" t="s">
        <v>33</v>
      </c>
      <c r="I25" s="26" t="s">
        <v>33</v>
      </c>
      <c r="J25" s="26" t="s">
        <v>33</v>
      </c>
      <c r="K25" s="26" t="s">
        <v>33</v>
      </c>
      <c r="L25" s="26" t="s">
        <v>33</v>
      </c>
      <c r="M25" s="26" t="s">
        <v>33</v>
      </c>
      <c r="N25" s="26" t="s">
        <v>39</v>
      </c>
      <c r="O25" s="26" t="s">
        <v>33</v>
      </c>
      <c r="P25" s="26" t="s">
        <v>33</v>
      </c>
      <c r="Q25" s="26" t="s">
        <v>33</v>
      </c>
      <c r="R25" s="26" t="s">
        <v>33</v>
      </c>
      <c r="S25" s="26" t="s">
        <v>33</v>
      </c>
      <c r="T25" s="34" t="s">
        <v>116</v>
      </c>
      <c r="U25" s="31" t="s">
        <v>117</v>
      </c>
      <c r="V25" s="30" t="s">
        <v>40</v>
      </c>
    </row>
    <row r="26" ht="18.75" customHeight="1">
      <c r="A26" s="28" t="s">
        <v>162</v>
      </c>
      <c r="B26" s="27" t="s">
        <v>163</v>
      </c>
      <c r="C26" s="27" t="s">
        <v>153</v>
      </c>
      <c r="D26" s="37" t="s">
        <v>164</v>
      </c>
      <c r="E26" s="26" t="s">
        <v>165</v>
      </c>
      <c r="F26" s="28" t="s">
        <v>129</v>
      </c>
      <c r="G26" s="26" t="s">
        <v>39</v>
      </c>
      <c r="H26" s="26" t="s">
        <v>39</v>
      </c>
      <c r="I26" s="26" t="s">
        <v>39</v>
      </c>
      <c r="J26" s="26" t="s">
        <v>33</v>
      </c>
      <c r="K26" s="26" t="s">
        <v>33</v>
      </c>
      <c r="L26" s="26" t="s">
        <v>39</v>
      </c>
      <c r="M26" s="26" t="s">
        <v>33</v>
      </c>
      <c r="N26" s="26" t="s">
        <v>39</v>
      </c>
      <c r="O26" s="26" t="s">
        <v>33</v>
      </c>
      <c r="P26" s="26" t="s">
        <v>33</v>
      </c>
      <c r="Q26" s="26" t="s">
        <v>39</v>
      </c>
      <c r="R26" s="26" t="s">
        <v>33</v>
      </c>
      <c r="S26" s="26" t="s">
        <v>39</v>
      </c>
      <c r="T26" s="34" t="s">
        <v>35</v>
      </c>
      <c r="U26" s="31" t="s">
        <v>78</v>
      </c>
      <c r="V26" s="30" t="s">
        <v>164</v>
      </c>
    </row>
    <row r="27" ht="21.0" customHeight="1">
      <c r="A27" s="33" t="s">
        <v>167</v>
      </c>
      <c r="B27" s="6"/>
      <c r="C27" s="8"/>
      <c r="D27" s="37" t="s">
        <v>168</v>
      </c>
      <c r="E27" s="35" t="s">
        <v>21</v>
      </c>
      <c r="F27" s="35" t="s">
        <v>21</v>
      </c>
      <c r="G27" s="35" t="s">
        <v>21</v>
      </c>
      <c r="H27" s="35" t="s">
        <v>21</v>
      </c>
      <c r="I27" s="35" t="s">
        <v>21</v>
      </c>
      <c r="J27" s="35" t="s">
        <v>21</v>
      </c>
      <c r="K27" s="35" t="s">
        <v>21</v>
      </c>
      <c r="L27" s="35" t="s">
        <v>21</v>
      </c>
      <c r="M27" s="35" t="s">
        <v>21</v>
      </c>
      <c r="N27" s="35" t="s">
        <v>21</v>
      </c>
      <c r="O27" s="35" t="s">
        <v>21</v>
      </c>
      <c r="P27" s="35" t="s">
        <v>21</v>
      </c>
      <c r="Q27" s="35" t="s">
        <v>21</v>
      </c>
      <c r="R27" s="35" t="s">
        <v>21</v>
      </c>
      <c r="S27" s="35" t="s">
        <v>21</v>
      </c>
      <c r="T27" s="31" t="s">
        <v>169</v>
      </c>
      <c r="U27" s="31" t="s">
        <v>170</v>
      </c>
      <c r="V27" s="30" t="s">
        <v>19</v>
      </c>
    </row>
    <row r="28" ht="10.5" customHeight="1">
      <c r="A28" s="22" t="s">
        <v>21</v>
      </c>
      <c r="B28" s="22" t="s">
        <v>21</v>
      </c>
      <c r="C28" s="22" t="s">
        <v>21</v>
      </c>
      <c r="D28" s="22" t="s">
        <v>21</v>
      </c>
      <c r="E28" s="22" t="s">
        <v>21</v>
      </c>
      <c r="F28" s="22" t="s">
        <v>21</v>
      </c>
      <c r="G28" s="22" t="s">
        <v>21</v>
      </c>
      <c r="H28" s="22" t="s">
        <v>21</v>
      </c>
      <c r="I28" s="22" t="s">
        <v>21</v>
      </c>
      <c r="J28" s="22" t="s">
        <v>21</v>
      </c>
      <c r="K28" s="22" t="s">
        <v>21</v>
      </c>
      <c r="L28" s="22" t="s">
        <v>21</v>
      </c>
      <c r="M28" s="22" t="s">
        <v>21</v>
      </c>
      <c r="N28" s="22" t="s">
        <v>21</v>
      </c>
      <c r="O28" s="22" t="s">
        <v>21</v>
      </c>
      <c r="P28" s="22" t="s">
        <v>21</v>
      </c>
      <c r="Q28" s="22" t="s">
        <v>21</v>
      </c>
      <c r="R28" s="22" t="s">
        <v>21</v>
      </c>
      <c r="S28" s="22" t="s">
        <v>21</v>
      </c>
      <c r="T28" s="22" t="s">
        <v>21</v>
      </c>
      <c r="U28" s="22" t="s">
        <v>21</v>
      </c>
      <c r="V28" s="22" t="s">
        <v>21</v>
      </c>
    </row>
    <row r="29" ht="21.0" customHeight="1">
      <c r="A29" s="23" t="s">
        <v>178</v>
      </c>
    </row>
    <row r="30" ht="21.0" customHeight="1">
      <c r="A30" s="24" t="s">
        <v>81</v>
      </c>
      <c r="B30" s="24" t="s">
        <v>179</v>
      </c>
      <c r="C30" s="24" t="s">
        <v>83</v>
      </c>
      <c r="D30" s="24" t="s">
        <v>180</v>
      </c>
      <c r="E30" s="25" t="s">
        <v>181</v>
      </c>
      <c r="F30" s="8"/>
      <c r="G30" s="25" t="s">
        <v>182</v>
      </c>
      <c r="H30" s="6"/>
      <c r="I30" s="6"/>
      <c r="J30" s="6"/>
      <c r="K30" s="6"/>
      <c r="L30" s="6"/>
      <c r="M30" s="8"/>
      <c r="N30" s="25" t="s">
        <v>184</v>
      </c>
      <c r="O30" s="6"/>
      <c r="P30" s="6"/>
      <c r="Q30" s="6"/>
      <c r="R30" s="6"/>
      <c r="S30" s="6"/>
      <c r="T30" s="6"/>
      <c r="U30" s="6"/>
      <c r="V30" s="8"/>
    </row>
    <row r="31" ht="54.0" customHeight="1">
      <c r="A31" s="28" t="s">
        <v>130</v>
      </c>
      <c r="B31" s="49" t="s">
        <v>185</v>
      </c>
      <c r="C31" s="49" t="s">
        <v>61</v>
      </c>
      <c r="D31" s="30" t="s">
        <v>133</v>
      </c>
      <c r="E31" s="51" t="s">
        <v>187</v>
      </c>
      <c r="F31" s="8"/>
      <c r="G31" s="52" t="s">
        <v>188</v>
      </c>
      <c r="H31" s="6"/>
      <c r="I31" s="6"/>
      <c r="J31" s="6"/>
      <c r="K31" s="6"/>
      <c r="L31" s="6"/>
      <c r="M31" s="8"/>
      <c r="N31" s="55" t="s">
        <v>189</v>
      </c>
      <c r="O31" s="6"/>
      <c r="P31" s="6"/>
      <c r="Q31" s="6"/>
      <c r="R31" s="6"/>
      <c r="S31" s="6"/>
      <c r="T31" s="6"/>
      <c r="U31" s="6"/>
      <c r="V31" s="8"/>
    </row>
    <row r="32" ht="54.0" customHeight="1">
      <c r="A32" s="28" t="s">
        <v>118</v>
      </c>
      <c r="B32" s="49" t="s">
        <v>191</v>
      </c>
      <c r="C32" s="49" t="s">
        <v>53</v>
      </c>
      <c r="D32" s="30" t="s">
        <v>121</v>
      </c>
      <c r="E32" s="51" t="s">
        <v>195</v>
      </c>
      <c r="F32" s="8"/>
      <c r="G32" s="52" t="s">
        <v>199</v>
      </c>
      <c r="H32" s="6"/>
      <c r="I32" s="6"/>
      <c r="J32" s="6"/>
      <c r="K32" s="6"/>
      <c r="L32" s="6"/>
      <c r="M32" s="8"/>
      <c r="N32" s="55" t="s">
        <v>206</v>
      </c>
      <c r="O32" s="6"/>
      <c r="P32" s="6"/>
      <c r="Q32" s="6"/>
      <c r="R32" s="6"/>
      <c r="S32" s="6"/>
      <c r="T32" s="6"/>
      <c r="U32" s="6"/>
      <c r="V32" s="8"/>
    </row>
    <row r="33" ht="54.0" customHeight="1">
      <c r="A33" s="28" t="s">
        <v>141</v>
      </c>
      <c r="B33" s="49" t="s">
        <v>212</v>
      </c>
      <c r="C33" s="49" t="s">
        <v>61</v>
      </c>
      <c r="D33" s="30" t="s">
        <v>143</v>
      </c>
      <c r="E33" s="51" t="s">
        <v>214</v>
      </c>
      <c r="F33" s="8"/>
      <c r="G33" s="52" t="s">
        <v>215</v>
      </c>
      <c r="H33" s="6"/>
      <c r="I33" s="6"/>
      <c r="J33" s="6"/>
      <c r="K33" s="6"/>
      <c r="L33" s="6"/>
      <c r="M33" s="8"/>
      <c r="N33" s="55" t="s">
        <v>218</v>
      </c>
      <c r="O33" s="6"/>
      <c r="P33" s="6"/>
      <c r="Q33" s="6"/>
      <c r="R33" s="6"/>
      <c r="S33" s="6"/>
      <c r="T33" s="6"/>
      <c r="U33" s="6"/>
      <c r="V33" s="8"/>
    </row>
    <row r="34" ht="54.0" customHeight="1">
      <c r="A34" s="28" t="s">
        <v>150</v>
      </c>
      <c r="B34" s="49" t="s">
        <v>220</v>
      </c>
      <c r="C34" s="49" t="s">
        <v>68</v>
      </c>
      <c r="D34" s="30" t="s">
        <v>154</v>
      </c>
      <c r="E34" s="51" t="s">
        <v>221</v>
      </c>
      <c r="F34" s="8"/>
      <c r="G34" s="52" t="s">
        <v>223</v>
      </c>
      <c r="H34" s="6"/>
      <c r="I34" s="6"/>
      <c r="J34" s="6"/>
      <c r="K34" s="6"/>
      <c r="L34" s="6"/>
      <c r="M34" s="8"/>
      <c r="N34" s="55" t="s">
        <v>226</v>
      </c>
      <c r="O34" s="6"/>
      <c r="P34" s="6"/>
      <c r="Q34" s="6"/>
      <c r="R34" s="6"/>
      <c r="S34" s="6"/>
      <c r="T34" s="6"/>
      <c r="U34" s="6"/>
      <c r="V34" s="8"/>
    </row>
    <row r="35" ht="54.0" customHeight="1">
      <c r="A35" s="28" t="s">
        <v>162</v>
      </c>
      <c r="B35" s="49" t="s">
        <v>229</v>
      </c>
      <c r="C35" s="49" t="s">
        <v>68</v>
      </c>
      <c r="D35" s="30" t="s">
        <v>164</v>
      </c>
      <c r="E35" s="51" t="s">
        <v>230</v>
      </c>
      <c r="F35" s="8"/>
      <c r="G35" s="52" t="s">
        <v>231</v>
      </c>
      <c r="H35" s="6"/>
      <c r="I35" s="6"/>
      <c r="J35" s="6"/>
      <c r="K35" s="6"/>
      <c r="L35" s="6"/>
      <c r="M35" s="8"/>
      <c r="N35" s="55" t="s">
        <v>232</v>
      </c>
      <c r="O35" s="6"/>
      <c r="P35" s="6"/>
      <c r="Q35" s="6"/>
      <c r="R35" s="6"/>
      <c r="S35" s="6"/>
      <c r="T35" s="6"/>
      <c r="U35" s="6"/>
      <c r="V35" s="8"/>
    </row>
    <row r="36" ht="10.5" customHeight="1">
      <c r="A36" s="22" t="s">
        <v>21</v>
      </c>
      <c r="B36" s="22" t="s">
        <v>21</v>
      </c>
      <c r="C36" s="22" t="s">
        <v>21</v>
      </c>
      <c r="D36" s="22" t="s">
        <v>21</v>
      </c>
      <c r="E36" s="22" t="s">
        <v>21</v>
      </c>
      <c r="F36" s="22" t="s">
        <v>21</v>
      </c>
      <c r="G36" s="22" t="s">
        <v>21</v>
      </c>
      <c r="H36" s="22" t="s">
        <v>21</v>
      </c>
      <c r="I36" s="22" t="s">
        <v>21</v>
      </c>
      <c r="J36" s="22" t="s">
        <v>21</v>
      </c>
      <c r="K36" s="22" t="s">
        <v>21</v>
      </c>
      <c r="L36" s="22" t="s">
        <v>21</v>
      </c>
      <c r="M36" s="22" t="s">
        <v>21</v>
      </c>
      <c r="N36" s="22" t="s">
        <v>21</v>
      </c>
      <c r="O36" s="22" t="s">
        <v>21</v>
      </c>
      <c r="P36" s="22" t="s">
        <v>21</v>
      </c>
      <c r="Q36" s="22" t="s">
        <v>21</v>
      </c>
      <c r="R36" s="22" t="s">
        <v>21</v>
      </c>
      <c r="S36" s="22" t="s">
        <v>21</v>
      </c>
      <c r="T36" s="22" t="s">
        <v>21</v>
      </c>
      <c r="U36" s="22" t="s">
        <v>21</v>
      </c>
      <c r="V36" s="22" t="s">
        <v>21</v>
      </c>
    </row>
    <row r="37" ht="21.0" customHeight="1">
      <c r="A37" s="23" t="s">
        <v>236</v>
      </c>
    </row>
    <row r="38" ht="21.0" customHeight="1">
      <c r="A38" s="24" t="s">
        <v>23</v>
      </c>
      <c r="B38" s="24" t="s">
        <v>238</v>
      </c>
      <c r="C38" s="24" t="s">
        <v>239</v>
      </c>
      <c r="D38" s="24" t="s">
        <v>200</v>
      </c>
      <c r="E38" s="25" t="s">
        <v>240</v>
      </c>
      <c r="F38" s="6"/>
      <c r="G38" s="8"/>
      <c r="H38" s="25" t="s">
        <v>242</v>
      </c>
      <c r="I38" s="6"/>
      <c r="J38" s="6"/>
      <c r="K38" s="6"/>
      <c r="L38" s="8"/>
      <c r="M38" s="25" t="s">
        <v>243</v>
      </c>
      <c r="N38" s="6"/>
      <c r="O38" s="6"/>
      <c r="P38" s="6"/>
      <c r="Q38" s="6"/>
      <c r="R38" s="6"/>
      <c r="S38" s="6"/>
      <c r="T38" s="6"/>
      <c r="U38" s="6"/>
      <c r="V38" s="8"/>
    </row>
    <row r="39" ht="39.0" customHeight="1">
      <c r="A39" s="26" t="s">
        <v>33</v>
      </c>
      <c r="B39" s="79" t="s">
        <v>244</v>
      </c>
      <c r="C39" s="31" t="s">
        <v>245</v>
      </c>
      <c r="D39" s="31" t="s">
        <v>222</v>
      </c>
      <c r="E39" s="52" t="s">
        <v>246</v>
      </c>
      <c r="F39" s="6"/>
      <c r="G39" s="8"/>
      <c r="H39" s="80" t="s">
        <v>249</v>
      </c>
      <c r="I39" s="6"/>
      <c r="J39" s="6"/>
      <c r="K39" s="6"/>
      <c r="L39" s="8"/>
      <c r="M39" s="81" t="s">
        <v>250</v>
      </c>
      <c r="N39" s="6"/>
      <c r="O39" s="6"/>
      <c r="P39" s="6"/>
      <c r="Q39" s="6"/>
      <c r="R39" s="6"/>
      <c r="S39" s="6"/>
      <c r="T39" s="6"/>
      <c r="U39" s="6"/>
      <c r="V39" s="8"/>
    </row>
    <row r="40" ht="39.0" customHeight="1">
      <c r="A40" s="26" t="s">
        <v>43</v>
      </c>
      <c r="B40" s="79" t="s">
        <v>251</v>
      </c>
      <c r="C40" s="31" t="s">
        <v>252</v>
      </c>
      <c r="D40" s="31" t="s">
        <v>253</v>
      </c>
      <c r="E40" s="52" t="s">
        <v>254</v>
      </c>
      <c r="F40" s="6"/>
      <c r="G40" s="8"/>
      <c r="H40" s="80" t="s">
        <v>255</v>
      </c>
      <c r="I40" s="6"/>
      <c r="J40" s="6"/>
      <c r="K40" s="6"/>
      <c r="L40" s="8"/>
      <c r="M40" s="81" t="s">
        <v>256</v>
      </c>
      <c r="N40" s="6"/>
      <c r="O40" s="6"/>
      <c r="P40" s="6"/>
      <c r="Q40" s="6"/>
      <c r="R40" s="6"/>
      <c r="S40" s="6"/>
      <c r="T40" s="6"/>
      <c r="U40" s="6"/>
      <c r="V40" s="8"/>
    </row>
    <row r="41" ht="39.0" customHeight="1">
      <c r="A41" s="26" t="s">
        <v>52</v>
      </c>
      <c r="B41" s="84" t="s">
        <v>257</v>
      </c>
      <c r="C41" s="31" t="s">
        <v>258</v>
      </c>
      <c r="D41" s="85" t="s">
        <v>222</v>
      </c>
      <c r="E41" s="52" t="s">
        <v>259</v>
      </c>
      <c r="F41" s="6"/>
      <c r="G41" s="8"/>
      <c r="H41" s="80" t="s">
        <v>262</v>
      </c>
      <c r="I41" s="6"/>
      <c r="J41" s="6"/>
      <c r="K41" s="6"/>
      <c r="L41" s="8"/>
      <c r="M41" s="81" t="s">
        <v>265</v>
      </c>
      <c r="N41" s="6"/>
      <c r="O41" s="6"/>
      <c r="P41" s="6"/>
      <c r="Q41" s="6"/>
      <c r="R41" s="6"/>
      <c r="S41" s="6"/>
      <c r="T41" s="6"/>
      <c r="U41" s="6"/>
      <c r="V41" s="8"/>
    </row>
    <row r="42" ht="39.0" customHeight="1">
      <c r="A42" s="26" t="s">
        <v>60</v>
      </c>
      <c r="B42" s="84" t="s">
        <v>267</v>
      </c>
      <c r="C42" s="31" t="s">
        <v>268</v>
      </c>
      <c r="D42" s="31" t="s">
        <v>253</v>
      </c>
      <c r="E42" s="52" t="s">
        <v>269</v>
      </c>
      <c r="F42" s="6"/>
      <c r="G42" s="8"/>
      <c r="H42" s="80" t="s">
        <v>270</v>
      </c>
      <c r="I42" s="6"/>
      <c r="J42" s="6"/>
      <c r="K42" s="6"/>
      <c r="L42" s="8"/>
      <c r="M42" s="81" t="s">
        <v>276</v>
      </c>
      <c r="N42" s="6"/>
      <c r="O42" s="6"/>
      <c r="P42" s="6"/>
      <c r="Q42" s="6"/>
      <c r="R42" s="6"/>
      <c r="S42" s="6"/>
      <c r="T42" s="6"/>
      <c r="U42" s="6"/>
      <c r="V42" s="8"/>
    </row>
    <row r="43" ht="39.0" customHeight="1">
      <c r="A43" s="26" t="s">
        <v>45</v>
      </c>
      <c r="B43" s="79" t="s">
        <v>278</v>
      </c>
      <c r="C43" s="31" t="s">
        <v>258</v>
      </c>
      <c r="D43" s="31" t="s">
        <v>222</v>
      </c>
      <c r="E43" s="90" t="s">
        <v>280</v>
      </c>
      <c r="F43" s="6"/>
      <c r="G43" s="8"/>
      <c r="H43" s="92" t="s">
        <v>282</v>
      </c>
      <c r="I43" s="6"/>
      <c r="J43" s="6"/>
      <c r="K43" s="6"/>
      <c r="L43" s="8"/>
      <c r="M43" s="81" t="s">
        <v>284</v>
      </c>
      <c r="N43" s="6"/>
      <c r="O43" s="6"/>
      <c r="P43" s="6"/>
      <c r="Q43" s="6"/>
      <c r="R43" s="6"/>
      <c r="S43" s="6"/>
      <c r="T43" s="6"/>
      <c r="U43" s="6"/>
      <c r="V43" s="8"/>
    </row>
    <row r="44" ht="39.0" customHeight="1">
      <c r="A44" s="26" t="s">
        <v>35</v>
      </c>
      <c r="B44" s="79" t="s">
        <v>286</v>
      </c>
      <c r="C44" s="31" t="s">
        <v>252</v>
      </c>
      <c r="D44" s="31" t="s">
        <v>253</v>
      </c>
      <c r="E44" s="52" t="s">
        <v>287</v>
      </c>
      <c r="F44" s="6"/>
      <c r="G44" s="8"/>
      <c r="H44" s="80" t="s">
        <v>288</v>
      </c>
      <c r="I44" s="6"/>
      <c r="J44" s="6"/>
      <c r="K44" s="6"/>
      <c r="L44" s="8"/>
      <c r="M44" s="81" t="s">
        <v>290</v>
      </c>
      <c r="N44" s="6"/>
      <c r="O44" s="6"/>
      <c r="P44" s="6"/>
      <c r="Q44" s="6"/>
      <c r="R44" s="6"/>
      <c r="S44" s="6"/>
      <c r="T44" s="6"/>
      <c r="U44" s="6"/>
      <c r="V44" s="8"/>
    </row>
    <row r="45" ht="39.0" customHeight="1">
      <c r="A45" s="26" t="s">
        <v>124</v>
      </c>
      <c r="B45" s="79" t="s">
        <v>294</v>
      </c>
      <c r="C45" s="31" t="s">
        <v>252</v>
      </c>
      <c r="D45" s="31" t="s">
        <v>253</v>
      </c>
      <c r="E45" s="52" t="s">
        <v>295</v>
      </c>
      <c r="F45" s="6"/>
      <c r="G45" s="8"/>
      <c r="H45" s="80" t="s">
        <v>296</v>
      </c>
      <c r="I45" s="6"/>
      <c r="J45" s="6"/>
      <c r="K45" s="6"/>
      <c r="L45" s="8"/>
      <c r="M45" s="81" t="s">
        <v>299</v>
      </c>
      <c r="N45" s="6"/>
      <c r="O45" s="6"/>
      <c r="P45" s="6"/>
      <c r="Q45" s="6"/>
      <c r="R45" s="6"/>
      <c r="S45" s="6"/>
      <c r="T45" s="6"/>
      <c r="U45" s="6"/>
      <c r="V45" s="8"/>
    </row>
    <row r="46" ht="39.0" customHeight="1">
      <c r="A46" s="26" t="s">
        <v>302</v>
      </c>
      <c r="B46" s="79" t="s">
        <v>303</v>
      </c>
      <c r="C46" s="31" t="s">
        <v>258</v>
      </c>
      <c r="D46" s="85" t="s">
        <v>222</v>
      </c>
      <c r="E46" s="52" t="s">
        <v>304</v>
      </c>
      <c r="F46" s="6"/>
      <c r="G46" s="8"/>
      <c r="H46" s="80" t="s">
        <v>305</v>
      </c>
      <c r="I46" s="6"/>
      <c r="J46" s="6"/>
      <c r="K46" s="6"/>
      <c r="L46" s="8"/>
      <c r="M46" s="81" t="s">
        <v>306</v>
      </c>
      <c r="N46" s="6"/>
      <c r="O46" s="6"/>
      <c r="P46" s="6"/>
      <c r="Q46" s="6"/>
      <c r="R46" s="6"/>
      <c r="S46" s="6"/>
      <c r="T46" s="6"/>
      <c r="U46" s="6"/>
      <c r="V46" s="8"/>
    </row>
    <row r="47" ht="39.0" customHeight="1">
      <c r="A47" s="26" t="s">
        <v>77</v>
      </c>
      <c r="B47" s="79" t="s">
        <v>312</v>
      </c>
      <c r="C47" s="31" t="s">
        <v>313</v>
      </c>
      <c r="D47" s="31" t="s">
        <v>314</v>
      </c>
      <c r="E47" s="52" t="s">
        <v>315</v>
      </c>
      <c r="F47" s="6"/>
      <c r="G47" s="8"/>
      <c r="H47" s="80" t="s">
        <v>317</v>
      </c>
      <c r="I47" s="6"/>
      <c r="J47" s="6"/>
      <c r="K47" s="6"/>
      <c r="L47" s="8"/>
      <c r="M47" s="81" t="s">
        <v>320</v>
      </c>
      <c r="N47" s="6"/>
      <c r="O47" s="6"/>
      <c r="P47" s="6"/>
      <c r="Q47" s="6"/>
      <c r="R47" s="6"/>
      <c r="S47" s="6"/>
      <c r="T47" s="6"/>
      <c r="U47" s="6"/>
      <c r="V47" s="8"/>
    </row>
    <row r="48" ht="39.0" customHeight="1">
      <c r="A48" s="26" t="s">
        <v>325</v>
      </c>
      <c r="B48" s="79" t="s">
        <v>326</v>
      </c>
      <c r="C48" s="31" t="s">
        <v>313</v>
      </c>
      <c r="D48" s="31" t="s">
        <v>314</v>
      </c>
      <c r="E48" s="52" t="s">
        <v>329</v>
      </c>
      <c r="F48" s="6"/>
      <c r="G48" s="8"/>
      <c r="H48" s="80" t="s">
        <v>331</v>
      </c>
      <c r="I48" s="6"/>
      <c r="J48" s="6"/>
      <c r="K48" s="6"/>
      <c r="L48" s="8"/>
      <c r="M48" s="81" t="s">
        <v>332</v>
      </c>
      <c r="N48" s="6"/>
      <c r="O48" s="6"/>
      <c r="P48" s="6"/>
      <c r="Q48" s="6"/>
      <c r="R48" s="6"/>
      <c r="S48" s="6"/>
      <c r="T48" s="6"/>
      <c r="U48" s="6"/>
      <c r="V48" s="8"/>
    </row>
    <row r="49" ht="39.0" customHeight="1">
      <c r="A49" s="26" t="s">
        <v>334</v>
      </c>
      <c r="B49" s="79" t="s">
        <v>335</v>
      </c>
      <c r="C49" s="31" t="s">
        <v>268</v>
      </c>
      <c r="D49" s="31" t="s">
        <v>253</v>
      </c>
      <c r="E49" s="52" t="s">
        <v>337</v>
      </c>
      <c r="F49" s="6"/>
      <c r="G49" s="8"/>
      <c r="H49" s="80" t="s">
        <v>338</v>
      </c>
      <c r="I49" s="6"/>
      <c r="J49" s="6"/>
      <c r="K49" s="6"/>
      <c r="L49" s="8"/>
      <c r="M49" s="81" t="s">
        <v>344</v>
      </c>
      <c r="N49" s="6"/>
      <c r="O49" s="6"/>
      <c r="P49" s="6"/>
      <c r="Q49" s="6"/>
      <c r="R49" s="6"/>
      <c r="S49" s="6"/>
      <c r="T49" s="6"/>
      <c r="U49" s="6"/>
      <c r="V49" s="8"/>
    </row>
    <row r="50" ht="39.0" customHeight="1">
      <c r="A50" s="26" t="s">
        <v>116</v>
      </c>
      <c r="B50" s="79" t="s">
        <v>349</v>
      </c>
      <c r="C50" s="31" t="s">
        <v>252</v>
      </c>
      <c r="D50" s="31" t="s">
        <v>314</v>
      </c>
      <c r="E50" s="52" t="s">
        <v>350</v>
      </c>
      <c r="F50" s="6"/>
      <c r="G50" s="8"/>
      <c r="H50" s="92" t="s">
        <v>351</v>
      </c>
      <c r="I50" s="6"/>
      <c r="J50" s="6"/>
      <c r="K50" s="6"/>
      <c r="L50" s="8"/>
      <c r="M50" s="81" t="s">
        <v>352</v>
      </c>
      <c r="N50" s="6"/>
      <c r="O50" s="6"/>
      <c r="P50" s="6"/>
      <c r="Q50" s="6"/>
      <c r="R50" s="6"/>
      <c r="S50" s="6"/>
      <c r="T50" s="6"/>
      <c r="U50" s="6"/>
      <c r="V50" s="8"/>
    </row>
    <row r="51" ht="39.0" customHeight="1">
      <c r="A51" s="26" t="s">
        <v>109</v>
      </c>
      <c r="B51" s="79" t="s">
        <v>357</v>
      </c>
      <c r="C51" s="31" t="s">
        <v>258</v>
      </c>
      <c r="D51" s="31" t="s">
        <v>222</v>
      </c>
      <c r="E51" s="52" t="s">
        <v>359</v>
      </c>
      <c r="F51" s="6"/>
      <c r="G51" s="8"/>
      <c r="H51" s="80" t="s">
        <v>363</v>
      </c>
      <c r="I51" s="6"/>
      <c r="J51" s="6"/>
      <c r="K51" s="6"/>
      <c r="L51" s="8"/>
      <c r="M51" s="81" t="s">
        <v>364</v>
      </c>
      <c r="N51" s="6"/>
      <c r="O51" s="6"/>
      <c r="P51" s="6"/>
      <c r="Q51" s="6"/>
      <c r="R51" s="6"/>
      <c r="S51" s="6"/>
      <c r="T51" s="6"/>
      <c r="U51" s="6"/>
      <c r="V51" s="8"/>
    </row>
    <row r="52" ht="10.5" customHeight="1">
      <c r="A52" s="22" t="s">
        <v>21</v>
      </c>
      <c r="B52" s="22" t="s">
        <v>21</v>
      </c>
      <c r="C52" s="22" t="s">
        <v>21</v>
      </c>
      <c r="D52" s="22" t="s">
        <v>21</v>
      </c>
      <c r="E52" s="22" t="s">
        <v>21</v>
      </c>
      <c r="F52" s="22" t="s">
        <v>21</v>
      </c>
      <c r="G52" s="22" t="s">
        <v>21</v>
      </c>
      <c r="H52" s="22" t="s">
        <v>21</v>
      </c>
      <c r="I52" s="22" t="s">
        <v>21</v>
      </c>
      <c r="J52" s="22" t="s">
        <v>21</v>
      </c>
      <c r="K52" s="22" t="s">
        <v>21</v>
      </c>
      <c r="L52" s="22" t="s">
        <v>21</v>
      </c>
      <c r="M52" s="22" t="s">
        <v>21</v>
      </c>
      <c r="N52" s="22" t="s">
        <v>21</v>
      </c>
      <c r="O52" s="22" t="s">
        <v>21</v>
      </c>
      <c r="P52" s="22" t="s">
        <v>21</v>
      </c>
      <c r="Q52" s="22" t="s">
        <v>21</v>
      </c>
      <c r="R52" s="22" t="s">
        <v>21</v>
      </c>
      <c r="S52" s="22" t="s">
        <v>21</v>
      </c>
      <c r="T52" s="22" t="s">
        <v>21</v>
      </c>
      <c r="U52" s="22" t="s">
        <v>21</v>
      </c>
      <c r="V52" s="22" t="s">
        <v>21</v>
      </c>
    </row>
    <row r="53" ht="21.0" customHeight="1">
      <c r="A53" s="23" t="s">
        <v>371</v>
      </c>
    </row>
    <row r="54" ht="21.0" customHeight="1">
      <c r="A54" s="25" t="s">
        <v>373</v>
      </c>
      <c r="B54" s="6"/>
      <c r="C54" s="8"/>
      <c r="D54" s="25" t="s">
        <v>356</v>
      </c>
      <c r="E54" s="8"/>
      <c r="F54" s="25" t="s">
        <v>377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8"/>
    </row>
    <row r="55" ht="24.0" customHeight="1">
      <c r="A55" s="81" t="s">
        <v>382</v>
      </c>
      <c r="B55" s="6"/>
      <c r="C55" s="8"/>
      <c r="D55" s="126" t="s">
        <v>383</v>
      </c>
      <c r="E55" s="8"/>
      <c r="F55" s="52" t="s">
        <v>385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8"/>
    </row>
    <row r="56" ht="24.0" customHeight="1">
      <c r="A56" s="81" t="s">
        <v>387</v>
      </c>
      <c r="B56" s="6"/>
      <c r="C56" s="8"/>
      <c r="D56" s="126" t="s">
        <v>388</v>
      </c>
      <c r="E56" s="8"/>
      <c r="F56" s="52" t="s">
        <v>389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8"/>
    </row>
    <row r="57" ht="24.0" customHeight="1">
      <c r="A57" s="81" t="s">
        <v>390</v>
      </c>
      <c r="B57" s="6"/>
      <c r="C57" s="8"/>
      <c r="D57" s="126" t="s">
        <v>127</v>
      </c>
      <c r="E57" s="8"/>
      <c r="F57" s="52" t="s">
        <v>391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8"/>
    </row>
    <row r="58" ht="24.0" customHeight="1">
      <c r="A58" s="81" t="s">
        <v>393</v>
      </c>
      <c r="B58" s="6"/>
      <c r="C58" s="8"/>
      <c r="D58" s="126" t="s">
        <v>394</v>
      </c>
      <c r="E58" s="8"/>
      <c r="F58" s="52" t="s">
        <v>398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8"/>
    </row>
    <row r="59" ht="24.0" customHeight="1">
      <c r="A59" s="81" t="s">
        <v>399</v>
      </c>
      <c r="B59" s="6"/>
      <c r="C59" s="8"/>
      <c r="D59" s="136" t="s">
        <v>400</v>
      </c>
      <c r="E59" s="8"/>
      <c r="F59" s="52" t="s">
        <v>402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8"/>
    </row>
    <row r="60" ht="24.0" customHeight="1">
      <c r="A60" s="81" t="s">
        <v>403</v>
      </c>
      <c r="B60" s="6"/>
      <c r="C60" s="8"/>
      <c r="D60" s="126" t="s">
        <v>404</v>
      </c>
      <c r="E60" s="8"/>
      <c r="F60" s="52" t="s">
        <v>405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N34:V34"/>
    <mergeCell ref="N35:V35"/>
    <mergeCell ref="G31:M31"/>
    <mergeCell ref="N31:V31"/>
    <mergeCell ref="G32:M32"/>
    <mergeCell ref="N32:V32"/>
    <mergeCell ref="G33:M33"/>
    <mergeCell ref="N33:V33"/>
    <mergeCell ref="G34:M34"/>
    <mergeCell ref="A1:V1"/>
    <mergeCell ref="A2:C2"/>
    <mergeCell ref="D2:F2"/>
    <mergeCell ref="G2:J2"/>
    <mergeCell ref="K2:M2"/>
    <mergeCell ref="N2:P2"/>
    <mergeCell ref="Q2:V2"/>
    <mergeCell ref="G4:I4"/>
    <mergeCell ref="J4:L4"/>
    <mergeCell ref="A3:B3"/>
    <mergeCell ref="C3:D3"/>
    <mergeCell ref="E3:F3"/>
    <mergeCell ref="G3:I3"/>
    <mergeCell ref="J3:L3"/>
    <mergeCell ref="M3:V3"/>
    <mergeCell ref="A4:B4"/>
    <mergeCell ref="M4:V4"/>
    <mergeCell ref="A6:V6"/>
    <mergeCell ref="J7:V7"/>
    <mergeCell ref="J8:V8"/>
    <mergeCell ref="J9:V9"/>
    <mergeCell ref="J10:V10"/>
    <mergeCell ref="J11:V11"/>
    <mergeCell ref="J12:V12"/>
    <mergeCell ref="A13:B13"/>
    <mergeCell ref="J13:V13"/>
    <mergeCell ref="A15:V15"/>
    <mergeCell ref="A29:V29"/>
    <mergeCell ref="G30:M30"/>
    <mergeCell ref="N30:V30"/>
    <mergeCell ref="C4:D4"/>
    <mergeCell ref="E4:F4"/>
    <mergeCell ref="A27:C27"/>
    <mergeCell ref="E30:F30"/>
    <mergeCell ref="E31:F31"/>
    <mergeCell ref="E32:F32"/>
    <mergeCell ref="E33:F33"/>
    <mergeCell ref="E34:F34"/>
    <mergeCell ref="E35:F35"/>
    <mergeCell ref="G35:M35"/>
    <mergeCell ref="A37:V37"/>
    <mergeCell ref="E38:G38"/>
    <mergeCell ref="H38:L38"/>
    <mergeCell ref="M38:V38"/>
    <mergeCell ref="E48:G48"/>
    <mergeCell ref="H48:L48"/>
    <mergeCell ref="M48:V48"/>
    <mergeCell ref="E49:G49"/>
    <mergeCell ref="H49:L49"/>
    <mergeCell ref="M49:V49"/>
    <mergeCell ref="E50:G50"/>
    <mergeCell ref="D55:E55"/>
    <mergeCell ref="F55:V55"/>
    <mergeCell ref="H50:L50"/>
    <mergeCell ref="M50:V50"/>
    <mergeCell ref="A53:V53"/>
    <mergeCell ref="A54:C54"/>
    <mergeCell ref="D54:E54"/>
    <mergeCell ref="F54:V54"/>
    <mergeCell ref="A55:C55"/>
    <mergeCell ref="D58:E58"/>
    <mergeCell ref="F58:V58"/>
    <mergeCell ref="A59:C59"/>
    <mergeCell ref="D59:E59"/>
    <mergeCell ref="F59:V59"/>
    <mergeCell ref="A60:C60"/>
    <mergeCell ref="D60:E60"/>
    <mergeCell ref="F60:V60"/>
    <mergeCell ref="A56:C56"/>
    <mergeCell ref="D56:E56"/>
    <mergeCell ref="F56:V56"/>
    <mergeCell ref="A57:C57"/>
    <mergeCell ref="D57:E57"/>
    <mergeCell ref="F57:V57"/>
    <mergeCell ref="A58:C58"/>
    <mergeCell ref="H41:L41"/>
    <mergeCell ref="M41:V41"/>
    <mergeCell ref="E39:G39"/>
    <mergeCell ref="H39:L39"/>
    <mergeCell ref="M39:V39"/>
    <mergeCell ref="E40:G40"/>
    <mergeCell ref="H40:L40"/>
    <mergeCell ref="M40:V40"/>
    <mergeCell ref="E41:G41"/>
    <mergeCell ref="H44:L44"/>
    <mergeCell ref="M44:V44"/>
    <mergeCell ref="E42:G42"/>
    <mergeCell ref="H42:L42"/>
    <mergeCell ref="M42:V42"/>
    <mergeCell ref="E43:G43"/>
    <mergeCell ref="H43:L43"/>
    <mergeCell ref="M43:V43"/>
    <mergeCell ref="E44:G44"/>
    <mergeCell ref="H47:L47"/>
    <mergeCell ref="M47:V47"/>
    <mergeCell ref="E45:G45"/>
    <mergeCell ref="H45:L45"/>
    <mergeCell ref="M45:V45"/>
    <mergeCell ref="E46:G46"/>
    <mergeCell ref="H46:L46"/>
    <mergeCell ref="M46:V46"/>
    <mergeCell ref="E47:G47"/>
    <mergeCell ref="E51:G51"/>
    <mergeCell ref="H51:L51"/>
    <mergeCell ref="M51:V51"/>
  </mergeCells>
  <dataValidations>
    <dataValidation type="list" allowBlank="1" showErrorMessage="1" sqref="B12:D12">
      <formula1>"Все менеджеры,Иванов Дмитрий (РОП),Петров Александр (КАМ),Сидоров Роман (SDR)"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A521"/>
    <outlinePr summaryBelow="0" summaryRight="0"/>
  </sheetPr>
  <sheetViews>
    <sheetView workbookViewId="0"/>
  </sheetViews>
  <sheetFormatPr customHeight="1" defaultColWidth="12.63" defaultRowHeight="15.0"/>
  <cols>
    <col customWidth="1" min="1" max="1" width="104.0"/>
    <col customWidth="1" min="2" max="2" width="38.0"/>
    <col customWidth="1" min="3" max="3" width="59.88"/>
    <col customWidth="1" min="4" max="5" width="21.88"/>
    <col customWidth="1" min="6" max="6" width="21.63"/>
    <col customWidth="1" min="7" max="7" width="53.25"/>
    <col customWidth="1" min="8" max="8" width="40.0"/>
    <col customWidth="1" min="9" max="10" width="10.13"/>
  </cols>
  <sheetData>
    <row r="1" ht="42.0" customHeight="1">
      <c r="A1" s="2" t="s">
        <v>1</v>
      </c>
      <c r="B1" s="2"/>
      <c r="C1" s="2"/>
      <c r="D1" s="2"/>
      <c r="E1" s="2"/>
      <c r="F1" s="2"/>
      <c r="G1" s="2"/>
      <c r="H1" s="2"/>
      <c r="I1" s="5"/>
      <c r="J1" s="5"/>
    </row>
    <row r="2" ht="28.5" customHeight="1">
      <c r="A2" s="19" t="str">
        <f>HYPERLINK("https://docs.google.com/spreadsheets/d/1QnjrrbpqhYssofchee7G06szWrFvBCcOqGIVokjqdVc/edit#gid=1377308911", "📄 1. One-Pager")</f>
        <v>📄 1. One-Pager</v>
      </c>
      <c r="B2" s="19" t="str">
        <f>HYPERLINK("https://docs.google.com/spreadsheets/d/1QnjrrbpqhYssofchee7G06szWrFvBCcOqGIVokjqdVc/edit#gid=1847360667", "⚡ 2. Пульс компании")</f>
        <v>⚡ 2. Пульс компании</v>
      </c>
      <c r="C2" s="19" t="str">
        <f>HYPERLINK("https://docs.google.com/spreadsheets/d/1QnjrrbpqhYssofchee7G06szWrFvBCcOqGIVokjqdVc/edit#gid=777000301", "📋 3. Пульт РОПа")</f>
        <v>📋 3. Пульт РОПа</v>
      </c>
      <c r="D2" s="19" t="str">
        <f>HYPERLINK("https://docs.google.com/spreadsheets/d/1QnjrrbpqhYssofchee7G06szWrFvBCcOqGIVokjqdVc/edit#gid=777000101", "💸 4. 7 Грехов ОП")</f>
        <v>💸 4. 7 Грехов ОП</v>
      </c>
      <c r="E2" s="19" t="str">
        <f>HYPERLINK("https://docs.google.com/spreadsheets/d/1QnjrrbpqhYssofchee7G06szWrFvBCcOqGIVokjqdVc/edit#gid=811060921", "🎯 5. Action Center")</f>
        <v>🎯 5. Action Center</v>
      </c>
      <c r="F2" s="19" t="str">
        <f>HYPERLINK("https://docs.google.com/spreadsheets/d/1QnjrrbpqhYssofchee7G06szWrFvBCcOqGIVokjqdVc/edit#gid=852624872", "🎙️ 6. ИИ-Аудит")</f>
        <v>🎙️ 6. ИИ-Аудит</v>
      </c>
      <c r="G2" s="19" t="str">
        <f>HYPERLINK("https://docs.google.com/spreadsheets/d/1QnjrrbpqhYssofchee7G06szWrFvBCcOqGIVokjqdVc/edit#gid=777000201", "⚡ 7. Экспресс 3 цифры")</f>
        <v>⚡ 7. Экспресс 3 цифры</v>
      </c>
      <c r="H2" s="19" t="str">
        <f>HYPERLINK("https://docs.google.com/spreadsheets/d/1QnjrrbpqhYssofchee7G06szWrFvBCcOqGIVokjqdVc/edit#gid=60692888", "🧪 8. QA Suite")</f>
        <v>🧪 8. QA Suite</v>
      </c>
      <c r="I2" s="14" t="str">
        <f>HYPERLINK("https://docs.google.com/spreadsheets/d/1QnjrrbpqhYssofchee7G06szWrFvBCcOqGIVokjqdVc/edit#gid=985355776", "⚙️ 9. Настройки")</f>
        <v>⚙️ 9. Настройки</v>
      </c>
    </row>
    <row r="3" ht="12.0" customHeight="1"/>
    <row r="4" ht="22.5" customHeight="1">
      <c r="A4" s="22" t="s">
        <v>171</v>
      </c>
      <c r="B4" s="22" t="s">
        <v>172</v>
      </c>
      <c r="C4" s="22" t="s">
        <v>173</v>
      </c>
      <c r="D4" s="22" t="s">
        <v>174</v>
      </c>
      <c r="E4" s="22" t="s">
        <v>175</v>
      </c>
      <c r="F4" s="22" t="s">
        <v>176</v>
      </c>
    </row>
    <row r="5" ht="40.5" customHeight="1">
      <c r="A5" s="45">
        <f>calc_engine!B19</f>
        <v>1650000</v>
      </c>
      <c r="B5" s="48">
        <f>calc_engine!B18</f>
        <v>2754000</v>
      </c>
      <c r="C5" s="48">
        <f>E16</f>
        <v>7001000</v>
      </c>
      <c r="D5" s="53">
        <f>A5 + E16</f>
        <v>8651000</v>
      </c>
      <c r="E5" s="22" t="str">
        <f>B23</f>
        <v>367%</v>
      </c>
      <c r="F5" s="22" t="str">
        <f>B24</f>
        <v>6 дн.</v>
      </c>
    </row>
    <row r="6" ht="12.0" customHeight="1"/>
    <row r="7" ht="25.5" customHeight="1">
      <c r="A7" s="22" t="s">
        <v>190</v>
      </c>
    </row>
    <row r="8" ht="30.0" customHeight="1">
      <c r="A8" s="57" t="s">
        <v>23</v>
      </c>
      <c r="B8" s="58" t="s">
        <v>194</v>
      </c>
      <c r="C8" s="58" t="s">
        <v>196</v>
      </c>
      <c r="D8" s="58" t="s">
        <v>197</v>
      </c>
      <c r="E8" s="58" t="s">
        <v>198</v>
      </c>
      <c r="F8" s="58" t="s">
        <v>200</v>
      </c>
      <c r="G8" s="58" t="s">
        <v>201</v>
      </c>
      <c r="H8" s="61" t="s">
        <v>203</v>
      </c>
    </row>
    <row r="9" ht="43.5" customHeight="1">
      <c r="A9" s="63">
        <v>1.0</v>
      </c>
      <c r="B9" s="65" t="s">
        <v>208</v>
      </c>
      <c r="C9" s="65" t="s">
        <v>211</v>
      </c>
      <c r="D9" s="67">
        <f>calc_engine!B17</f>
        <v>5530000</v>
      </c>
      <c r="E9" s="67">
        <f>calc_engine!B17 - calc_engine!B18</f>
        <v>2776000</v>
      </c>
      <c r="F9" s="65" t="s">
        <v>222</v>
      </c>
      <c r="G9" s="65" t="s">
        <v>224</v>
      </c>
      <c r="H9" s="65" t="s">
        <v>225</v>
      </c>
    </row>
    <row r="10" ht="36.0" customHeight="1">
      <c r="A10" s="69">
        <v>2.0</v>
      </c>
      <c r="B10" s="70" t="s">
        <v>227</v>
      </c>
      <c r="C10" s="70" t="s">
        <v>228</v>
      </c>
      <c r="D10" s="73">
        <f>calc_engine!C5</f>
        <v>3850000</v>
      </c>
      <c r="E10" s="73">
        <f>ROUND(D10 * 0.45, 0)</f>
        <v>1732500</v>
      </c>
      <c r="F10" s="70" t="s">
        <v>222</v>
      </c>
      <c r="G10" s="70" t="s">
        <v>241</v>
      </c>
      <c r="H10" s="70" t="str">
        <f>"+45% к конверсии этапа КП в оплату"</f>
        <v>+45% к конверсии этапа КП в оплату</v>
      </c>
    </row>
    <row r="11" ht="36.0" customHeight="1">
      <c r="A11" s="63">
        <v>3.0</v>
      </c>
      <c r="B11" s="65" t="s">
        <v>247</v>
      </c>
      <c r="C11" s="65" t="s">
        <v>248</v>
      </c>
      <c r="D11" s="67">
        <f>SUMIFS(raw_deals!$C$2:$C1000, raw_deals!$H$2:$H1000, 101, raw_deals!$D$2:$D1000, "&lt;=5")</f>
        <v>850000</v>
      </c>
      <c r="E11" s="67">
        <f>ROUND(D11 * 0.3, 0)</f>
        <v>255000</v>
      </c>
      <c r="F11" s="65" t="s">
        <v>222</v>
      </c>
      <c r="G11" s="65" t="s">
        <v>260</v>
      </c>
      <c r="H11" s="65" t="s">
        <v>261</v>
      </c>
    </row>
    <row r="12" ht="36.0" customHeight="1">
      <c r="A12" s="69">
        <v>4.0</v>
      </c>
      <c r="B12" s="70" t="s">
        <v>263</v>
      </c>
      <c r="C12" s="70" t="s">
        <v>264</v>
      </c>
      <c r="D12" s="73">
        <f>calc_engine!B17</f>
        <v>5530000</v>
      </c>
      <c r="E12" s="73">
        <f>ROUND(D12 * 0.25, 0)</f>
        <v>1382500</v>
      </c>
      <c r="F12" s="70" t="s">
        <v>222</v>
      </c>
      <c r="G12" s="70" t="s">
        <v>277</v>
      </c>
      <c r="H12" s="70" t="str">
        <f>"+30% к конверсии из первого звонка во встречу"</f>
        <v>+30% к конверсии из первого звонка во встречу</v>
      </c>
    </row>
    <row r="13" ht="36.0" customHeight="1">
      <c r="A13" s="63">
        <v>5.0</v>
      </c>
      <c r="B13" s="65" t="s">
        <v>283</v>
      </c>
      <c r="C13" s="65" t="s">
        <v>285</v>
      </c>
      <c r="D13" s="67">
        <f>SUM(calc_engine!D52:D55)</f>
        <v>1000000</v>
      </c>
      <c r="E13" s="67">
        <f>calc_engine!D56</f>
        <v>440000</v>
      </c>
      <c r="F13" s="65" t="s">
        <v>253</v>
      </c>
      <c r="G13" s="65" t="s">
        <v>291</v>
      </c>
      <c r="H13" s="65" t="s">
        <v>293</v>
      </c>
    </row>
    <row r="14" ht="36.0" customHeight="1">
      <c r="A14" s="96">
        <v>6.0</v>
      </c>
      <c r="B14" s="99" t="s">
        <v>298</v>
      </c>
      <c r="C14" s="99" t="s">
        <v>301</v>
      </c>
      <c r="D14" s="73">
        <f>calc_engine!B146</f>
        <v>330000</v>
      </c>
      <c r="E14" s="73">
        <f t="shared" ref="E14:E15" si="1">D14</f>
        <v>330000</v>
      </c>
      <c r="F14" s="99" t="s">
        <v>253</v>
      </c>
      <c r="G14" s="99" t="s">
        <v>307</v>
      </c>
      <c r="H14" s="70" t="s">
        <v>308</v>
      </c>
    </row>
    <row r="15" ht="36.0" customHeight="1">
      <c r="A15" s="63">
        <v>7.0</v>
      </c>
      <c r="B15" s="65" t="s">
        <v>309</v>
      </c>
      <c r="C15" s="65" t="s">
        <v>310</v>
      </c>
      <c r="D15" s="67">
        <f>SUMIF(raw_marketing!$B$2:$B1000, "Google Ads", raw_marketing!$E$2:$E1000)</f>
        <v>85000</v>
      </c>
      <c r="E15" s="67">
        <f t="shared" si="1"/>
        <v>85000</v>
      </c>
      <c r="F15" s="65" t="s">
        <v>253</v>
      </c>
      <c r="G15" s="65" t="s">
        <v>321</v>
      </c>
      <c r="H15" s="65" t="s">
        <v>322</v>
      </c>
    </row>
    <row r="16" ht="31.5" customHeight="1">
      <c r="A16" s="104"/>
      <c r="B16" s="106" t="s">
        <v>330</v>
      </c>
      <c r="C16" s="106"/>
      <c r="D16" s="109">
        <f t="shared" ref="D16:E16" si="2">SUM(D9:D15)</f>
        <v>17175000</v>
      </c>
      <c r="E16" s="109">
        <f t="shared" si="2"/>
        <v>7001000</v>
      </c>
      <c r="F16" s="106" t="s">
        <v>340</v>
      </c>
      <c r="G16" s="106" t="s">
        <v>341</v>
      </c>
      <c r="H16" s="106" t="s">
        <v>342</v>
      </c>
    </row>
    <row r="17" ht="12.0" customHeight="1"/>
    <row r="18" ht="30.0" customHeight="1">
      <c r="A18" s="112" t="s">
        <v>348</v>
      </c>
      <c r="B18" s="114"/>
      <c r="C18" s="112"/>
      <c r="D18" s="115"/>
      <c r="E18" s="115"/>
    </row>
    <row r="19" ht="25.5" customHeight="1">
      <c r="A19" s="117" t="s">
        <v>353</v>
      </c>
      <c r="B19" s="118" t="s">
        <v>356</v>
      </c>
      <c r="C19" s="117" t="s">
        <v>358</v>
      </c>
    </row>
    <row r="20" ht="25.5" customHeight="1">
      <c r="A20" s="117" t="s">
        <v>360</v>
      </c>
      <c r="B20" s="118">
        <v>450000.0</v>
      </c>
      <c r="C20" s="117" t="s">
        <v>361</v>
      </c>
    </row>
    <row r="21" ht="25.5" customHeight="1">
      <c r="A21" s="117" t="s">
        <v>362</v>
      </c>
      <c r="B21" s="121">
        <f>ROUND(E16 * 0.3, 0)</f>
        <v>2100300</v>
      </c>
      <c r="C21" s="117" t="s">
        <v>366</v>
      </c>
    </row>
    <row r="22" ht="25.5" customHeight="1">
      <c r="A22" s="117" t="s">
        <v>367</v>
      </c>
      <c r="B22" s="121">
        <f>B21 - B20</f>
        <v>1650300</v>
      </c>
      <c r="C22" s="117" t="s">
        <v>369</v>
      </c>
    </row>
    <row r="23" ht="25.5" customHeight="1">
      <c r="A23" s="117" t="s">
        <v>372</v>
      </c>
      <c r="B23" s="117" t="str">
        <f>ROUND((B21 - B20) / B20 * 100, 0) &amp; "%"</f>
        <v>367%</v>
      </c>
      <c r="C23" s="117" t="s">
        <v>379</v>
      </c>
    </row>
    <row r="24" ht="25.5" customHeight="1">
      <c r="A24" s="117" t="s">
        <v>380</v>
      </c>
      <c r="B24" s="117" t="str">
        <f>ROUND(B20 / (B21 / 30), 0) &amp; " дн."</f>
        <v>6 дн.</v>
      </c>
      <c r="C24" s="117" t="s">
        <v>384</v>
      </c>
    </row>
    <row r="25" ht="21.0" customHeight="1"/>
    <row r="26" ht="39.0" customHeight="1">
      <c r="A26" s="128" t="s">
        <v>386</v>
      </c>
      <c r="B26" s="128"/>
      <c r="C26" s="128"/>
      <c r="D26" s="128"/>
      <c r="E26" s="128"/>
    </row>
    <row r="27" ht="22.5" customHeight="1">
      <c r="A27" s="131" t="str">
        <f>HYPERLINK("#'⚡ Экспресс_Калькулятор_3_Цифры'!A1", "Не готовы к спринту? 👉 Бесплатный тест-драйв на 3 звонках в Экспресс-Калькуляторе")</f>
        <v>Не готовы к спринту? 👉 Бесплатный тест-драйв на 3 звонках в Экспресс-Калькуляторе</v>
      </c>
      <c r="B27" s="133"/>
      <c r="C27" s="133"/>
      <c r="D27" s="133"/>
      <c r="E27" s="133"/>
    </row>
    <row r="28" ht="15.75" customHeight="1">
      <c r="A28" s="22" t="s">
        <v>396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7.0"/>
    <col customWidth="1" min="2" max="2" width="17.13"/>
    <col customWidth="1" min="3" max="3" width="23.13"/>
    <col customWidth="1" min="4" max="4" width="20.38"/>
    <col customWidth="1" min="5" max="5" width="23.5"/>
    <col customWidth="1" min="6" max="6" width="61.88"/>
    <col customWidth="1" min="7" max="7" width="24.13"/>
    <col customWidth="1" min="8" max="8" width="13.38"/>
    <col customWidth="1" min="9" max="9" width="42.5"/>
  </cols>
  <sheetData>
    <row r="1" ht="42.0" customHeight="1">
      <c r="A1" s="2" t="s">
        <v>440</v>
      </c>
      <c r="B1" s="2"/>
      <c r="C1" s="2"/>
      <c r="D1" s="2"/>
      <c r="E1" s="2"/>
      <c r="F1" s="2"/>
      <c r="G1" s="2"/>
      <c r="H1" s="2"/>
      <c r="I1" s="2"/>
      <c r="J1" s="2"/>
    </row>
    <row r="2" ht="28.5" customHeight="1">
      <c r="A2" s="19" t="str">
        <f>HYPERLINK("https://docs.google.com/spreadsheets/d/1QnjrrbpqhYssofchee7G06szWrFvBCcOqGIVokjqdVc/edit#gid=1377308911", "📄 1. One-Pager")</f>
        <v>📄 1. One-Pager</v>
      </c>
      <c r="B2" s="19" t="str">
        <f>HYPERLINK("https://docs.google.com/spreadsheets/d/1QnjrrbpqhYssofchee7G06szWrFvBCcOqGIVokjqdVc/edit#gid=1847360667", "⚡ 2. Пульс компании")</f>
        <v>⚡ 2. Пульс компании</v>
      </c>
      <c r="C2" s="19" t="str">
        <f>HYPERLINK("https://docs.google.com/spreadsheets/d/1QnjrrbpqhYssofchee7G06szWrFvBCcOqGIVokjqdVc/edit#gid=777000301", "📋 3. Пульт РОПа")</f>
        <v>📋 3. Пульт РОПа</v>
      </c>
      <c r="D2" s="19" t="str">
        <f>HYPERLINK("https://docs.google.com/spreadsheets/d/1QnjrrbpqhYssofchee7G06szWrFvBCcOqGIVokjqdVc/edit#gid=777000101", "💸 4. 7 Грехов ОП")</f>
        <v>💸 4. 7 Грехов ОП</v>
      </c>
      <c r="E2" s="19" t="str">
        <f>HYPERLINK("https://docs.google.com/spreadsheets/d/1QnjrrbpqhYssofchee7G06szWrFvBCcOqGIVokjqdVc/edit#gid=811060921", "🎯 5. Action Center")</f>
        <v>🎯 5. Action Center</v>
      </c>
      <c r="F2" s="19" t="str">
        <f>HYPERLINK("https://docs.google.com/spreadsheets/d/1QnjrrbpqhYssofchee7G06szWrFvBCcOqGIVokjqdVc/edit#gid=852624872", "🎙️ 6. ИИ-Аудит")</f>
        <v>🎙️ 6. ИИ-Аудит</v>
      </c>
      <c r="G2" s="19" t="str">
        <f>HYPERLINK("https://docs.google.com/spreadsheets/d/1QnjrrbpqhYssofchee7G06szWrFvBCcOqGIVokjqdVc/edit#gid=777000201", "⚡ 7. Экспресс 3 цифры")</f>
        <v>⚡ 7. Экспресс 3 цифры</v>
      </c>
      <c r="H2" s="19" t="str">
        <f>HYPERLINK("https://docs.google.com/spreadsheets/d/1QnjrrbpqhYssofchee7G06szWrFvBCcOqGIVokjqdVc/edit#gid=60692888", "🧪 8. QA Suite")</f>
        <v>🧪 8. QA Suite</v>
      </c>
      <c r="I2" s="19" t="str">
        <f>HYPERLINK("https://docs.google.com/spreadsheets/d/1QnjrrbpqhYssofchee7G06szWrFvBCcOqGIVokjqdVc/edit#gid=985355776", "⚙️ 9. Настройки")</f>
        <v>⚙️ 9. Настройки</v>
      </c>
      <c r="J2" s="172"/>
    </row>
    <row r="3" ht="15.75" customHeight="1"/>
    <row r="4" ht="22.5" customHeight="1">
      <c r="A4" s="173" t="s">
        <v>563</v>
      </c>
      <c r="B4" s="173" t="s">
        <v>574</v>
      </c>
      <c r="C4" s="173" t="s">
        <v>576</v>
      </c>
      <c r="D4" s="173" t="s">
        <v>577</v>
      </c>
      <c r="E4" s="173" t="s">
        <v>578</v>
      </c>
      <c r="F4" s="173" t="s">
        <v>579</v>
      </c>
      <c r="G4" s="174" t="s">
        <v>580</v>
      </c>
      <c r="H4" s="174" t="s">
        <v>581</v>
      </c>
    </row>
    <row r="5" ht="40.5" customHeight="1">
      <c r="A5" s="175">
        <f>calc_engine!B19</f>
        <v>1650000</v>
      </c>
      <c r="B5" s="176">
        <f>calc_engine!B20</f>
        <v>0.33</v>
      </c>
      <c r="C5" s="177">
        <f>calc_engine!B18</f>
        <v>2754000</v>
      </c>
      <c r="D5" s="177">
        <f>calc_engine!B29</f>
        <v>1706896.552</v>
      </c>
      <c r="E5" s="178">
        <f>calc_engine!B17</f>
        <v>5530000</v>
      </c>
      <c r="F5" s="180">
        <f>COUNTIF('🎯 Action_Center'!$E$2:$E$50, "*P0*")</f>
        <v>4</v>
      </c>
      <c r="G5" s="181">
        <f>AVERAGE(raw_calls!$T$2:$T$1000)/13</f>
        <v>0.7307692308</v>
      </c>
      <c r="H5" s="181">
        <f>'📊 Data_Quality'!$C$8</f>
        <v>1</v>
      </c>
    </row>
    <row r="6" ht="15.75" customHeight="1"/>
    <row r="7" ht="30.0" customHeight="1">
      <c r="A7" s="39" t="s">
        <v>610</v>
      </c>
      <c r="B7" s="39"/>
      <c r="C7" s="39"/>
      <c r="D7" s="39"/>
      <c r="F7" s="105" t="s">
        <v>611</v>
      </c>
      <c r="G7" s="105"/>
      <c r="H7" s="105"/>
      <c r="I7" s="105"/>
    </row>
    <row r="8" ht="15.75" customHeight="1">
      <c r="A8" s="186" t="s">
        <v>613</v>
      </c>
      <c r="B8" s="186" t="s">
        <v>617</v>
      </c>
      <c r="C8" s="186" t="s">
        <v>149</v>
      </c>
      <c r="D8" s="186" t="s">
        <v>545</v>
      </c>
      <c r="E8" s="186"/>
      <c r="F8" s="186" t="s">
        <v>82</v>
      </c>
      <c r="G8" s="186" t="s">
        <v>620</v>
      </c>
      <c r="H8" s="186" t="s">
        <v>102</v>
      </c>
      <c r="I8" s="186" t="s">
        <v>622</v>
      </c>
    </row>
    <row r="9" ht="24.0" customHeight="1">
      <c r="A9" s="22" t="s">
        <v>550</v>
      </c>
      <c r="B9" s="189">
        <f>'⚡ Пульс_Компании'!B10</f>
        <v>1</v>
      </c>
      <c r="C9" s="151">
        <f>'⚡ Пульс_Компании'!C10</f>
        <v>950000</v>
      </c>
      <c r="D9" s="22">
        <v>24.0</v>
      </c>
      <c r="F9" s="191" t="s">
        <v>636</v>
      </c>
      <c r="G9" s="22" t="str">
        <f>'🎯 Action_Center'!B2</f>
        <v>КП без ответа &gt; 48ч</v>
      </c>
      <c r="H9" s="22">
        <f>'🎯 Action_Center'!D2</f>
        <v>850000</v>
      </c>
      <c r="I9" s="22" t="str">
        <f>'🎯 Action_Center'!F2</f>
        <v>Повторный контакт с ЛПР + звонок РОПа</v>
      </c>
    </row>
    <row r="10" ht="24.0" customHeight="1">
      <c r="A10" s="22" t="s">
        <v>554</v>
      </c>
      <c r="B10" s="189">
        <f>'⚡ Пульс_Компании'!B11</f>
        <v>1</v>
      </c>
      <c r="C10" s="151">
        <f>'⚡ Пульс_Компании'!C11</f>
        <v>120000</v>
      </c>
      <c r="D10" s="22">
        <v>48.0</v>
      </c>
      <c r="F10" s="191" t="s">
        <v>658</v>
      </c>
      <c r="G10" s="22" t="str">
        <f>'🎯 Action_Center'!B3</f>
        <v>Просрочен счёт</v>
      </c>
      <c r="H10" s="22">
        <f>'🎯 Action_Center'!D3</f>
        <v>150000</v>
      </c>
      <c r="I10" s="22" t="str">
        <f>'🎯 Action_Center'!F3</f>
        <v>Дожим счета через AI-бота + автозвонок РОПа</v>
      </c>
    </row>
    <row r="11" ht="24.0" customHeight="1">
      <c r="A11" s="22" t="s">
        <v>557</v>
      </c>
      <c r="B11" s="189">
        <f>'⚡ Пульс_Компании'!B12</f>
        <v>1</v>
      </c>
      <c r="C11" s="151">
        <f>'⚡ Пульс_Компании'!C12</f>
        <v>280000</v>
      </c>
      <c r="D11" s="22">
        <v>120.0</v>
      </c>
      <c r="F11" s="191" t="s">
        <v>669</v>
      </c>
      <c r="G11" s="22" t="str">
        <f>'🎯 Action_Center'!B4</f>
        <v>Критический брак речи</v>
      </c>
      <c r="H11" s="22">
        <f>'🎯 Action_Center'!D4</f>
        <v>120000</v>
      </c>
      <c r="I11" s="22" t="str">
        <f>'🎯 Action_Center'!F4</f>
        <v>Прослушать звонок C-504, отработать возражения</v>
      </c>
    </row>
    <row r="12" ht="24.0" customHeight="1">
      <c r="A12" s="22" t="s">
        <v>561</v>
      </c>
      <c r="B12" s="189">
        <f>'⚡ Пульс_Компании'!B13</f>
        <v>2</v>
      </c>
      <c r="C12" s="151">
        <f>'⚡ Пульс_Компании'!C13</f>
        <v>3850000</v>
      </c>
      <c r="D12" s="22">
        <v>48.0</v>
      </c>
      <c r="F12" s="191" t="s">
        <v>677</v>
      </c>
      <c r="G12" s="22" t="str">
        <f>'🎯 Action_Center'!B5</f>
        <v>Зависание на этапе счета</v>
      </c>
      <c r="H12" s="22">
        <f>'🎯 Action_Center'!D5</f>
        <v>180000</v>
      </c>
      <c r="I12" s="22" t="str">
        <f>'🎯 Action_Center'!F5</f>
        <v>Эскалация РОПу, согласование спец-условий</v>
      </c>
    </row>
    <row r="13" ht="24.0" customHeight="1">
      <c r="A13" s="22" t="s">
        <v>567</v>
      </c>
      <c r="B13" s="189">
        <f>'⚡ Пульс_Компании'!B14</f>
        <v>2</v>
      </c>
      <c r="C13" s="151">
        <f>'⚡ Пульс_Компании'!C14</f>
        <v>330000</v>
      </c>
      <c r="D13" s="22">
        <v>72.0</v>
      </c>
      <c r="F13" s="191" t="s">
        <v>689</v>
      </c>
      <c r="G13" s="22" t="str">
        <f>'🎯 Action_Center'!B6</f>
        <v>Крупная сделка без движения</v>
      </c>
      <c r="H13" s="22">
        <f>'🎯 Action_Center'!D6</f>
        <v>3000000</v>
      </c>
      <c r="I13" s="22" t="str">
        <f>'🎯 Action_Center'!F6</f>
        <v>Подключение генерального директора к переговорам</v>
      </c>
    </row>
    <row r="14" ht="24.0" customHeight="1">
      <c r="A14" s="22" t="s">
        <v>532</v>
      </c>
      <c r="B14" s="189">
        <f>'⚡ Пульс_Компании'!B15</f>
        <v>2</v>
      </c>
      <c r="C14" s="151">
        <f>'⚡ Пульс_Компании'!C15</f>
        <v>1650000</v>
      </c>
      <c r="D14" s="22">
        <v>0.0</v>
      </c>
    </row>
    <row r="15" ht="15.75" customHeight="1"/>
    <row r="16" ht="34.5" customHeight="1">
      <c r="A16" s="197" t="s">
        <v>696</v>
      </c>
      <c r="B16" s="197"/>
      <c r="C16" s="197"/>
      <c r="D16" s="197"/>
      <c r="E16" s="197"/>
      <c r="F16" s="197"/>
      <c r="G16" s="197"/>
      <c r="H16" s="197"/>
      <c r="I16" s="19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D-104" location="'🎯 Action_Center'!A1" ref="F9"/>
    <hyperlink display="D-103" location="'🎯 Action_Center'!A1" ref="F10"/>
    <hyperlink display="D-109" location="'🎯 Action_Center'!A1" ref="F11"/>
    <hyperlink display="D-106" location="'🎯 Action_Center'!A1" ref="F12"/>
    <hyperlink display="D-107" location="'🎯 Action_Center'!A1" ref="F13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27272"/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7.63"/>
    <col customWidth="1" min="3" max="3" width="27.63"/>
    <col customWidth="1" min="4" max="4" width="36.38"/>
    <col customWidth="1" min="5" max="5" width="31.38"/>
    <col customWidth="1" min="6" max="6" width="36.38"/>
    <col customWidth="1" min="7" max="7" width="23.88"/>
    <col customWidth="1" min="8" max="8" width="32.63"/>
    <col customWidth="1" min="10" max="10" width="25.13"/>
    <col customWidth="1" min="11" max="11" width="15.13"/>
    <col customWidth="1" min="12" max="12" width="27.63"/>
  </cols>
  <sheetData>
    <row r="1" ht="31.5" customHeight="1">
      <c r="A1" s="144" t="s">
        <v>431</v>
      </c>
      <c r="F1" s="144"/>
      <c r="G1" s="145"/>
      <c r="H1" s="145"/>
      <c r="I1" s="145"/>
      <c r="J1" s="145"/>
    </row>
    <row r="2" ht="22.5" customHeight="1">
      <c r="A2" s="146" t="str">
        <f>HYPERLINK("https://docs.google.com/spreadsheets/d/1QnjrrbpqhYssofchee7G06szWrFvBCcOqGIVokjqdVc/edit#gid=1377308911", "📄 1. One-Pager")</f>
        <v>📄 1. One-Pager</v>
      </c>
      <c r="B2" s="146" t="str">
        <f>HYPERLINK("https://docs.google.com/spreadsheets/d/1QnjrrbpqhYssofchee7G06szWrFvBCcOqGIVokjqdVc/edit#gid=1847360667", "⚡ 2. Пульс компании")</f>
        <v>⚡ 2. Пульс компании</v>
      </c>
      <c r="C2" s="146" t="str">
        <f>HYPERLINK("https://docs.google.com/spreadsheets/d/1QnjrrbpqhYssofchee7G06szWrFvBCcOqGIVokjqdVc/edit#gid=777000301", "📋 3. Пульт РОПа")</f>
        <v>📋 3. Пульт РОПа</v>
      </c>
      <c r="D2" s="146" t="str">
        <f>HYPERLINK("https://docs.google.com/spreadsheets/d/1QnjrrbpqhYssofchee7G06szWrFvBCcOqGIVokjqdVc/edit#gid=777000101", "💸 4. 7 Грехов ОП")</f>
        <v>💸 4. 7 Грехов ОП</v>
      </c>
      <c r="E2" s="146" t="str">
        <f>HYPERLINK("https://docs.google.com/spreadsheets/d/1QnjrrbpqhYssofchee7G06szWrFvBCcOqGIVokjqdVc/edit#gid=811060921", "🎯 5. Action Center")</f>
        <v>🎯 5. Action Center</v>
      </c>
      <c r="F2" s="146" t="str">
        <f>HYPERLINK("https://docs.google.com/spreadsheets/d/1QnjrrbpqhYssofchee7G06szWrFvBCcOqGIVokjqdVc/edit#gid=852624872", "🎙️ 6. ИИ-Аудит")</f>
        <v>🎙️ 6. ИИ-Аудит</v>
      </c>
      <c r="G2" s="146" t="str">
        <f>HYPERLINK("https://docs.google.com/spreadsheets/d/1QnjrrbpqhYssofchee7G06szWrFvBCcOqGIVokjqdVc/edit#gid=777000201", "⚡ 7. Экспресс 3 цифры")</f>
        <v>⚡ 7. Экспресс 3 цифры</v>
      </c>
      <c r="H2" s="146" t="str">
        <f>HYPERLINK("https://docs.google.com/spreadsheets/d/1QnjrrbpqhYssofchee7G06szWrFvBCcOqGIVokjqdVc/edit#gid=60692888", "🧪 8. QA Suite")</f>
        <v>🧪 8. QA Suite</v>
      </c>
      <c r="I2" s="146" t="str">
        <f>HYPERLINK("https://docs.google.com/spreadsheets/d/1QnjrrbpqhYssofchee7G06szWrFvBCcOqGIVokjqdVc/edit#gid=985355776", "⚙️ 9. Настройки")</f>
        <v>⚙️ 9. Настройки</v>
      </c>
      <c r="J2" s="38"/>
    </row>
    <row r="3" ht="22.5" customHeight="1">
      <c r="A3" s="150" t="s">
        <v>456</v>
      </c>
      <c r="B3" s="38" t="s">
        <v>457</v>
      </c>
      <c r="C3" s="38"/>
      <c r="D3" s="38" t="s">
        <v>458</v>
      </c>
      <c r="E3" s="38" t="s">
        <v>459</v>
      </c>
      <c r="F3" s="38" t="s">
        <v>460</v>
      </c>
      <c r="G3" s="38"/>
      <c r="H3" s="38"/>
      <c r="I3" s="38"/>
      <c r="J3" s="38"/>
    </row>
    <row r="4" ht="22.5" customHeight="1">
      <c r="A4" s="150" t="s">
        <v>461</v>
      </c>
      <c r="B4" s="38" t="s">
        <v>462</v>
      </c>
      <c r="C4" s="38"/>
      <c r="D4" s="38" t="s">
        <v>463</v>
      </c>
      <c r="E4" s="38" t="s">
        <v>464</v>
      </c>
      <c r="F4" s="38" t="s">
        <v>465</v>
      </c>
      <c r="G4" s="38"/>
      <c r="H4" s="38"/>
      <c r="I4" s="38"/>
      <c r="J4" s="38"/>
    </row>
    <row r="5" ht="22.5" customHeight="1">
      <c r="A5" s="150" t="s">
        <v>466</v>
      </c>
      <c r="B5" s="38" t="s">
        <v>467</v>
      </c>
      <c r="C5" s="152" t="s">
        <v>468</v>
      </c>
      <c r="D5" s="38" t="s">
        <v>469</v>
      </c>
      <c r="E5" s="38" t="s">
        <v>470</v>
      </c>
      <c r="F5" s="38" t="s">
        <v>471</v>
      </c>
      <c r="G5" s="38"/>
      <c r="H5" s="38"/>
      <c r="I5" s="38"/>
      <c r="J5" s="38"/>
    </row>
    <row r="6" ht="22.5" customHeight="1">
      <c r="A6" s="150" t="s">
        <v>472</v>
      </c>
      <c r="B6" s="153" t="s">
        <v>473</v>
      </c>
      <c r="C6" s="154" t="s">
        <v>474</v>
      </c>
      <c r="D6" s="38"/>
      <c r="E6" s="38"/>
      <c r="F6" s="38"/>
      <c r="G6" s="38"/>
      <c r="H6" s="38"/>
      <c r="I6" s="38"/>
      <c r="J6" s="38"/>
    </row>
    <row r="7" ht="22.5" customHeight="1">
      <c r="A7" s="150" t="s">
        <v>475</v>
      </c>
      <c r="B7" s="153" t="s">
        <v>476</v>
      </c>
      <c r="C7" s="155" t="s">
        <v>477</v>
      </c>
      <c r="D7" s="38"/>
      <c r="E7" s="38"/>
      <c r="F7" s="38"/>
      <c r="G7" s="38"/>
      <c r="H7" s="38"/>
      <c r="I7" s="38"/>
      <c r="J7" s="38"/>
    </row>
    <row r="8" ht="22.5" customHeight="1">
      <c r="A8" s="150" t="s">
        <v>478</v>
      </c>
      <c r="B8" s="153" t="s">
        <v>473</v>
      </c>
      <c r="C8" s="38"/>
      <c r="D8" s="38"/>
      <c r="E8" s="38"/>
      <c r="F8" s="38"/>
      <c r="G8" s="38"/>
      <c r="H8" s="38"/>
      <c r="I8" s="38"/>
      <c r="J8" s="156" t="s">
        <v>479</v>
      </c>
    </row>
    <row r="9" ht="25.5" customHeight="1">
      <c r="A9" s="157" t="s">
        <v>480</v>
      </c>
      <c r="B9" s="158">
        <v>5000000.0</v>
      </c>
      <c r="C9" s="138" t="s">
        <v>481</v>
      </c>
      <c r="D9" s="138" t="s">
        <v>483</v>
      </c>
      <c r="E9" s="138" t="s">
        <v>484</v>
      </c>
      <c r="F9" s="138" t="s">
        <v>485</v>
      </c>
      <c r="G9" s="159" t="s">
        <v>486</v>
      </c>
      <c r="H9" s="160" t="s">
        <v>490</v>
      </c>
      <c r="I9" s="38"/>
      <c r="J9" s="161" t="s">
        <v>491</v>
      </c>
      <c r="K9" s="161" t="s">
        <v>492</v>
      </c>
      <c r="L9" s="161" t="s">
        <v>493</v>
      </c>
    </row>
    <row r="10" ht="30.0" customHeight="1">
      <c r="A10" s="163" t="s">
        <v>494</v>
      </c>
      <c r="B10" s="164" t="s">
        <v>516</v>
      </c>
      <c r="C10" s="163" t="s">
        <v>520</v>
      </c>
      <c r="D10" s="165" t="s">
        <v>528</v>
      </c>
      <c r="E10" s="163" t="s">
        <v>529</v>
      </c>
      <c r="F10" s="166" t="s">
        <v>531</v>
      </c>
      <c r="G10" s="167" t="s">
        <v>533</v>
      </c>
      <c r="H10" s="168" t="s">
        <v>534</v>
      </c>
      <c r="I10" s="38"/>
      <c r="J10" s="169" t="s">
        <v>538</v>
      </c>
      <c r="K10" s="169" t="s">
        <v>516</v>
      </c>
      <c r="L10" s="169" t="s">
        <v>542</v>
      </c>
    </row>
    <row r="11" ht="25.5" customHeight="1">
      <c r="A11" s="108" t="s">
        <v>543</v>
      </c>
      <c r="B11" s="108" t="s">
        <v>544</v>
      </c>
      <c r="C11" s="108" t="s">
        <v>545</v>
      </c>
      <c r="D11" s="108" t="s">
        <v>546</v>
      </c>
      <c r="E11" s="38"/>
      <c r="F11" s="38"/>
      <c r="G11" s="38"/>
      <c r="H11" s="38"/>
      <c r="I11" s="38"/>
      <c r="J11" s="169" t="s">
        <v>547</v>
      </c>
      <c r="K11" s="169" t="s">
        <v>548</v>
      </c>
      <c r="L11" s="169" t="s">
        <v>549</v>
      </c>
    </row>
    <row r="12" ht="21.0" customHeight="1">
      <c r="A12" s="38">
        <v>1.0</v>
      </c>
      <c r="B12" s="38" t="s">
        <v>550</v>
      </c>
      <c r="C12" s="38">
        <v>24.0</v>
      </c>
      <c r="D12" s="171">
        <v>0.05</v>
      </c>
      <c r="E12" s="38"/>
      <c r="F12" s="38"/>
      <c r="G12" s="38"/>
      <c r="H12" s="38"/>
      <c r="I12" s="38"/>
      <c r="J12" s="169" t="s">
        <v>551</v>
      </c>
      <c r="K12" s="169" t="s">
        <v>552</v>
      </c>
      <c r="L12" s="169" t="s">
        <v>553</v>
      </c>
    </row>
    <row r="13" ht="21.0" customHeight="1">
      <c r="A13" s="38">
        <v>2.0</v>
      </c>
      <c r="B13" s="38" t="s">
        <v>554</v>
      </c>
      <c r="C13" s="38">
        <v>48.0</v>
      </c>
      <c r="D13" s="171">
        <v>0.15</v>
      </c>
      <c r="E13" s="38"/>
      <c r="F13" s="38"/>
      <c r="G13" s="38"/>
      <c r="H13" s="38"/>
      <c r="I13" s="38"/>
      <c r="J13" s="169" t="s">
        <v>555</v>
      </c>
      <c r="K13" s="169" t="s">
        <v>556</v>
      </c>
      <c r="L13" s="169" t="s">
        <v>553</v>
      </c>
    </row>
    <row r="14" ht="21.0" customHeight="1">
      <c r="A14" s="38">
        <v>3.0</v>
      </c>
      <c r="B14" s="38" t="s">
        <v>557</v>
      </c>
      <c r="C14" s="38">
        <v>120.0</v>
      </c>
      <c r="D14" s="171">
        <v>0.35</v>
      </c>
      <c r="E14" s="38"/>
      <c r="F14" s="38"/>
      <c r="G14" s="38"/>
      <c r="H14" s="38"/>
      <c r="I14" s="38"/>
      <c r="J14" s="169" t="s">
        <v>558</v>
      </c>
      <c r="K14" s="169" t="s">
        <v>559</v>
      </c>
      <c r="L14" s="169" t="s">
        <v>560</v>
      </c>
    </row>
    <row r="15" ht="21.0" customHeight="1">
      <c r="A15" s="38">
        <v>4.0</v>
      </c>
      <c r="B15" s="38" t="s">
        <v>561</v>
      </c>
      <c r="C15" s="38">
        <v>48.0</v>
      </c>
      <c r="D15" s="171">
        <v>0.6</v>
      </c>
      <c r="E15" s="38"/>
      <c r="F15" s="38"/>
      <c r="G15" s="38"/>
      <c r="H15" s="38"/>
      <c r="I15" s="38"/>
      <c r="J15" s="169" t="s">
        <v>562</v>
      </c>
      <c r="K15" s="169" t="s">
        <v>564</v>
      </c>
      <c r="L15" s="169" t="s">
        <v>565</v>
      </c>
    </row>
    <row r="16" ht="21.0" customHeight="1">
      <c r="A16" s="38">
        <v>5.0</v>
      </c>
      <c r="B16" s="38" t="s">
        <v>567</v>
      </c>
      <c r="C16" s="38">
        <v>72.0</v>
      </c>
      <c r="D16" s="171">
        <v>0.85</v>
      </c>
      <c r="E16" s="38"/>
      <c r="F16" s="38"/>
      <c r="G16" s="38"/>
      <c r="H16" s="38"/>
      <c r="I16" s="38"/>
      <c r="J16" s="169" t="s">
        <v>572</v>
      </c>
      <c r="K16" s="169" t="s">
        <v>573</v>
      </c>
      <c r="L16" s="169" t="s">
        <v>575</v>
      </c>
    </row>
    <row r="17" ht="21.0" customHeight="1">
      <c r="A17" s="38">
        <v>6.0</v>
      </c>
      <c r="B17" s="38" t="s">
        <v>532</v>
      </c>
      <c r="C17" s="38">
        <v>0.0</v>
      </c>
      <c r="D17" s="171">
        <v>1.0</v>
      </c>
      <c r="E17" s="38"/>
      <c r="F17" s="38"/>
      <c r="G17" s="38"/>
      <c r="H17" s="38"/>
      <c r="I17" s="38"/>
      <c r="J17" s="38"/>
      <c r="K17" s="22"/>
      <c r="L17" s="22"/>
    </row>
    <row r="18" ht="21.0" customHeight="1">
      <c r="A18" s="38">
        <v>7.0</v>
      </c>
      <c r="B18" s="38" t="s">
        <v>582</v>
      </c>
      <c r="C18" s="38">
        <v>0.0</v>
      </c>
      <c r="D18" s="171">
        <v>0.0</v>
      </c>
      <c r="E18" s="38"/>
      <c r="F18" s="38"/>
      <c r="G18" s="38"/>
      <c r="H18" s="38"/>
      <c r="I18" s="38"/>
      <c r="J18" s="38"/>
      <c r="K18" s="22"/>
      <c r="L18" s="22"/>
    </row>
    <row r="19" ht="12.0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22"/>
      <c r="L19" s="22"/>
    </row>
    <row r="20" ht="25.5" customHeight="1">
      <c r="A20" s="108" t="s">
        <v>583</v>
      </c>
      <c r="B20" s="108" t="s">
        <v>584</v>
      </c>
      <c r="C20" s="108" t="s">
        <v>585</v>
      </c>
      <c r="D20" s="108" t="s">
        <v>586</v>
      </c>
      <c r="E20" s="108" t="s">
        <v>587</v>
      </c>
      <c r="F20" s="38"/>
      <c r="G20" s="38"/>
      <c r="H20" s="38"/>
      <c r="I20" s="38"/>
      <c r="J20" s="38"/>
      <c r="K20" s="22"/>
      <c r="L20" s="22"/>
    </row>
    <row r="21" ht="21.0" customHeight="1">
      <c r="A21" s="38">
        <v>101.0</v>
      </c>
      <c r="B21" s="38" t="s">
        <v>588</v>
      </c>
      <c r="C21" s="38" t="s">
        <v>589</v>
      </c>
      <c r="D21" s="38">
        <v>5.0</v>
      </c>
      <c r="E21" s="38" t="s">
        <v>590</v>
      </c>
      <c r="F21" s="38"/>
      <c r="G21" s="38"/>
      <c r="H21" s="38"/>
      <c r="I21" s="38"/>
      <c r="J21" s="38"/>
      <c r="K21" s="22"/>
      <c r="L21" s="22"/>
    </row>
    <row r="22" ht="21.0" customHeight="1">
      <c r="A22" s="38">
        <v>102.0</v>
      </c>
      <c r="B22" s="38" t="s">
        <v>591</v>
      </c>
      <c r="C22" s="38" t="s">
        <v>592</v>
      </c>
      <c r="D22" s="38">
        <v>25.0</v>
      </c>
      <c r="E22" s="38" t="s">
        <v>593</v>
      </c>
      <c r="F22" s="38"/>
      <c r="G22" s="38"/>
      <c r="H22" s="38"/>
      <c r="I22" s="38"/>
      <c r="J22" s="38"/>
      <c r="K22" s="22"/>
      <c r="L22" s="22"/>
    </row>
    <row r="23" ht="21.0" customHeight="1">
      <c r="A23" s="38">
        <v>103.0</v>
      </c>
      <c r="B23" s="38" t="s">
        <v>594</v>
      </c>
      <c r="C23" s="38" t="s">
        <v>595</v>
      </c>
      <c r="D23" s="38">
        <v>40.0</v>
      </c>
      <c r="E23" s="38" t="s">
        <v>593</v>
      </c>
      <c r="F23" s="38"/>
      <c r="G23" s="38"/>
      <c r="H23" s="38"/>
      <c r="I23" s="38"/>
      <c r="J23" s="38"/>
      <c r="K23" s="22"/>
      <c r="L23" s="22"/>
    </row>
    <row r="24" ht="21.0" customHeight="1">
      <c r="A24" s="38">
        <v>104.0</v>
      </c>
      <c r="B24" s="38" t="s">
        <v>597</v>
      </c>
      <c r="C24" s="38" t="s">
        <v>595</v>
      </c>
      <c r="D24" s="38">
        <v>40.0</v>
      </c>
      <c r="E24" s="38" t="s">
        <v>593</v>
      </c>
      <c r="F24" s="38"/>
      <c r="G24" s="38"/>
      <c r="H24" s="38"/>
      <c r="I24" s="38"/>
      <c r="J24" s="38"/>
      <c r="K24" s="22"/>
      <c r="L24" s="22"/>
    </row>
    <row r="25" ht="21.0" customHeight="1">
      <c r="A25" s="179" t="s">
        <v>598</v>
      </c>
      <c r="B25" s="179" t="s">
        <v>599</v>
      </c>
      <c r="C25" s="179" t="s">
        <v>600</v>
      </c>
      <c r="D25" s="38"/>
      <c r="E25" s="38"/>
      <c r="F25" s="38"/>
      <c r="G25" s="38"/>
      <c r="H25" s="38"/>
      <c r="I25" s="38"/>
      <c r="J25" s="38"/>
      <c r="K25" s="22"/>
      <c r="L25" s="22"/>
    </row>
    <row r="26" ht="21.75" customHeight="1">
      <c r="A26" s="38" t="s">
        <v>601</v>
      </c>
      <c r="B26" s="38" t="s">
        <v>602</v>
      </c>
      <c r="C26" s="171">
        <v>0.5</v>
      </c>
      <c r="D26" s="38"/>
      <c r="E26" s="38"/>
      <c r="F26" s="38"/>
      <c r="G26" s="38"/>
      <c r="H26" s="38"/>
      <c r="I26" s="38"/>
      <c r="J26" s="38"/>
      <c r="K26" s="22"/>
      <c r="L26" s="22"/>
    </row>
    <row r="27" ht="21.0" customHeight="1">
      <c r="A27" s="38" t="s">
        <v>603</v>
      </c>
      <c r="B27" s="38" t="s">
        <v>604</v>
      </c>
      <c r="C27" s="171">
        <v>0.35</v>
      </c>
      <c r="D27" s="38"/>
      <c r="E27" s="38"/>
      <c r="F27" s="38"/>
      <c r="G27" s="38"/>
      <c r="H27" s="38"/>
      <c r="I27" s="38"/>
      <c r="J27" s="38"/>
      <c r="K27" s="22"/>
      <c r="L27" s="22"/>
    </row>
    <row r="28" ht="21.0" customHeight="1">
      <c r="A28" s="38" t="s">
        <v>605</v>
      </c>
      <c r="B28" s="38" t="s">
        <v>606</v>
      </c>
      <c r="C28" s="171">
        <v>0.1</v>
      </c>
      <c r="D28" s="38"/>
      <c r="E28" s="38"/>
      <c r="F28" s="38"/>
      <c r="G28" s="38"/>
      <c r="H28" s="38"/>
      <c r="I28" s="38"/>
      <c r="J28" s="38"/>
      <c r="K28" s="22"/>
      <c r="L28" s="22"/>
    </row>
    <row r="29" ht="21.0" customHeight="1">
      <c r="A29" s="38" t="s">
        <v>607</v>
      </c>
      <c r="B29" s="38" t="s">
        <v>608</v>
      </c>
      <c r="C29" s="171">
        <v>0.2</v>
      </c>
      <c r="D29" s="38"/>
      <c r="E29" s="38"/>
      <c r="F29" s="38"/>
      <c r="G29" s="38"/>
      <c r="H29" s="38"/>
      <c r="I29" s="38"/>
      <c r="J29" s="38"/>
      <c r="K29" s="22"/>
      <c r="L29" s="22"/>
    </row>
    <row r="30" ht="27.0" customHeight="1">
      <c r="A30" s="182"/>
      <c r="B30" s="183"/>
      <c r="C30" s="183"/>
      <c r="D30" s="183"/>
      <c r="E30" s="183"/>
      <c r="F30" s="138"/>
      <c r="G30" s="38"/>
      <c r="H30" s="38"/>
      <c r="I30" s="38"/>
      <c r="J30" s="38"/>
      <c r="K30" s="22"/>
      <c r="L30" s="22"/>
    </row>
    <row r="31" ht="27.0" customHeight="1">
      <c r="A31" s="184" t="s">
        <v>612</v>
      </c>
      <c r="B31" s="185"/>
      <c r="C31" s="185"/>
      <c r="D31" s="185"/>
      <c r="E31" s="185"/>
      <c r="F31" s="138"/>
      <c r="G31" s="38"/>
      <c r="H31" s="38"/>
      <c r="I31" s="38"/>
      <c r="J31" s="38"/>
      <c r="K31" s="22"/>
      <c r="L31" s="22"/>
    </row>
    <row r="32" ht="24.0" customHeight="1">
      <c r="A32" s="187" t="s">
        <v>616</v>
      </c>
      <c r="B32" s="188" t="s">
        <v>621</v>
      </c>
      <c r="C32" s="188" t="s">
        <v>623</v>
      </c>
      <c r="D32" s="188" t="s">
        <v>624</v>
      </c>
      <c r="E32" s="188" t="s">
        <v>625</v>
      </c>
      <c r="F32" s="138"/>
      <c r="G32" s="38"/>
      <c r="H32" s="38"/>
      <c r="I32" s="38"/>
      <c r="J32" s="38"/>
      <c r="K32" s="22"/>
      <c r="L32" s="22"/>
    </row>
    <row r="33" ht="24.0" customHeight="1">
      <c r="A33" s="38" t="s">
        <v>626</v>
      </c>
      <c r="B33" s="138" t="s">
        <v>627</v>
      </c>
      <c r="C33" s="138" t="s">
        <v>628</v>
      </c>
      <c r="D33" s="138" t="s">
        <v>629</v>
      </c>
      <c r="E33" s="190" t="s">
        <v>630</v>
      </c>
      <c r="F33" s="138"/>
      <c r="G33" s="38"/>
      <c r="H33" s="38"/>
      <c r="I33" s="38"/>
      <c r="J33" s="38"/>
      <c r="K33" s="22"/>
      <c r="L33" s="22"/>
    </row>
    <row r="34" ht="24.0" customHeight="1">
      <c r="A34" s="38" t="s">
        <v>632</v>
      </c>
      <c r="B34" s="138" t="s">
        <v>633</v>
      </c>
      <c r="C34" s="138" t="s">
        <v>628</v>
      </c>
      <c r="D34" s="138" t="s">
        <v>634</v>
      </c>
      <c r="E34" s="190" t="s">
        <v>635</v>
      </c>
      <c r="F34" s="138"/>
      <c r="G34" s="38"/>
      <c r="H34" s="38"/>
      <c r="I34" s="38"/>
      <c r="J34" s="38"/>
      <c r="K34" s="22"/>
      <c r="L34" s="22"/>
    </row>
    <row r="35" ht="24.0" customHeight="1">
      <c r="A35" s="38" t="s">
        <v>637</v>
      </c>
      <c r="B35" s="138" t="s">
        <v>638</v>
      </c>
      <c r="C35" s="138" t="s">
        <v>628</v>
      </c>
      <c r="D35" s="138" t="s">
        <v>634</v>
      </c>
      <c r="E35" s="190" t="s">
        <v>639</v>
      </c>
      <c r="F35" s="138"/>
      <c r="G35" s="38"/>
      <c r="H35" s="38"/>
      <c r="I35" s="38"/>
      <c r="J35" s="38"/>
      <c r="K35" s="22"/>
      <c r="L35" s="22"/>
    </row>
    <row r="36" ht="24.0" customHeight="1">
      <c r="A36" s="38" t="s">
        <v>640</v>
      </c>
      <c r="B36" s="138" t="s">
        <v>641</v>
      </c>
      <c r="C36" s="138" t="s">
        <v>628</v>
      </c>
      <c r="D36" s="138" t="s">
        <v>634</v>
      </c>
      <c r="E36" s="190" t="s">
        <v>635</v>
      </c>
      <c r="F36" s="138"/>
      <c r="G36" s="38"/>
      <c r="H36" s="38"/>
      <c r="I36" s="38"/>
      <c r="J36" s="38"/>
      <c r="K36" s="22"/>
      <c r="L36" s="22"/>
    </row>
    <row r="37" ht="24.0" customHeight="1">
      <c r="A37" s="38" t="s">
        <v>642</v>
      </c>
      <c r="B37" s="138" t="s">
        <v>643</v>
      </c>
      <c r="C37" s="138" t="s">
        <v>628</v>
      </c>
      <c r="D37" s="138" t="s">
        <v>634</v>
      </c>
      <c r="E37" s="190" t="s">
        <v>644</v>
      </c>
      <c r="F37" s="138"/>
      <c r="G37" s="38"/>
      <c r="H37" s="38"/>
      <c r="I37" s="38"/>
      <c r="J37" s="38"/>
      <c r="K37" s="22"/>
      <c r="L37" s="22"/>
    </row>
    <row r="38" ht="24.0" customHeight="1">
      <c r="A38" s="38" t="s">
        <v>645</v>
      </c>
      <c r="B38" s="138" t="s">
        <v>646</v>
      </c>
      <c r="C38" s="138" t="s">
        <v>628</v>
      </c>
      <c r="D38" s="138" t="s">
        <v>634</v>
      </c>
      <c r="E38" s="190" t="s">
        <v>647</v>
      </c>
      <c r="F38" s="138"/>
      <c r="G38" s="38"/>
      <c r="H38" s="38"/>
      <c r="I38" s="38"/>
      <c r="J38" s="38"/>
      <c r="K38" s="22"/>
      <c r="L38" s="22"/>
    </row>
    <row r="39" ht="24.0" customHeight="1">
      <c r="A39" s="38" t="s">
        <v>648</v>
      </c>
      <c r="B39" s="138" t="s">
        <v>649</v>
      </c>
      <c r="C39" s="138" t="s">
        <v>628</v>
      </c>
      <c r="D39" s="138" t="s">
        <v>650</v>
      </c>
      <c r="E39" s="190" t="s">
        <v>644</v>
      </c>
      <c r="F39" s="138"/>
      <c r="G39" s="38"/>
      <c r="H39" s="38"/>
      <c r="I39" s="38"/>
      <c r="J39" s="38"/>
      <c r="K39" s="22"/>
      <c r="L39" s="22"/>
    </row>
    <row r="40" ht="31.5" customHeight="1">
      <c r="A40" s="38" t="s">
        <v>651</v>
      </c>
      <c r="B40" s="138" t="s">
        <v>652</v>
      </c>
      <c r="C40" s="138" t="s">
        <v>628</v>
      </c>
      <c r="D40" s="138" t="s">
        <v>650</v>
      </c>
      <c r="E40" s="190" t="s">
        <v>653</v>
      </c>
      <c r="F40" s="138"/>
      <c r="G40" s="38"/>
      <c r="H40" s="38"/>
      <c r="I40" s="38"/>
      <c r="J40" s="38"/>
      <c r="K40" s="22"/>
      <c r="L40" s="22"/>
    </row>
    <row r="41" ht="25.5" customHeight="1">
      <c r="A41" s="182" t="s">
        <v>656</v>
      </c>
      <c r="B41" s="182"/>
      <c r="C41" s="192"/>
      <c r="D41" s="193" t="s">
        <v>657</v>
      </c>
      <c r="E41" s="194" t="s">
        <v>659</v>
      </c>
      <c r="F41" s="38"/>
      <c r="G41" s="38"/>
      <c r="H41" s="38"/>
      <c r="I41" s="38"/>
      <c r="J41" s="38"/>
      <c r="K41" s="22"/>
      <c r="L41" s="22"/>
    </row>
    <row r="42" ht="25.5" customHeight="1">
      <c r="A42" s="195" t="s">
        <v>660</v>
      </c>
      <c r="B42" s="195" t="s">
        <v>356</v>
      </c>
      <c r="C42" s="195" t="s">
        <v>661</v>
      </c>
      <c r="D42" s="38"/>
      <c r="E42" s="38"/>
      <c r="F42" s="38"/>
      <c r="G42" s="38"/>
      <c r="H42" s="38"/>
      <c r="I42" s="38"/>
      <c r="J42" s="38"/>
      <c r="K42" s="22"/>
      <c r="L42" s="22"/>
    </row>
    <row r="43" ht="22.5" customHeight="1">
      <c r="A43" s="38" t="s">
        <v>662</v>
      </c>
      <c r="B43" s="155">
        <v>0.28</v>
      </c>
      <c r="C43" s="38" t="s">
        <v>663</v>
      </c>
      <c r="D43" s="38"/>
      <c r="E43" s="38"/>
      <c r="F43" s="38"/>
      <c r="G43" s="38"/>
      <c r="H43" s="38"/>
      <c r="I43" s="38"/>
      <c r="J43" s="38"/>
      <c r="K43" s="22"/>
      <c r="L43" s="22"/>
    </row>
    <row r="44" ht="22.5" customHeight="1">
      <c r="A44" s="38" t="s">
        <v>664</v>
      </c>
      <c r="B44" s="155">
        <v>0.18</v>
      </c>
      <c r="C44" s="38" t="s">
        <v>665</v>
      </c>
      <c r="D44" s="38"/>
      <c r="E44" s="38"/>
      <c r="F44" s="38"/>
      <c r="G44" s="38"/>
      <c r="H44" s="38"/>
      <c r="I44" s="38"/>
      <c r="J44" s="38"/>
      <c r="K44" s="22"/>
      <c r="L44" s="22"/>
    </row>
    <row r="45" ht="22.5" customHeight="1">
      <c r="A45" s="38" t="s">
        <v>667</v>
      </c>
      <c r="B45" s="155">
        <v>0.12</v>
      </c>
      <c r="C45" s="38" t="s">
        <v>668</v>
      </c>
      <c r="D45" s="38"/>
      <c r="E45" s="38"/>
      <c r="F45" s="38"/>
      <c r="G45" s="38"/>
      <c r="H45" s="38"/>
      <c r="I45" s="38"/>
      <c r="J45" s="38"/>
      <c r="K45" s="22"/>
      <c r="L45" s="22"/>
    </row>
    <row r="46" ht="22.5" customHeight="1">
      <c r="A46" s="38" t="s">
        <v>671</v>
      </c>
      <c r="B46" s="155">
        <v>0.1</v>
      </c>
      <c r="C46" s="38" t="s">
        <v>672</v>
      </c>
      <c r="D46" s="38"/>
      <c r="E46" s="38"/>
      <c r="F46" s="38"/>
      <c r="G46" s="38"/>
      <c r="H46" s="38"/>
      <c r="I46" s="38"/>
      <c r="J46" s="38"/>
      <c r="K46" s="22"/>
      <c r="L46" s="22"/>
    </row>
    <row r="47" ht="22.5" customHeight="1">
      <c r="A47" s="38" t="s">
        <v>673</v>
      </c>
      <c r="B47" s="155">
        <v>0.045</v>
      </c>
      <c r="C47" s="38" t="s">
        <v>674</v>
      </c>
      <c r="D47" s="38"/>
      <c r="E47" s="38"/>
      <c r="F47" s="38"/>
      <c r="G47" s="38"/>
      <c r="H47" s="38"/>
      <c r="I47" s="38"/>
      <c r="J47" s="38"/>
      <c r="K47" s="22"/>
      <c r="L47" s="22"/>
    </row>
    <row r="48" ht="22.5" customHeight="1">
      <c r="A48" s="38" t="s">
        <v>675</v>
      </c>
      <c r="B48" s="196">
        <v>0.35</v>
      </c>
      <c r="C48" s="38" t="s">
        <v>676</v>
      </c>
      <c r="D48" s="38"/>
      <c r="E48" s="38"/>
      <c r="F48" s="38"/>
      <c r="G48" s="38"/>
      <c r="H48" s="38"/>
      <c r="I48" s="38"/>
      <c r="J48" s="38"/>
      <c r="K48" s="22"/>
      <c r="L48" s="22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22"/>
      <c r="L49" s="22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22"/>
      <c r="L50" s="22"/>
    </row>
    <row r="51" ht="15.75" customHeight="1">
      <c r="A51" s="193" t="s">
        <v>678</v>
      </c>
      <c r="B51" s="193"/>
      <c r="C51" s="193"/>
      <c r="D51" s="193"/>
      <c r="E51" s="193"/>
      <c r="J51" s="22"/>
      <c r="K51" s="22"/>
      <c r="L51" s="22"/>
    </row>
    <row r="52" ht="15.75" customHeight="1">
      <c r="A52" s="22" t="s">
        <v>679</v>
      </c>
      <c r="B52" s="22" t="s">
        <v>680</v>
      </c>
      <c r="J52" s="22"/>
      <c r="K52" s="22"/>
      <c r="L52" s="22"/>
    </row>
    <row r="53" ht="15.75" customHeight="1">
      <c r="A53" s="22" t="s">
        <v>681</v>
      </c>
      <c r="B53" s="22">
        <v>-1.00123456789E12</v>
      </c>
      <c r="J53" s="22"/>
      <c r="K53" s="22"/>
      <c r="L53" s="22"/>
    </row>
    <row r="54" ht="15.75" customHeight="1">
      <c r="A54" s="22" t="s">
        <v>682</v>
      </c>
      <c r="B54" s="22">
        <v>-1.00987654321E12</v>
      </c>
      <c r="J54" s="22"/>
      <c r="K54" s="22"/>
      <c r="L54" s="22"/>
    </row>
    <row r="55" ht="15.75" customHeight="1">
      <c r="A55" s="22" t="s">
        <v>684</v>
      </c>
      <c r="B55" s="22">
        <v>-1.005554443332E12</v>
      </c>
      <c r="J55" s="22"/>
      <c r="K55" s="22"/>
      <c r="L55" s="22"/>
    </row>
    <row r="56" ht="15.75" customHeight="1">
      <c r="A56" s="22" t="s">
        <v>685</v>
      </c>
      <c r="B56" s="22" t="s">
        <v>686</v>
      </c>
      <c r="J56" s="22"/>
      <c r="K56" s="22"/>
      <c r="L56" s="22"/>
    </row>
    <row r="57" ht="15.75" customHeight="1">
      <c r="A57" s="22" t="s">
        <v>687</v>
      </c>
      <c r="B57" s="22" t="s">
        <v>688</v>
      </c>
      <c r="J57" s="22"/>
      <c r="K57" s="22"/>
      <c r="L57" s="22"/>
    </row>
    <row r="58" ht="15.75" customHeight="1">
      <c r="J58" s="22"/>
      <c r="K58" s="22"/>
      <c r="L58" s="22"/>
    </row>
    <row r="59" ht="15.75" customHeight="1">
      <c r="J59" s="22"/>
      <c r="K59" s="22"/>
      <c r="L59" s="22"/>
    </row>
    <row r="60" ht="15.75" customHeight="1">
      <c r="J60" s="22"/>
      <c r="K60" s="22"/>
      <c r="L60" s="22"/>
    </row>
    <row r="61" ht="15.75" customHeight="1">
      <c r="J61" s="22"/>
      <c r="K61" s="22"/>
      <c r="L61" s="22"/>
    </row>
    <row r="62" ht="15.75" customHeight="1">
      <c r="J62" s="22"/>
      <c r="K62" s="22"/>
      <c r="L62" s="22"/>
    </row>
    <row r="63" ht="15.75" customHeight="1">
      <c r="J63" s="22"/>
      <c r="K63" s="22"/>
      <c r="L63" s="22"/>
    </row>
    <row r="64" ht="15.75" customHeight="1">
      <c r="J64" s="22"/>
      <c r="K64" s="22"/>
      <c r="L64" s="22"/>
    </row>
    <row r="65" ht="15.75" customHeight="1">
      <c r="J65" s="22"/>
      <c r="K65" s="22"/>
      <c r="L65" s="22"/>
    </row>
    <row r="66" ht="15.75" customHeight="1">
      <c r="J66" s="22"/>
      <c r="K66" s="22"/>
      <c r="L66" s="22"/>
    </row>
    <row r="67" ht="15.75" customHeight="1">
      <c r="J67" s="22"/>
      <c r="K67" s="22"/>
      <c r="L67" s="22"/>
    </row>
    <row r="68" ht="15.75" customHeight="1">
      <c r="J68" s="22"/>
      <c r="K68" s="22"/>
      <c r="L68" s="22"/>
    </row>
    <row r="69" ht="15.75" customHeight="1">
      <c r="J69" s="22"/>
      <c r="K69" s="22"/>
      <c r="L69" s="22"/>
    </row>
    <row r="70" ht="15.75" customHeight="1">
      <c r="J70" s="22"/>
      <c r="K70" s="22"/>
      <c r="L70" s="22"/>
    </row>
    <row r="71" ht="15.75" customHeight="1">
      <c r="J71" s="22"/>
      <c r="K71" s="22"/>
      <c r="L71" s="22"/>
    </row>
    <row r="72" ht="15.75" customHeight="1">
      <c r="J72" s="22"/>
      <c r="K72" s="22"/>
      <c r="L72" s="22"/>
    </row>
    <row r="73" ht="15.75" customHeight="1">
      <c r="J73" s="22"/>
      <c r="K73" s="22"/>
      <c r="L73" s="22"/>
    </row>
    <row r="74" ht="15.75" customHeight="1">
      <c r="J74" s="22"/>
      <c r="K74" s="22"/>
      <c r="L74" s="22"/>
    </row>
    <row r="75" ht="15.75" customHeight="1">
      <c r="J75" s="22"/>
      <c r="K75" s="22"/>
      <c r="L75" s="22"/>
    </row>
    <row r="76" ht="15.75" customHeight="1">
      <c r="J76" s="22"/>
      <c r="K76" s="22"/>
      <c r="L76" s="22"/>
    </row>
    <row r="77" ht="15.75" customHeight="1">
      <c r="J77" s="22"/>
      <c r="K77" s="22"/>
      <c r="L77" s="22"/>
    </row>
    <row r="78" ht="15.75" customHeight="1">
      <c r="J78" s="22"/>
      <c r="K78" s="22"/>
      <c r="L78" s="22"/>
    </row>
    <row r="79" ht="15.75" customHeight="1">
      <c r="J79" s="22"/>
      <c r="K79" s="22"/>
      <c r="L79" s="22"/>
    </row>
    <row r="80" ht="15.75" customHeight="1">
      <c r="J80" s="22"/>
      <c r="K80" s="22"/>
      <c r="L80" s="22"/>
    </row>
    <row r="81" ht="15.75" customHeight="1">
      <c r="J81" s="22"/>
      <c r="K81" s="22"/>
      <c r="L81" s="22"/>
    </row>
    <row r="82" ht="15.75" customHeight="1">
      <c r="J82" s="22"/>
      <c r="K82" s="22"/>
      <c r="L82" s="22"/>
    </row>
    <row r="83" ht="15.75" customHeight="1">
      <c r="J83" s="22"/>
      <c r="K83" s="22"/>
      <c r="L83" s="22"/>
    </row>
    <row r="84" ht="15.75" customHeight="1">
      <c r="J84" s="22"/>
      <c r="K84" s="22"/>
      <c r="L84" s="22"/>
    </row>
    <row r="85" ht="15.75" customHeight="1">
      <c r="J85" s="22"/>
      <c r="K85" s="22"/>
      <c r="L85" s="22"/>
    </row>
    <row r="86" ht="15.75" customHeight="1">
      <c r="J86" s="22"/>
      <c r="K86" s="22"/>
      <c r="L86" s="22"/>
    </row>
    <row r="87" ht="15.75" customHeight="1">
      <c r="J87" s="22"/>
      <c r="K87" s="22"/>
      <c r="L87" s="22"/>
    </row>
    <row r="88" ht="15.75" customHeight="1">
      <c r="J88" s="22"/>
      <c r="K88" s="22"/>
      <c r="L88" s="22"/>
    </row>
    <row r="89" ht="15.75" customHeight="1">
      <c r="J89" s="22"/>
      <c r="K89" s="22"/>
      <c r="L89" s="22"/>
    </row>
    <row r="90" ht="15.75" customHeight="1">
      <c r="J90" s="22"/>
      <c r="K90" s="22"/>
      <c r="L90" s="22"/>
    </row>
    <row r="91" ht="15.75" customHeight="1">
      <c r="J91" s="22"/>
      <c r="K91" s="22"/>
      <c r="L91" s="22"/>
    </row>
    <row r="92" ht="15.75" customHeight="1">
      <c r="J92" s="22"/>
      <c r="K92" s="22"/>
      <c r="L92" s="22"/>
    </row>
    <row r="93" ht="15.75" customHeight="1">
      <c r="J93" s="22"/>
      <c r="K93" s="22"/>
      <c r="L93" s="22"/>
    </row>
    <row r="94" ht="15.75" customHeight="1">
      <c r="J94" s="22"/>
      <c r="K94" s="22"/>
      <c r="L94" s="22"/>
    </row>
    <row r="95" ht="15.75" customHeight="1">
      <c r="J95" s="22"/>
      <c r="K95" s="22"/>
      <c r="L95" s="22"/>
    </row>
    <row r="96" ht="15.75" customHeight="1">
      <c r="J96" s="22"/>
      <c r="K96" s="22"/>
      <c r="L96" s="22"/>
    </row>
    <row r="97" ht="15.75" customHeight="1">
      <c r="J97" s="22"/>
      <c r="K97" s="22"/>
      <c r="L97" s="22"/>
    </row>
    <row r="98" ht="15.75" customHeight="1">
      <c r="J98" s="22"/>
      <c r="K98" s="22"/>
      <c r="L98" s="22"/>
    </row>
    <row r="99" ht="15.75" customHeight="1">
      <c r="J99" s="22"/>
      <c r="K99" s="22"/>
      <c r="L99" s="22"/>
    </row>
    <row r="100" ht="15.75" customHeight="1">
      <c r="J100" s="22"/>
      <c r="K100" s="22"/>
      <c r="L100" s="2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J8:L8"/>
  </mergeCells>
  <dataValidations>
    <dataValidation type="list" allowBlank="1" showErrorMessage="1" sqref="C6">
      <formula1>"Текущий месяц,Прошлый месяц,Первая декада (1–10 число),Произвольный интервал"</formula1>
    </dataValidation>
    <dataValidation type="list" allowBlank="1" showErrorMessage="1" sqref="D10">
      <formula1>"Авто (По умолчанию роли),💰 Выручка и чистая прибыль,🎯 Воронка продаж и конверсии CRM,🎙️ Контроль речи и качество звонков,💳 Дебиторка DSO и кассовые разрывы,🌐 Трафик,CPL и ROMI каналов"</formula1>
    </dataValidation>
    <dataValidation type="list" allowBlank="1" showErrorMessage="1" sqref="B10 K10:K100">
      <formula1>ROLES_LIST</formula1>
    </dataValidation>
    <dataValidation type="list" allowBlank="1" showErrorMessage="1" sqref="H10">
      <formula1>"👥 Multi-User (Персональные фильтры),🎯 Solo Focus (Автоскрытие листов)"</formula1>
    </dataValidation>
    <dataValidation type="custom" allowBlank="1" showErrorMessage="1" sqref="J10:J100">
      <formula1>NOT(ISERROR(SEARCH(("@"),(J10))))</formula1>
    </dataValidation>
    <dataValidation type="list" allowBlank="1" showErrorMessage="1" sqref="L10:L100">
      <formula1>"📄 Executive_OnePager,⚡ Пульс_Компании,📋 Пульт_РОПа_15_Минут,🌐 Маркетинг_и_Трафик,💳 Финансы_и_AI_Дожим,⚙️ Настройки"</formula1>
    </dataValidation>
    <dataValidation type="list" allowBlank="1" sqref="C33:C40">
      <formula1>"ВКЛЮЧЕН,ОТКЛЮЧЕН"</formula1>
    </dataValidation>
    <dataValidation type="list" allowBlank="1" showErrorMessage="1" sqref="D9">
      <formula1>"🏢 Холдинг (Все филиалы),📍 Филиал Москва (B2B Услуги),📍 Филиал Санкт-Петербург (Дистрибуция),📍 Онлайн / Регионы (Direct Sales)"</formula1>
    </dataValidation>
    <dataValidation type="list" allowBlank="1" showErrorMessage="1" sqref="F10">
      <formula1>"👥 Весь отдел продаж (Сводно),101 - Иванов Дмитрий (РОП),102 - Петров Александр (КАМ),103 - Сидоров Роман (SDR),104 - Козлов Алексей (SDR-2)"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2" width="13.88"/>
    <col customWidth="1" min="3" max="3" width="16.38"/>
    <col customWidth="1" min="4" max="4" width="22.63"/>
    <col customWidth="1" min="5" max="5" width="26.38"/>
    <col customWidth="1" min="6" max="6" width="21.38"/>
    <col customWidth="1" min="7" max="7" width="17.63"/>
    <col customWidth="1" min="8" max="8" width="15.13"/>
    <col customWidth="1" min="9" max="10" width="17.63"/>
    <col customWidth="1" min="11" max="13" width="22.63"/>
    <col customWidth="1" min="26" max="26" width="21.38"/>
    <col customWidth="1" min="27" max="29" width="16.38"/>
  </cols>
  <sheetData>
    <row r="1" ht="21.0" customHeight="1">
      <c r="A1" s="147" t="s">
        <v>432</v>
      </c>
      <c r="B1" s="147" t="s">
        <v>433</v>
      </c>
      <c r="C1" s="147" t="s">
        <v>434</v>
      </c>
      <c r="D1" s="147" t="s">
        <v>435</v>
      </c>
      <c r="E1" s="147" t="s">
        <v>436</v>
      </c>
      <c r="F1" s="147" t="s">
        <v>437</v>
      </c>
      <c r="G1" s="147" t="s">
        <v>438</v>
      </c>
      <c r="H1" s="147" t="s">
        <v>439</v>
      </c>
      <c r="I1" s="147" t="s">
        <v>441</v>
      </c>
      <c r="J1" s="147" t="s">
        <v>442</v>
      </c>
      <c r="K1" s="147" t="s">
        <v>443</v>
      </c>
      <c r="L1" s="147" t="s">
        <v>444</v>
      </c>
      <c r="M1" s="147" t="s">
        <v>445</v>
      </c>
      <c r="Z1" s="22" t="s">
        <v>446</v>
      </c>
      <c r="AA1" s="22" t="s">
        <v>447</v>
      </c>
      <c r="AB1" s="22" t="s">
        <v>448</v>
      </c>
      <c r="AC1" s="22" t="s">
        <v>449</v>
      </c>
    </row>
    <row r="2" ht="15.75" customHeight="1">
      <c r="A2" s="22" t="s">
        <v>450</v>
      </c>
      <c r="B2" s="22" t="s">
        <v>451</v>
      </c>
      <c r="C2" s="22" t="s">
        <v>452</v>
      </c>
      <c r="D2" s="148">
        <v>46259.0</v>
      </c>
      <c r="E2" s="22" t="s">
        <v>453</v>
      </c>
      <c r="F2" s="22" t="s">
        <v>454</v>
      </c>
      <c r="G2" s="22" t="s">
        <v>455</v>
      </c>
      <c r="H2" s="149">
        <v>0.3</v>
      </c>
      <c r="I2" s="151">
        <f>IFERROR(VLOOKUP(B2, raw_deals!$A$2:$C1000, 3, FALSE), 0)</f>
        <v>450000</v>
      </c>
      <c r="J2" s="22" t="b">
        <f>IFERROR(VLOOKUP(B2, raw_deals!$A$2:$O1000, 15, FALSE), FALSE)</f>
        <v>1</v>
      </c>
      <c r="K2" s="151">
        <f t="shared" ref="K2:K15" si="1">IF(J2=TRUE, I2*H2, 0)</f>
        <v>135000</v>
      </c>
      <c r="L2" s="151">
        <f>IF(J2=FALSE, I2*H2*IFERROR(VLOOKUP(VLOOKUP(B2, raw_deals!$A$2:$D1000, 4, FALSE), '⚙️ Настройки'!$A$12:$D$18, 4, FALSE), 0), 0)</f>
        <v>0</v>
      </c>
      <c r="M2" s="148">
        <v>46294.0</v>
      </c>
    </row>
    <row r="3" ht="15.75" customHeight="1">
      <c r="A3" s="22" t="s">
        <v>482</v>
      </c>
      <c r="B3" s="22" t="s">
        <v>451</v>
      </c>
      <c r="C3" s="22" t="s">
        <v>452</v>
      </c>
      <c r="D3" s="148">
        <v>46267.0</v>
      </c>
      <c r="E3" s="22" t="s">
        <v>487</v>
      </c>
      <c r="F3" s="22" t="s">
        <v>488</v>
      </c>
      <c r="G3" s="22" t="s">
        <v>489</v>
      </c>
      <c r="H3" s="149">
        <v>0.3</v>
      </c>
      <c r="I3" s="151">
        <f>IFERROR(VLOOKUP(B3, raw_deals!$A$2:$C1000, 3, FALSE), 0)</f>
        <v>450000</v>
      </c>
      <c r="J3" s="22" t="b">
        <f>IFERROR(VLOOKUP(B3, raw_deals!$A$2:$O1000, 15, FALSE), FALSE)</f>
        <v>1</v>
      </c>
      <c r="K3" s="151">
        <f t="shared" si="1"/>
        <v>135000</v>
      </c>
      <c r="L3" s="151">
        <f>IF(J3=FALSE, I3*H3*IFERROR(VLOOKUP(VLOOKUP(B3, raw_deals!$A$2:$D1000, 4, FALSE), '⚙️ Настройки'!$A$12:$D$18, 4, FALSE), 0), 0)</f>
        <v>0</v>
      </c>
      <c r="M3" s="148">
        <v>46294.0</v>
      </c>
    </row>
    <row r="4" ht="15.75" customHeight="1">
      <c r="A4" s="22" t="s">
        <v>517</v>
      </c>
      <c r="B4" s="22" t="s">
        <v>451</v>
      </c>
      <c r="C4" s="22" t="s">
        <v>452</v>
      </c>
      <c r="D4" s="148">
        <v>46272.0</v>
      </c>
      <c r="E4" s="22" t="s">
        <v>518</v>
      </c>
      <c r="F4" s="22" t="s">
        <v>521</v>
      </c>
      <c r="G4" s="22" t="s">
        <v>523</v>
      </c>
      <c r="H4" s="149">
        <v>0.1</v>
      </c>
      <c r="I4" s="151">
        <f>IFERROR(VLOOKUP(B4, raw_deals!$A$2:$C1000, 3, FALSE), 0)</f>
        <v>450000</v>
      </c>
      <c r="J4" s="22" t="b">
        <f>IFERROR(VLOOKUP(B4, raw_deals!$A$2:$O1000, 15, FALSE), FALSE)</f>
        <v>1</v>
      </c>
      <c r="K4" s="151">
        <f t="shared" si="1"/>
        <v>45000</v>
      </c>
      <c r="L4" s="151">
        <f>IF(J4=FALSE, I4*H4*IFERROR(VLOOKUP(VLOOKUP(B4, raw_deals!$A$2:$D1000, 4, FALSE), '⚙️ Настройки'!$A$12:$D$18, 4, FALSE), 0), 0)</f>
        <v>0</v>
      </c>
      <c r="M4" s="148">
        <v>46294.0</v>
      </c>
    </row>
    <row r="5" ht="15.75" customHeight="1">
      <c r="A5" s="22" t="s">
        <v>537</v>
      </c>
      <c r="B5" s="22" t="s">
        <v>451</v>
      </c>
      <c r="C5" s="22" t="s">
        <v>452</v>
      </c>
      <c r="D5" s="148">
        <v>46277.0</v>
      </c>
      <c r="E5" s="22" t="s">
        <v>539</v>
      </c>
      <c r="F5" s="22" t="s">
        <v>540</v>
      </c>
      <c r="G5" s="22" t="s">
        <v>541</v>
      </c>
      <c r="H5" s="149">
        <v>0.3</v>
      </c>
      <c r="I5" s="151">
        <f>IFERROR(VLOOKUP(B5, raw_deals!$A$2:$C1000, 3, FALSE), 0)</f>
        <v>450000</v>
      </c>
      <c r="J5" s="22" t="b">
        <f>IFERROR(VLOOKUP(B5, raw_deals!$A$2:$O1000, 15, FALSE), FALSE)</f>
        <v>1</v>
      </c>
      <c r="K5" s="151">
        <f t="shared" si="1"/>
        <v>135000</v>
      </c>
      <c r="L5" s="151">
        <f>IF(J5=FALSE, I5*H5*IFERROR(VLOOKUP(VLOOKUP(B5, raw_deals!$A$2:$D1000, 4, FALSE), '⚙️ Настройки'!$A$12:$D$18, 4, FALSE), 0), 0)</f>
        <v>0</v>
      </c>
      <c r="M5" s="148">
        <v>46294.0</v>
      </c>
    </row>
    <row r="6" ht="15.75" customHeight="1">
      <c r="A6" s="22" t="s">
        <v>566</v>
      </c>
      <c r="B6" s="22" t="s">
        <v>568</v>
      </c>
      <c r="C6" s="22" t="s">
        <v>569</v>
      </c>
      <c r="D6" s="148">
        <v>46262.0</v>
      </c>
      <c r="E6" s="22" t="s">
        <v>570</v>
      </c>
      <c r="F6" s="22" t="s">
        <v>571</v>
      </c>
      <c r="G6" s="22" t="s">
        <v>455</v>
      </c>
      <c r="H6" s="149">
        <v>0.3</v>
      </c>
      <c r="I6" s="151">
        <f>IFERROR(VLOOKUP(B6, raw_deals!$A$2:$C1000, 3, FALSE), 0)</f>
        <v>1200000</v>
      </c>
      <c r="J6" s="22" t="b">
        <f>IFERROR(VLOOKUP(B6, raw_deals!$A$2:$O1000, 15, FALSE), FALSE)</f>
        <v>1</v>
      </c>
      <c r="K6" s="151">
        <f t="shared" si="1"/>
        <v>360000</v>
      </c>
      <c r="L6" s="151">
        <f>IF(J6=FALSE, I6*H6*IFERROR(VLOOKUP(VLOOKUP(B6, raw_deals!$A$2:$D1000, 4, FALSE), '⚙️ Настройки'!$A$12:$D$18, 4, FALSE), 0), 0)</f>
        <v>0</v>
      </c>
      <c r="M6" s="148">
        <v>46294.0</v>
      </c>
    </row>
    <row r="7" ht="15.75" customHeight="1">
      <c r="A7" s="22" t="s">
        <v>596</v>
      </c>
      <c r="B7" s="22" t="s">
        <v>568</v>
      </c>
      <c r="C7" s="22" t="s">
        <v>569</v>
      </c>
      <c r="D7" s="148">
        <v>46269.0</v>
      </c>
      <c r="E7" s="22" t="s">
        <v>487</v>
      </c>
      <c r="F7" s="22" t="s">
        <v>488</v>
      </c>
      <c r="G7" s="22" t="s">
        <v>489</v>
      </c>
      <c r="H7" s="149">
        <v>0.3</v>
      </c>
      <c r="I7" s="151">
        <f>IFERROR(VLOOKUP(B7, raw_deals!$A$2:$C1000, 3, FALSE), 0)</f>
        <v>1200000</v>
      </c>
      <c r="J7" s="22" t="b">
        <f>IFERROR(VLOOKUP(B7, raw_deals!$A$2:$O1000, 15, FALSE), FALSE)</f>
        <v>1</v>
      </c>
      <c r="K7" s="151">
        <f t="shared" si="1"/>
        <v>360000</v>
      </c>
      <c r="L7" s="151">
        <f>IF(J7=FALSE, I7*H7*IFERROR(VLOOKUP(VLOOKUP(B7, raw_deals!$A$2:$D1000, 4, FALSE), '⚙️ Настройки'!$A$12:$D$18, 4, FALSE), 0), 0)</f>
        <v>0</v>
      </c>
      <c r="M7" s="148">
        <v>46294.0</v>
      </c>
    </row>
    <row r="8" ht="15.75" customHeight="1">
      <c r="A8" s="22" t="s">
        <v>609</v>
      </c>
      <c r="B8" s="22" t="s">
        <v>568</v>
      </c>
      <c r="C8" s="22" t="s">
        <v>569</v>
      </c>
      <c r="D8" s="148">
        <v>46275.0</v>
      </c>
      <c r="E8" s="22" t="s">
        <v>570</v>
      </c>
      <c r="F8" s="22" t="s">
        <v>571</v>
      </c>
      <c r="G8" s="22" t="s">
        <v>523</v>
      </c>
      <c r="H8" s="149">
        <v>0.1</v>
      </c>
      <c r="I8" s="151">
        <f>IFERROR(VLOOKUP(B8, raw_deals!$A$2:$C1000, 3, FALSE), 0)</f>
        <v>1200000</v>
      </c>
      <c r="J8" s="22" t="b">
        <f>IFERROR(VLOOKUP(B8, raw_deals!$A$2:$O1000, 15, FALSE), FALSE)</f>
        <v>1</v>
      </c>
      <c r="K8" s="151">
        <f t="shared" si="1"/>
        <v>120000</v>
      </c>
      <c r="L8" s="151">
        <f>IF(J8=FALSE, I8*H8*IFERROR(VLOOKUP(VLOOKUP(B8, raw_deals!$A$2:$D1000, 4, FALSE), '⚙️ Настройки'!$A$12:$D$18, 4, FALSE), 0), 0)</f>
        <v>0</v>
      </c>
      <c r="M8" s="148">
        <v>46294.0</v>
      </c>
    </row>
    <row r="9" ht="15.75" customHeight="1">
      <c r="A9" s="22" t="s">
        <v>631</v>
      </c>
      <c r="B9" s="22" t="s">
        <v>568</v>
      </c>
      <c r="C9" s="22" t="s">
        <v>569</v>
      </c>
      <c r="D9" s="148">
        <v>46281.0</v>
      </c>
      <c r="E9" s="22" t="s">
        <v>570</v>
      </c>
      <c r="F9" s="22" t="s">
        <v>571</v>
      </c>
      <c r="G9" s="22" t="s">
        <v>541</v>
      </c>
      <c r="H9" s="149">
        <v>0.3</v>
      </c>
      <c r="I9" s="151">
        <f>IFERROR(VLOOKUP(B9, raw_deals!$A$2:$C1000, 3, FALSE), 0)</f>
        <v>1200000</v>
      </c>
      <c r="J9" s="22" t="b">
        <f>IFERROR(VLOOKUP(B9, raw_deals!$A$2:$O1000, 15, FALSE), FALSE)</f>
        <v>1</v>
      </c>
      <c r="K9" s="151">
        <f t="shared" si="1"/>
        <v>360000</v>
      </c>
      <c r="L9" s="151">
        <f>IF(J9=FALSE, I9*H9*IFERROR(VLOOKUP(VLOOKUP(B9, raw_deals!$A$2:$D1000, 4, FALSE), '⚙️ Настройки'!$A$12:$D$18, 4, FALSE), 0), 0)</f>
        <v>0</v>
      </c>
      <c r="M9" s="148">
        <v>46294.0</v>
      </c>
    </row>
    <row r="10" ht="15.75" customHeight="1">
      <c r="A10" s="22" t="s">
        <v>654</v>
      </c>
      <c r="B10" s="22" t="s">
        <v>636</v>
      </c>
      <c r="C10" s="22" t="s">
        <v>655</v>
      </c>
      <c r="D10" s="148">
        <v>46277.0</v>
      </c>
      <c r="E10" s="22" t="s">
        <v>570</v>
      </c>
      <c r="F10" s="22" t="s">
        <v>571</v>
      </c>
      <c r="G10" s="22" t="s">
        <v>455</v>
      </c>
      <c r="H10" s="149">
        <v>0.3</v>
      </c>
      <c r="I10" s="151">
        <f>IFERROR(VLOOKUP(B10, raw_deals!$A$2:$C1000, 3, FALSE), 0)</f>
        <v>850000</v>
      </c>
      <c r="J10" s="22" t="b">
        <f>IFERROR(VLOOKUP(B10, raw_deals!$A$2:$O1000, 15, FALSE), FALSE)</f>
        <v>0</v>
      </c>
      <c r="K10" s="151">
        <f t="shared" si="1"/>
        <v>0</v>
      </c>
      <c r="L10" s="151">
        <f>IF(J10=FALSE, I10*H10*IFERROR(VLOOKUP(VLOOKUP(B10, raw_deals!$A$2:$D1000, 4, FALSE), '⚙️ Настройки'!$A$12:$D$18, 4, FALSE), 0), 0)</f>
        <v>153000</v>
      </c>
      <c r="M10" s="148">
        <v>46294.0</v>
      </c>
    </row>
    <row r="11" ht="15.75" customHeight="1">
      <c r="A11" s="22" t="s">
        <v>670</v>
      </c>
      <c r="B11" s="22" t="s">
        <v>636</v>
      </c>
      <c r="C11" s="22" t="s">
        <v>655</v>
      </c>
      <c r="D11" s="148">
        <v>46279.0</v>
      </c>
      <c r="E11" s="22" t="s">
        <v>487</v>
      </c>
      <c r="F11" s="22" t="s">
        <v>488</v>
      </c>
      <c r="G11" s="22" t="s">
        <v>489</v>
      </c>
      <c r="H11" s="149">
        <v>0.3</v>
      </c>
      <c r="I11" s="151">
        <f>IFERROR(VLOOKUP(B11, raw_deals!$A$2:$C1000, 3, FALSE), 0)</f>
        <v>850000</v>
      </c>
      <c r="J11" s="22" t="b">
        <f>IFERROR(VLOOKUP(B11, raw_deals!$A$2:$O1000, 15, FALSE), FALSE)</f>
        <v>0</v>
      </c>
      <c r="K11" s="151">
        <f t="shared" si="1"/>
        <v>0</v>
      </c>
      <c r="L11" s="151">
        <f>IF(J11=FALSE, I11*H11*IFERROR(VLOOKUP(VLOOKUP(B11, raw_deals!$A$2:$D1000, 4, FALSE), '⚙️ Настройки'!$A$12:$D$18, 4, FALSE), 0), 0)</f>
        <v>153000</v>
      </c>
      <c r="M11" s="148">
        <v>46294.0</v>
      </c>
    </row>
    <row r="12" ht="15.75" customHeight="1">
      <c r="A12" s="22" t="s">
        <v>683</v>
      </c>
      <c r="B12" s="22" t="s">
        <v>636</v>
      </c>
      <c r="C12" s="22" t="s">
        <v>655</v>
      </c>
      <c r="D12" s="148">
        <v>46283.0</v>
      </c>
      <c r="E12" s="22" t="s">
        <v>570</v>
      </c>
      <c r="F12" s="22" t="s">
        <v>571</v>
      </c>
      <c r="G12" s="22" t="s">
        <v>523</v>
      </c>
      <c r="H12" s="149">
        <v>0.1</v>
      </c>
      <c r="I12" s="151">
        <f>IFERROR(VLOOKUP(B12, raw_deals!$A$2:$C1000, 3, FALSE), 0)</f>
        <v>850000</v>
      </c>
      <c r="J12" s="22" t="b">
        <f>IFERROR(VLOOKUP(B12, raw_deals!$A$2:$O1000, 15, FALSE), FALSE)</f>
        <v>0</v>
      </c>
      <c r="K12" s="151">
        <f t="shared" si="1"/>
        <v>0</v>
      </c>
      <c r="L12" s="151">
        <f>IF(J12=FALSE, I12*H12*IFERROR(VLOOKUP(VLOOKUP(B12, raw_deals!$A$2:$D1000, 4, FALSE), '⚙️ Настройки'!$A$12:$D$18, 4, FALSE), 0), 0)</f>
        <v>51000</v>
      </c>
      <c r="M12" s="148">
        <v>46294.0</v>
      </c>
    </row>
    <row r="13" ht="15.75" customHeight="1">
      <c r="A13" s="22" t="s">
        <v>693</v>
      </c>
      <c r="B13" s="22" t="s">
        <v>694</v>
      </c>
      <c r="C13" s="22" t="s">
        <v>695</v>
      </c>
      <c r="D13" s="148">
        <v>46266.0</v>
      </c>
      <c r="E13" s="22" t="s">
        <v>518</v>
      </c>
      <c r="F13" s="22" t="s">
        <v>521</v>
      </c>
      <c r="G13" s="22" t="s">
        <v>455</v>
      </c>
      <c r="H13" s="149">
        <v>0.5</v>
      </c>
      <c r="I13" s="151">
        <f>IFERROR(VLOOKUP(B13, raw_deals!$A$2:$C1000, 3, FALSE), 0)</f>
        <v>3000000</v>
      </c>
      <c r="J13" s="22" t="b">
        <f>IFERROR(VLOOKUP(B13, raw_deals!$A$2:$O1000, 15, FALSE), FALSE)</f>
        <v>0</v>
      </c>
      <c r="K13" s="151">
        <f t="shared" si="1"/>
        <v>0</v>
      </c>
      <c r="L13" s="151">
        <f>IF(J13=FALSE, I13*H13*IFERROR(VLOOKUP(VLOOKUP(B13, raw_deals!$A$2:$D1000, 4, FALSE), '⚙️ Настройки'!$A$12:$D$18, 4, FALSE), 0), 0)</f>
        <v>900000</v>
      </c>
      <c r="M13" s="148">
        <v>46294.0</v>
      </c>
    </row>
    <row r="14" ht="15.75" customHeight="1">
      <c r="A14" s="22" t="s">
        <v>701</v>
      </c>
      <c r="B14" s="22" t="s">
        <v>694</v>
      </c>
      <c r="C14" s="22" t="s">
        <v>695</v>
      </c>
      <c r="D14" s="148">
        <v>46280.0</v>
      </c>
      <c r="E14" s="22" t="s">
        <v>487</v>
      </c>
      <c r="F14" s="22" t="s">
        <v>488</v>
      </c>
      <c r="G14" s="22" t="s">
        <v>489</v>
      </c>
      <c r="H14" s="149">
        <v>0.5</v>
      </c>
      <c r="I14" s="151">
        <f>IFERROR(VLOOKUP(B14, raw_deals!$A$2:$C1000, 3, FALSE), 0)</f>
        <v>3000000</v>
      </c>
      <c r="J14" s="22" t="b">
        <f>IFERROR(VLOOKUP(B14, raw_deals!$A$2:$O1000, 15, FALSE), FALSE)</f>
        <v>0</v>
      </c>
      <c r="K14" s="151">
        <f t="shared" si="1"/>
        <v>0</v>
      </c>
      <c r="L14" s="151">
        <f>IF(J14=FALSE, I14*H14*IFERROR(VLOOKUP(VLOOKUP(B14, raw_deals!$A$2:$D1000, 4, FALSE), '⚙️ Настройки'!$A$12:$D$18, 4, FALSE), 0), 0)</f>
        <v>900000</v>
      </c>
      <c r="M14" s="148">
        <v>46294.0</v>
      </c>
    </row>
    <row r="15" ht="15.75" customHeight="1">
      <c r="A15" s="22" t="s">
        <v>705</v>
      </c>
      <c r="B15" s="22" t="s">
        <v>636</v>
      </c>
      <c r="C15" s="22" t="s">
        <v>655</v>
      </c>
      <c r="D15" s="148">
        <v>46287.0</v>
      </c>
      <c r="E15" s="22" t="s">
        <v>487</v>
      </c>
      <c r="F15" s="22" t="s">
        <v>488</v>
      </c>
      <c r="G15" s="22" t="s">
        <v>541</v>
      </c>
      <c r="H15" s="149">
        <v>0.3</v>
      </c>
      <c r="I15" s="151">
        <f>IFERROR(VLOOKUP(B15, raw_deals!$A$2:$C1000, 3, FALSE), 0)</f>
        <v>850000</v>
      </c>
      <c r="J15" s="22" t="b">
        <f>IFERROR(VLOOKUP(B15, raw_deals!$A$2:$O1000, 15, FALSE), FALSE)</f>
        <v>0</v>
      </c>
      <c r="K15" s="151">
        <f t="shared" si="1"/>
        <v>0</v>
      </c>
      <c r="L15" s="151">
        <f>IF(J15=FALSE, I15*H15*IFERROR(VLOOKUP(VLOOKUP(B15, raw_deals!$A$2:$D1000, 4, FALSE), '⚙️ Настройки'!$A$12:$D$18, 4, FALSE), 0), 0)</f>
        <v>153000</v>
      </c>
      <c r="M15" s="148">
        <v>46294.0</v>
      </c>
    </row>
    <row r="16" ht="15.75" customHeight="1">
      <c r="E16" s="22"/>
      <c r="G16" s="22"/>
      <c r="H16" s="149"/>
      <c r="I16" s="151"/>
      <c r="K16" s="151"/>
      <c r="L16" s="151"/>
    </row>
    <row r="17" ht="15.75" customHeight="1">
      <c r="E17" s="22"/>
      <c r="G17" s="22"/>
      <c r="H17" s="149"/>
      <c r="I17" s="151"/>
      <c r="K17" s="151"/>
      <c r="L17" s="151"/>
    </row>
    <row r="18" ht="15.75" customHeight="1">
      <c r="E18" s="22"/>
      <c r="G18" s="22"/>
      <c r="H18" s="149"/>
      <c r="I18" s="151"/>
      <c r="K18" s="151"/>
      <c r="L18" s="151"/>
    </row>
    <row r="19" ht="15.75" customHeight="1">
      <c r="E19" s="22"/>
      <c r="G19" s="22"/>
      <c r="H19" s="149"/>
      <c r="I19" s="151"/>
      <c r="K19" s="151"/>
      <c r="L19" s="151"/>
    </row>
    <row r="20" ht="15.75" customHeight="1">
      <c r="E20" s="22"/>
      <c r="G20" s="22"/>
      <c r="H20" s="149"/>
      <c r="I20" s="151"/>
      <c r="K20" s="151"/>
      <c r="L20" s="151"/>
    </row>
    <row r="21" ht="15.75" customHeight="1">
      <c r="E21" s="22"/>
      <c r="G21" s="22"/>
    </row>
    <row r="22" ht="15.75" customHeight="1">
      <c r="E22" s="22"/>
      <c r="G22" s="22"/>
    </row>
    <row r="23" ht="15.75" customHeight="1">
      <c r="E23" s="22"/>
      <c r="G23" s="22"/>
    </row>
    <row r="24" ht="15.75" customHeight="1">
      <c r="E24" s="22"/>
      <c r="G24" s="22"/>
    </row>
    <row r="25" ht="15.75" customHeight="1">
      <c r="E25" s="22"/>
      <c r="G25" s="22"/>
    </row>
    <row r="26" ht="15.75" customHeight="1">
      <c r="E26" s="22"/>
      <c r="G26" s="22"/>
    </row>
    <row r="27" ht="15.75" customHeight="1">
      <c r="E27" s="22"/>
      <c r="G27" s="22"/>
    </row>
    <row r="28" ht="15.75" customHeight="1">
      <c r="E28" s="22"/>
      <c r="G28" s="22"/>
    </row>
    <row r="29" ht="15.75" customHeight="1">
      <c r="E29" s="22"/>
      <c r="G29" s="22"/>
    </row>
    <row r="30" ht="15.75" customHeight="1">
      <c r="E30" s="22"/>
      <c r="G30" s="22"/>
    </row>
    <row r="31" ht="15.75" customHeight="1">
      <c r="E31" s="22"/>
      <c r="G31" s="22"/>
    </row>
    <row r="32" ht="15.75" customHeight="1">
      <c r="E32" s="22"/>
      <c r="G32" s="22"/>
    </row>
    <row r="33" ht="15.75" customHeight="1">
      <c r="E33" s="22"/>
      <c r="G33" s="22"/>
    </row>
    <row r="34" ht="15.75" customHeight="1">
      <c r="E34" s="22"/>
      <c r="G34" s="22"/>
    </row>
    <row r="35" ht="15.75" customHeight="1">
      <c r="E35" s="22"/>
      <c r="G35" s="22"/>
    </row>
    <row r="36" ht="15.75" customHeight="1">
      <c r="E36" s="22"/>
      <c r="G36" s="22"/>
    </row>
    <row r="37" ht="15.75" customHeight="1">
      <c r="E37" s="22"/>
      <c r="G37" s="22"/>
    </row>
    <row r="38" ht="15.75" customHeight="1">
      <c r="E38" s="22"/>
      <c r="G38" s="22"/>
    </row>
    <row r="39" ht="15.75" customHeight="1">
      <c r="E39" s="22"/>
      <c r="G39" s="22"/>
    </row>
    <row r="40" ht="15.75" customHeight="1">
      <c r="E40" s="22"/>
      <c r="G40" s="22"/>
    </row>
    <row r="41" ht="15.75" customHeight="1">
      <c r="E41" s="22"/>
      <c r="G41" s="22"/>
    </row>
    <row r="42" ht="15.75" customHeight="1">
      <c r="E42" s="22"/>
      <c r="G42" s="22"/>
    </row>
    <row r="43" ht="15.75" customHeight="1">
      <c r="E43" s="22"/>
      <c r="G43" s="22"/>
    </row>
    <row r="44" ht="15.75" customHeight="1">
      <c r="E44" s="22"/>
      <c r="G44" s="22"/>
    </row>
    <row r="45" ht="15.75" customHeight="1">
      <c r="E45" s="22"/>
      <c r="G45" s="22"/>
    </row>
    <row r="46" ht="15.75" customHeight="1">
      <c r="E46" s="22"/>
      <c r="G46" s="22"/>
    </row>
    <row r="47" ht="15.75" customHeight="1">
      <c r="E47" s="22"/>
      <c r="G47" s="22"/>
    </row>
    <row r="48" ht="15.75" customHeight="1">
      <c r="E48" s="22"/>
      <c r="G48" s="22"/>
    </row>
    <row r="49" ht="15.75" customHeight="1">
      <c r="E49" s="22"/>
      <c r="G49" s="22"/>
    </row>
    <row r="50" ht="15.75" customHeight="1">
      <c r="E50" s="22"/>
      <c r="G50" s="22"/>
    </row>
    <row r="51" ht="15.75" customHeight="1">
      <c r="E51" s="22"/>
      <c r="G51" s="22"/>
    </row>
    <row r="52" ht="15.75" customHeight="1">
      <c r="E52" s="22"/>
      <c r="G52" s="22"/>
    </row>
    <row r="53" ht="15.75" customHeight="1">
      <c r="E53" s="22"/>
      <c r="G53" s="22"/>
    </row>
    <row r="54" ht="15.75" customHeight="1">
      <c r="E54" s="22"/>
      <c r="G54" s="22"/>
    </row>
    <row r="55" ht="15.75" customHeight="1">
      <c r="E55" s="22"/>
      <c r="G55" s="22"/>
    </row>
    <row r="56" ht="15.75" customHeight="1">
      <c r="E56" s="22"/>
      <c r="G56" s="22"/>
    </row>
    <row r="57" ht="15.75" customHeight="1">
      <c r="E57" s="22"/>
      <c r="G57" s="22"/>
    </row>
    <row r="58" ht="15.75" customHeight="1">
      <c r="E58" s="22"/>
      <c r="G58" s="22"/>
    </row>
    <row r="59" ht="15.75" customHeight="1">
      <c r="E59" s="22"/>
      <c r="G59" s="22"/>
    </row>
    <row r="60" ht="15.75" customHeight="1">
      <c r="E60" s="22"/>
      <c r="G60" s="22"/>
    </row>
    <row r="61" ht="15.75" customHeight="1">
      <c r="E61" s="22"/>
      <c r="G61" s="22"/>
    </row>
    <row r="62" ht="15.75" customHeight="1">
      <c r="E62" s="22"/>
      <c r="G62" s="22"/>
    </row>
    <row r="63" ht="15.75" customHeight="1">
      <c r="E63" s="22"/>
      <c r="G63" s="22"/>
    </row>
    <row r="64" ht="15.75" customHeight="1">
      <c r="E64" s="22"/>
      <c r="G64" s="22"/>
    </row>
    <row r="65" ht="15.75" customHeight="1">
      <c r="E65" s="22"/>
      <c r="G65" s="22"/>
    </row>
    <row r="66" ht="15.75" customHeight="1">
      <c r="E66" s="22"/>
      <c r="G66" s="22"/>
    </row>
    <row r="67" ht="15.75" customHeight="1">
      <c r="E67" s="22"/>
      <c r="G67" s="22"/>
    </row>
    <row r="68" ht="15.75" customHeight="1">
      <c r="E68" s="22"/>
      <c r="G68" s="22"/>
    </row>
    <row r="69" ht="15.75" customHeight="1">
      <c r="E69" s="22"/>
      <c r="G69" s="22"/>
    </row>
    <row r="70" ht="15.75" customHeight="1">
      <c r="E70" s="22"/>
      <c r="G70" s="22"/>
    </row>
    <row r="71" ht="15.75" customHeight="1">
      <c r="E71" s="22"/>
      <c r="G71" s="22"/>
    </row>
    <row r="72" ht="15.75" customHeight="1">
      <c r="E72" s="22"/>
      <c r="G72" s="22"/>
    </row>
    <row r="73" ht="15.75" customHeight="1">
      <c r="E73" s="22"/>
      <c r="G73" s="22"/>
    </row>
    <row r="74" ht="15.75" customHeight="1">
      <c r="E74" s="22"/>
      <c r="G74" s="22"/>
    </row>
    <row r="75" ht="15.75" customHeight="1">
      <c r="E75" s="22"/>
      <c r="G75" s="22"/>
    </row>
    <row r="76" ht="15.75" customHeight="1">
      <c r="E76" s="22"/>
      <c r="G76" s="22"/>
    </row>
    <row r="77" ht="15.75" customHeight="1">
      <c r="E77" s="22"/>
      <c r="G77" s="22"/>
    </row>
    <row r="78" ht="15.75" customHeight="1">
      <c r="E78" s="22"/>
      <c r="G78" s="22"/>
    </row>
    <row r="79" ht="15.75" customHeight="1">
      <c r="E79" s="22"/>
      <c r="G79" s="22"/>
    </row>
    <row r="80" ht="15.75" customHeight="1">
      <c r="E80" s="22"/>
      <c r="G80" s="22"/>
    </row>
    <row r="81" ht="15.75" customHeight="1">
      <c r="E81" s="22"/>
      <c r="G81" s="22"/>
    </row>
    <row r="82" ht="15.75" customHeight="1">
      <c r="E82" s="22"/>
      <c r="G82" s="22"/>
    </row>
    <row r="83" ht="15.75" customHeight="1">
      <c r="E83" s="22"/>
      <c r="G83" s="22"/>
    </row>
    <row r="84" ht="15.75" customHeight="1">
      <c r="E84" s="22"/>
      <c r="G84" s="22"/>
    </row>
    <row r="85" ht="15.75" customHeight="1">
      <c r="E85" s="22"/>
      <c r="G85" s="22"/>
    </row>
    <row r="86" ht="15.75" customHeight="1">
      <c r="E86" s="22"/>
      <c r="G86" s="22"/>
    </row>
    <row r="87" ht="15.75" customHeight="1">
      <c r="E87" s="22"/>
      <c r="G87" s="22"/>
    </row>
    <row r="88" ht="15.75" customHeight="1">
      <c r="E88" s="22"/>
      <c r="G88" s="22"/>
    </row>
    <row r="89" ht="15.75" customHeight="1">
      <c r="E89" s="22"/>
      <c r="G89" s="22"/>
    </row>
    <row r="90" ht="15.75" customHeight="1">
      <c r="E90" s="22"/>
      <c r="G90" s="22"/>
    </row>
    <row r="91" ht="15.75" customHeight="1">
      <c r="E91" s="22"/>
      <c r="G91" s="22"/>
    </row>
    <row r="92" ht="15.75" customHeight="1">
      <c r="E92" s="22"/>
      <c r="G92" s="22"/>
    </row>
    <row r="93" ht="15.75" customHeight="1">
      <c r="E93" s="22"/>
      <c r="G93" s="22"/>
    </row>
    <row r="94" ht="15.75" customHeight="1">
      <c r="E94" s="22"/>
      <c r="G94" s="22"/>
    </row>
    <row r="95" ht="15.75" customHeight="1">
      <c r="E95" s="22"/>
      <c r="G95" s="22"/>
    </row>
    <row r="96" ht="15.75" customHeight="1">
      <c r="E96" s="22"/>
      <c r="G96" s="22"/>
    </row>
    <row r="97" ht="15.75" customHeight="1">
      <c r="E97" s="22"/>
      <c r="G97" s="22"/>
    </row>
    <row r="98" ht="15.75" customHeight="1">
      <c r="E98" s="22"/>
      <c r="G98" s="22"/>
    </row>
    <row r="99" ht="15.75" customHeight="1">
      <c r="E99" s="22"/>
      <c r="G99" s="22"/>
    </row>
    <row r="100" ht="15.75" customHeight="1">
      <c r="E100" s="22"/>
      <c r="G100" s="22"/>
    </row>
    <row r="101" ht="15.75" customHeight="1">
      <c r="E101" s="22"/>
      <c r="G101" s="22"/>
    </row>
    <row r="102" ht="15.75" customHeight="1">
      <c r="E102" s="22"/>
      <c r="G102" s="22"/>
    </row>
    <row r="103" ht="15.75" customHeight="1">
      <c r="E103" s="22"/>
      <c r="G103" s="22"/>
    </row>
    <row r="104" ht="15.75" customHeight="1">
      <c r="E104" s="22"/>
      <c r="G104" s="22"/>
    </row>
    <row r="105" ht="15.75" customHeight="1">
      <c r="E105" s="22"/>
      <c r="G105" s="22"/>
    </row>
    <row r="106" ht="15.75" customHeight="1">
      <c r="E106" s="22"/>
      <c r="G106" s="22"/>
    </row>
    <row r="107" ht="15.75" customHeight="1">
      <c r="E107" s="22"/>
      <c r="G107" s="22"/>
    </row>
    <row r="108" ht="15.75" customHeight="1">
      <c r="E108" s="22"/>
      <c r="G108" s="22"/>
    </row>
    <row r="109" ht="15.75" customHeight="1">
      <c r="E109" s="22"/>
      <c r="G109" s="22"/>
    </row>
    <row r="110" ht="15.75" customHeight="1">
      <c r="E110" s="22"/>
      <c r="G110" s="22"/>
    </row>
    <row r="111" ht="15.75" customHeight="1">
      <c r="E111" s="22"/>
      <c r="G111" s="22"/>
    </row>
    <row r="112" ht="15.75" customHeight="1">
      <c r="E112" s="22"/>
      <c r="G112" s="22"/>
    </row>
    <row r="113" ht="15.75" customHeight="1">
      <c r="E113" s="22"/>
      <c r="G113" s="22"/>
    </row>
    <row r="114" ht="15.75" customHeight="1">
      <c r="E114" s="22"/>
      <c r="G114" s="22"/>
    </row>
    <row r="115" ht="15.75" customHeight="1">
      <c r="E115" s="22"/>
      <c r="G115" s="22"/>
    </row>
    <row r="116" ht="15.75" customHeight="1">
      <c r="E116" s="22"/>
      <c r="G116" s="22"/>
    </row>
    <row r="117" ht="15.75" customHeight="1">
      <c r="E117" s="22"/>
      <c r="G117" s="22"/>
    </row>
    <row r="118" ht="15.75" customHeight="1">
      <c r="E118" s="22"/>
      <c r="G118" s="22"/>
    </row>
    <row r="119" ht="15.75" customHeight="1">
      <c r="E119" s="22"/>
      <c r="G119" s="22"/>
    </row>
    <row r="120" ht="15.75" customHeight="1">
      <c r="E120" s="22"/>
      <c r="G120" s="22"/>
    </row>
    <row r="121" ht="15.75" customHeight="1">
      <c r="E121" s="22"/>
      <c r="G121" s="22"/>
    </row>
    <row r="122" ht="15.75" customHeight="1">
      <c r="E122" s="22"/>
      <c r="G122" s="22"/>
    </row>
    <row r="123" ht="15.75" customHeight="1">
      <c r="E123" s="22"/>
      <c r="G123" s="22"/>
    </row>
    <row r="124" ht="15.75" customHeight="1">
      <c r="E124" s="22"/>
      <c r="G124" s="22"/>
    </row>
    <row r="125" ht="15.75" customHeight="1">
      <c r="E125" s="22"/>
      <c r="G125" s="22"/>
    </row>
    <row r="126" ht="15.75" customHeight="1">
      <c r="E126" s="22"/>
      <c r="G126" s="22"/>
    </row>
    <row r="127" ht="15.75" customHeight="1">
      <c r="E127" s="22"/>
      <c r="G127" s="22"/>
    </row>
    <row r="128" ht="15.75" customHeight="1">
      <c r="E128" s="22"/>
      <c r="G128" s="22"/>
    </row>
    <row r="129" ht="15.75" customHeight="1">
      <c r="E129" s="22"/>
      <c r="G129" s="22"/>
    </row>
    <row r="130" ht="15.75" customHeight="1">
      <c r="E130" s="22"/>
      <c r="G130" s="22"/>
    </row>
    <row r="131" ht="15.75" customHeight="1">
      <c r="E131" s="22"/>
      <c r="G131" s="22"/>
    </row>
    <row r="132" ht="15.75" customHeight="1">
      <c r="E132" s="22"/>
      <c r="G132" s="22"/>
    </row>
    <row r="133" ht="15.75" customHeight="1">
      <c r="E133" s="22"/>
      <c r="G133" s="22"/>
    </row>
    <row r="134" ht="15.75" customHeight="1">
      <c r="E134" s="22"/>
      <c r="G134" s="22"/>
    </row>
    <row r="135" ht="15.75" customHeight="1">
      <c r="E135" s="22"/>
      <c r="G135" s="22"/>
    </row>
    <row r="136" ht="15.75" customHeight="1">
      <c r="E136" s="22"/>
      <c r="G136" s="22"/>
    </row>
    <row r="137" ht="15.75" customHeight="1">
      <c r="E137" s="22"/>
      <c r="G137" s="22"/>
    </row>
    <row r="138" ht="15.75" customHeight="1">
      <c r="E138" s="22"/>
      <c r="G138" s="22"/>
    </row>
    <row r="139" ht="15.75" customHeight="1">
      <c r="E139" s="22"/>
      <c r="G139" s="22"/>
    </row>
    <row r="140" ht="15.75" customHeight="1">
      <c r="E140" s="22"/>
      <c r="G140" s="22"/>
    </row>
    <row r="141" ht="15.75" customHeight="1">
      <c r="E141" s="22"/>
      <c r="G141" s="22"/>
    </row>
    <row r="142" ht="15.75" customHeight="1">
      <c r="E142" s="22"/>
      <c r="G142" s="22"/>
    </row>
    <row r="143" ht="15.75" customHeight="1">
      <c r="E143" s="22"/>
      <c r="G143" s="22"/>
    </row>
    <row r="144" ht="15.75" customHeight="1">
      <c r="E144" s="22"/>
      <c r="G144" s="22"/>
    </row>
    <row r="145" ht="15.75" customHeight="1">
      <c r="E145" s="22"/>
      <c r="G145" s="22"/>
    </row>
    <row r="146" ht="15.75" customHeight="1">
      <c r="E146" s="22"/>
      <c r="G146" s="22"/>
    </row>
    <row r="147" ht="15.75" customHeight="1">
      <c r="E147" s="22"/>
      <c r="G147" s="22"/>
    </row>
    <row r="148" ht="15.75" customHeight="1">
      <c r="E148" s="22"/>
      <c r="G148" s="22"/>
    </row>
    <row r="149" ht="15.75" customHeight="1">
      <c r="E149" s="22"/>
      <c r="G149" s="22"/>
    </row>
    <row r="150" ht="15.75" customHeight="1">
      <c r="E150" s="22"/>
      <c r="G150" s="22"/>
    </row>
    <row r="151" ht="15.75" customHeight="1">
      <c r="E151" s="22"/>
      <c r="G151" s="22"/>
    </row>
    <row r="152" ht="15.75" customHeight="1">
      <c r="E152" s="22"/>
      <c r="G152" s="22"/>
    </row>
    <row r="153" ht="15.75" customHeight="1">
      <c r="E153" s="22"/>
      <c r="G153" s="22"/>
    </row>
    <row r="154" ht="15.75" customHeight="1">
      <c r="E154" s="22"/>
      <c r="G154" s="22"/>
    </row>
    <row r="155" ht="15.75" customHeight="1">
      <c r="E155" s="22"/>
      <c r="G155" s="22"/>
    </row>
    <row r="156" ht="15.75" customHeight="1">
      <c r="E156" s="22"/>
      <c r="G156" s="22"/>
    </row>
    <row r="157" ht="15.75" customHeight="1">
      <c r="E157" s="22"/>
      <c r="G157" s="22"/>
    </row>
    <row r="158" ht="15.75" customHeight="1">
      <c r="E158" s="22"/>
      <c r="G158" s="22"/>
    </row>
    <row r="159" ht="15.75" customHeight="1">
      <c r="E159" s="22"/>
      <c r="G159" s="22"/>
    </row>
    <row r="160" ht="15.75" customHeight="1">
      <c r="E160" s="22"/>
      <c r="G160" s="22"/>
    </row>
    <row r="161" ht="15.75" customHeight="1">
      <c r="E161" s="22"/>
      <c r="G161" s="22"/>
    </row>
    <row r="162" ht="15.75" customHeight="1">
      <c r="E162" s="22"/>
      <c r="G162" s="22"/>
    </row>
    <row r="163" ht="15.75" customHeight="1">
      <c r="E163" s="22"/>
      <c r="G163" s="22"/>
    </row>
    <row r="164" ht="15.75" customHeight="1">
      <c r="E164" s="22"/>
      <c r="G164" s="22"/>
    </row>
    <row r="165" ht="15.75" customHeight="1">
      <c r="E165" s="22"/>
      <c r="G165" s="22"/>
    </row>
    <row r="166" ht="15.75" customHeight="1">
      <c r="E166" s="22"/>
      <c r="G166" s="22"/>
    </row>
    <row r="167" ht="15.75" customHeight="1">
      <c r="E167" s="22"/>
      <c r="G167" s="22"/>
    </row>
    <row r="168" ht="15.75" customHeight="1">
      <c r="E168" s="22"/>
      <c r="G168" s="22"/>
    </row>
    <row r="169" ht="15.75" customHeight="1">
      <c r="E169" s="22"/>
      <c r="G169" s="22"/>
    </row>
    <row r="170" ht="15.75" customHeight="1">
      <c r="E170" s="22"/>
      <c r="G170" s="22"/>
    </row>
    <row r="171" ht="15.75" customHeight="1">
      <c r="E171" s="22"/>
      <c r="G171" s="22"/>
    </row>
    <row r="172" ht="15.75" customHeight="1">
      <c r="E172" s="22"/>
      <c r="G172" s="22"/>
    </row>
    <row r="173" ht="15.75" customHeight="1">
      <c r="E173" s="22"/>
      <c r="G173" s="22"/>
    </row>
    <row r="174" ht="15.75" customHeight="1">
      <c r="E174" s="22"/>
      <c r="G174" s="22"/>
    </row>
    <row r="175" ht="15.75" customHeight="1">
      <c r="E175" s="22"/>
      <c r="G175" s="22"/>
    </row>
    <row r="176" ht="15.75" customHeight="1">
      <c r="E176" s="22"/>
      <c r="G176" s="22"/>
    </row>
    <row r="177" ht="15.75" customHeight="1">
      <c r="E177" s="22"/>
      <c r="G177" s="22"/>
    </row>
    <row r="178" ht="15.75" customHeight="1">
      <c r="E178" s="22"/>
      <c r="G178" s="22"/>
    </row>
    <row r="179" ht="15.75" customHeight="1">
      <c r="E179" s="22"/>
      <c r="G179" s="22"/>
    </row>
    <row r="180" ht="15.75" customHeight="1">
      <c r="E180" s="22"/>
      <c r="G180" s="22"/>
    </row>
    <row r="181" ht="15.75" customHeight="1">
      <c r="E181" s="22"/>
      <c r="G181" s="22"/>
    </row>
    <row r="182" ht="15.75" customHeight="1">
      <c r="E182" s="22"/>
      <c r="G182" s="22"/>
    </row>
    <row r="183" ht="15.75" customHeight="1">
      <c r="E183" s="22"/>
      <c r="G183" s="22"/>
    </row>
    <row r="184" ht="15.75" customHeight="1">
      <c r="E184" s="22"/>
      <c r="G184" s="22"/>
    </row>
    <row r="185" ht="15.75" customHeight="1">
      <c r="E185" s="22"/>
      <c r="G185" s="22"/>
    </row>
    <row r="186" ht="15.75" customHeight="1">
      <c r="E186" s="22"/>
      <c r="G186" s="22"/>
    </row>
    <row r="187" ht="15.75" customHeight="1">
      <c r="E187" s="22"/>
      <c r="G187" s="22"/>
    </row>
    <row r="188" ht="15.75" customHeight="1">
      <c r="E188" s="22"/>
      <c r="G188" s="22"/>
    </row>
    <row r="189" ht="15.75" customHeight="1">
      <c r="E189" s="22"/>
      <c r="G189" s="22"/>
    </row>
    <row r="190" ht="15.75" customHeight="1">
      <c r="E190" s="22"/>
      <c r="G190" s="22"/>
    </row>
    <row r="191" ht="15.75" customHeight="1">
      <c r="E191" s="22"/>
      <c r="G191" s="22"/>
    </row>
    <row r="192" ht="15.75" customHeight="1">
      <c r="E192" s="22"/>
      <c r="G192" s="22"/>
    </row>
    <row r="193" ht="15.75" customHeight="1">
      <c r="E193" s="22"/>
      <c r="G193" s="22"/>
    </row>
    <row r="194" ht="15.75" customHeight="1">
      <c r="E194" s="22"/>
      <c r="G194" s="22"/>
    </row>
    <row r="195" ht="15.75" customHeight="1">
      <c r="E195" s="22"/>
      <c r="G195" s="22"/>
    </row>
    <row r="196" ht="15.75" customHeight="1">
      <c r="E196" s="22"/>
      <c r="G196" s="22"/>
    </row>
    <row r="197" ht="15.75" customHeight="1">
      <c r="E197" s="22"/>
      <c r="G197" s="22"/>
    </row>
    <row r="198" ht="15.75" customHeight="1">
      <c r="E198" s="22"/>
      <c r="G198" s="22"/>
    </row>
    <row r="199" ht="15.75" customHeight="1">
      <c r="E199" s="22"/>
      <c r="G199" s="22"/>
    </row>
    <row r="200" ht="15.75" customHeight="1">
      <c r="E200" s="22"/>
      <c r="G200" s="22"/>
    </row>
    <row r="201" ht="15.75" customHeight="1">
      <c r="E201" s="22"/>
      <c r="G201" s="22"/>
    </row>
    <row r="202" ht="15.75" customHeight="1">
      <c r="E202" s="22"/>
      <c r="G202" s="22"/>
    </row>
    <row r="203" ht="15.75" customHeight="1">
      <c r="E203" s="22"/>
      <c r="G203" s="22"/>
    </row>
    <row r="204" ht="15.75" customHeight="1">
      <c r="E204" s="22"/>
      <c r="G204" s="22"/>
    </row>
    <row r="205" ht="15.75" customHeight="1">
      <c r="E205" s="22"/>
      <c r="G205" s="22"/>
    </row>
    <row r="206" ht="15.75" customHeight="1">
      <c r="E206" s="22"/>
      <c r="G206" s="22"/>
    </row>
    <row r="207" ht="15.75" customHeight="1">
      <c r="E207" s="22"/>
      <c r="G207" s="22"/>
    </row>
    <row r="208" ht="15.75" customHeight="1">
      <c r="E208" s="22"/>
      <c r="G208" s="22"/>
    </row>
    <row r="209" ht="15.75" customHeight="1">
      <c r="E209" s="22"/>
      <c r="G209" s="22"/>
    </row>
    <row r="210" ht="15.75" customHeight="1">
      <c r="E210" s="22"/>
      <c r="G210" s="22"/>
    </row>
    <row r="211" ht="15.75" customHeight="1">
      <c r="E211" s="22"/>
      <c r="G211" s="22"/>
    </row>
    <row r="212" ht="15.75" customHeight="1">
      <c r="E212" s="22"/>
      <c r="G212" s="22"/>
    </row>
    <row r="213" ht="15.75" customHeight="1">
      <c r="E213" s="22"/>
      <c r="G213" s="22"/>
    </row>
    <row r="214" ht="15.75" customHeight="1">
      <c r="E214" s="22"/>
      <c r="G214" s="22"/>
    </row>
    <row r="215" ht="15.75" customHeight="1">
      <c r="E215" s="22"/>
      <c r="G215" s="22"/>
    </row>
    <row r="216" ht="15.75" customHeight="1">
      <c r="E216" s="22"/>
      <c r="G216" s="22"/>
    </row>
    <row r="217" ht="15.75" customHeight="1">
      <c r="E217" s="22"/>
      <c r="G217" s="22"/>
    </row>
    <row r="218" ht="15.75" customHeight="1">
      <c r="E218" s="22"/>
      <c r="G218" s="22"/>
    </row>
    <row r="219" ht="15.75" customHeight="1">
      <c r="E219" s="22"/>
      <c r="G219" s="22"/>
    </row>
    <row r="220" ht="15.75" customHeight="1">
      <c r="E220" s="22"/>
      <c r="G220" s="22"/>
    </row>
    <row r="221" ht="15.75" customHeight="1">
      <c r="E221" s="200"/>
      <c r="G221" s="200"/>
    </row>
    <row r="222" ht="15.75" customHeight="1">
      <c r="E222" s="200"/>
      <c r="G222" s="200"/>
    </row>
    <row r="223" ht="15.75" customHeight="1">
      <c r="E223" s="200"/>
      <c r="G223" s="200"/>
    </row>
    <row r="224" ht="15.75" customHeight="1">
      <c r="E224" s="200"/>
      <c r="G224" s="200"/>
    </row>
    <row r="225" ht="15.75" customHeight="1">
      <c r="E225" s="200"/>
      <c r="G225" s="200"/>
    </row>
    <row r="226" ht="15.75" customHeight="1">
      <c r="E226" s="200"/>
      <c r="G226" s="200"/>
    </row>
    <row r="227" ht="15.75" customHeight="1">
      <c r="E227" s="200"/>
      <c r="G227" s="200"/>
    </row>
    <row r="228" ht="15.75" customHeight="1">
      <c r="E228" s="200"/>
      <c r="G228" s="200"/>
    </row>
    <row r="229" ht="15.75" customHeight="1">
      <c r="E229" s="200"/>
      <c r="G229" s="200"/>
    </row>
    <row r="230" ht="15.75" customHeight="1">
      <c r="E230" s="200"/>
      <c r="G230" s="200"/>
    </row>
    <row r="231" ht="15.75" customHeight="1">
      <c r="E231" s="200"/>
      <c r="G231" s="200"/>
    </row>
    <row r="232" ht="15.75" customHeight="1">
      <c r="E232" s="200"/>
      <c r="G232" s="200"/>
    </row>
    <row r="233" ht="15.75" customHeight="1">
      <c r="E233" s="200"/>
      <c r="G233" s="200"/>
    </row>
    <row r="234" ht="15.75" customHeight="1">
      <c r="E234" s="200"/>
      <c r="G234" s="200"/>
    </row>
    <row r="235" ht="15.75" customHeight="1">
      <c r="E235" s="200"/>
      <c r="G235" s="200"/>
    </row>
    <row r="236" ht="15.75" customHeight="1">
      <c r="E236" s="200"/>
      <c r="G236" s="200"/>
    </row>
    <row r="237" ht="15.75" customHeight="1">
      <c r="E237" s="200"/>
      <c r="G237" s="200"/>
    </row>
    <row r="238" ht="15.75" customHeight="1">
      <c r="E238" s="200"/>
      <c r="G238" s="200"/>
    </row>
    <row r="239" ht="15.75" customHeight="1">
      <c r="E239" s="200"/>
      <c r="G239" s="200"/>
    </row>
    <row r="240" ht="15.75" customHeight="1">
      <c r="E240" s="200"/>
      <c r="G240" s="200"/>
    </row>
    <row r="241" ht="15.75" customHeight="1">
      <c r="E241" s="200"/>
      <c r="G241" s="200"/>
    </row>
    <row r="242" ht="15.75" customHeight="1">
      <c r="E242" s="200"/>
      <c r="G242" s="200"/>
    </row>
    <row r="243" ht="15.75" customHeight="1">
      <c r="E243" s="200"/>
      <c r="G243" s="200"/>
    </row>
    <row r="244" ht="15.75" customHeight="1">
      <c r="E244" s="200"/>
      <c r="G244" s="200"/>
    </row>
    <row r="245" ht="15.75" customHeight="1">
      <c r="E245" s="200"/>
      <c r="G245" s="200"/>
    </row>
    <row r="246" ht="15.75" customHeight="1">
      <c r="E246" s="200"/>
      <c r="G246" s="200"/>
    </row>
    <row r="247" ht="15.75" customHeight="1">
      <c r="E247" s="200"/>
      <c r="G247" s="200"/>
    </row>
    <row r="248" ht="15.75" customHeight="1">
      <c r="E248" s="200"/>
      <c r="G248" s="200"/>
    </row>
    <row r="249" ht="15.75" customHeight="1">
      <c r="E249" s="200"/>
      <c r="G249" s="200"/>
    </row>
    <row r="250" ht="15.75" customHeight="1">
      <c r="E250" s="200"/>
      <c r="G250" s="200"/>
    </row>
    <row r="251" ht="15.75" customHeight="1">
      <c r="E251" s="200"/>
      <c r="G251" s="200"/>
    </row>
    <row r="252" ht="15.75" customHeight="1">
      <c r="E252" s="200"/>
      <c r="G252" s="200"/>
    </row>
    <row r="253" ht="15.75" customHeight="1">
      <c r="E253" s="200"/>
      <c r="G253" s="200"/>
    </row>
    <row r="254" ht="15.75" customHeight="1">
      <c r="E254" s="200"/>
      <c r="G254" s="200"/>
    </row>
    <row r="255" ht="15.75" customHeight="1">
      <c r="E255" s="200"/>
      <c r="G255" s="200"/>
    </row>
    <row r="256" ht="15.75" customHeight="1">
      <c r="E256" s="200"/>
      <c r="G256" s="200"/>
    </row>
    <row r="257" ht="15.75" customHeight="1">
      <c r="E257" s="200"/>
      <c r="G257" s="200"/>
    </row>
    <row r="258" ht="15.75" customHeight="1">
      <c r="E258" s="200"/>
      <c r="G258" s="200"/>
    </row>
    <row r="259" ht="15.75" customHeight="1">
      <c r="E259" s="200"/>
      <c r="G259" s="200"/>
    </row>
    <row r="260" ht="15.75" customHeight="1">
      <c r="E260" s="200"/>
      <c r="G260" s="200"/>
    </row>
    <row r="261" ht="15.75" customHeight="1">
      <c r="E261" s="200"/>
      <c r="G261" s="200"/>
    </row>
    <row r="262" ht="15.75" customHeight="1">
      <c r="E262" s="200"/>
      <c r="G262" s="200"/>
    </row>
    <row r="263" ht="15.75" customHeight="1">
      <c r="E263" s="200"/>
      <c r="G263" s="200"/>
    </row>
    <row r="264" ht="15.75" customHeight="1">
      <c r="E264" s="200"/>
      <c r="G264" s="200"/>
    </row>
    <row r="265" ht="15.75" customHeight="1">
      <c r="E265" s="200"/>
      <c r="G265" s="200"/>
    </row>
    <row r="266" ht="15.75" customHeight="1">
      <c r="E266" s="200"/>
      <c r="G266" s="200"/>
    </row>
    <row r="267" ht="15.75" customHeight="1">
      <c r="E267" s="200"/>
      <c r="G267" s="200"/>
    </row>
    <row r="268" ht="15.75" customHeight="1">
      <c r="E268" s="200"/>
      <c r="G268" s="200"/>
    </row>
    <row r="269" ht="15.75" customHeight="1">
      <c r="E269" s="200"/>
      <c r="G269" s="200"/>
    </row>
    <row r="270" ht="15.75" customHeight="1">
      <c r="E270" s="200"/>
      <c r="G270" s="200"/>
    </row>
    <row r="271" ht="15.75" customHeight="1">
      <c r="E271" s="200"/>
      <c r="G271" s="200"/>
    </row>
    <row r="272" ht="15.75" customHeight="1">
      <c r="E272" s="200"/>
      <c r="G272" s="200"/>
    </row>
    <row r="273" ht="15.75" customHeight="1">
      <c r="E273" s="200"/>
      <c r="G273" s="200"/>
    </row>
    <row r="274" ht="15.75" customHeight="1">
      <c r="E274" s="200"/>
      <c r="G274" s="200"/>
    </row>
    <row r="275" ht="15.75" customHeight="1">
      <c r="E275" s="200"/>
      <c r="G275" s="200"/>
    </row>
    <row r="276" ht="15.75" customHeight="1">
      <c r="E276" s="200"/>
      <c r="G276" s="200"/>
    </row>
    <row r="277" ht="15.75" customHeight="1">
      <c r="E277" s="200"/>
      <c r="G277" s="200"/>
    </row>
    <row r="278" ht="15.75" customHeight="1">
      <c r="E278" s="200"/>
      <c r="G278" s="200"/>
    </row>
    <row r="279" ht="15.75" customHeight="1">
      <c r="E279" s="200"/>
      <c r="G279" s="200"/>
    </row>
    <row r="280" ht="15.75" customHeight="1">
      <c r="E280" s="200"/>
      <c r="G280" s="200"/>
    </row>
    <row r="281" ht="15.75" customHeight="1">
      <c r="E281" s="200"/>
      <c r="G281" s="200"/>
    </row>
    <row r="282" ht="15.75" customHeight="1">
      <c r="E282" s="200"/>
      <c r="G282" s="200"/>
    </row>
    <row r="283" ht="15.75" customHeight="1">
      <c r="E283" s="200"/>
      <c r="G283" s="200"/>
    </row>
    <row r="284" ht="15.75" customHeight="1">
      <c r="E284" s="200"/>
      <c r="G284" s="200"/>
    </row>
    <row r="285" ht="15.75" customHeight="1">
      <c r="E285" s="200"/>
      <c r="G285" s="200"/>
    </row>
    <row r="286" ht="15.75" customHeight="1">
      <c r="E286" s="200"/>
      <c r="G286" s="200"/>
    </row>
    <row r="287" ht="15.75" customHeight="1">
      <c r="E287" s="200"/>
      <c r="G287" s="200"/>
    </row>
    <row r="288" ht="15.75" customHeight="1">
      <c r="E288" s="200"/>
      <c r="G288" s="200"/>
    </row>
    <row r="289" ht="15.75" customHeight="1">
      <c r="E289" s="200"/>
      <c r="G289" s="200"/>
    </row>
    <row r="290" ht="15.75" customHeight="1">
      <c r="E290" s="200"/>
      <c r="G290" s="200"/>
    </row>
    <row r="291" ht="15.75" customHeight="1">
      <c r="E291" s="200"/>
      <c r="G291" s="200"/>
    </row>
    <row r="292" ht="15.75" customHeight="1">
      <c r="E292" s="200"/>
      <c r="G292" s="200"/>
    </row>
    <row r="293" ht="15.75" customHeight="1">
      <c r="E293" s="200"/>
      <c r="G293" s="200"/>
    </row>
    <row r="294" ht="15.75" customHeight="1">
      <c r="E294" s="200"/>
      <c r="G294" s="200"/>
    </row>
    <row r="295" ht="15.75" customHeight="1">
      <c r="E295" s="200"/>
      <c r="G295" s="200"/>
    </row>
    <row r="296" ht="15.75" customHeight="1">
      <c r="E296" s="200"/>
      <c r="G296" s="200"/>
    </row>
    <row r="297" ht="15.75" customHeight="1">
      <c r="E297" s="200"/>
      <c r="G297" s="200"/>
    </row>
    <row r="298" ht="15.75" customHeight="1">
      <c r="E298" s="200"/>
      <c r="G298" s="200"/>
    </row>
    <row r="299" ht="15.75" customHeight="1">
      <c r="E299" s="200"/>
      <c r="G299" s="200"/>
    </row>
    <row r="300" ht="15.75" customHeight="1">
      <c r="E300" s="200"/>
      <c r="G300" s="200"/>
    </row>
    <row r="301" ht="15.75" customHeight="1">
      <c r="E301" s="200"/>
      <c r="G301" s="200"/>
    </row>
    <row r="302" ht="15.75" customHeight="1">
      <c r="E302" s="200"/>
      <c r="G302" s="200"/>
    </row>
    <row r="303" ht="15.75" customHeight="1">
      <c r="E303" s="200"/>
      <c r="G303" s="200"/>
    </row>
    <row r="304" ht="15.75" customHeight="1">
      <c r="E304" s="200"/>
      <c r="G304" s="200"/>
    </row>
    <row r="305" ht="15.75" customHeight="1">
      <c r="E305" s="200"/>
      <c r="G305" s="200"/>
    </row>
    <row r="306" ht="15.75" customHeight="1">
      <c r="E306" s="200"/>
      <c r="G306" s="200"/>
    </row>
    <row r="307" ht="15.75" customHeight="1">
      <c r="E307" s="200"/>
      <c r="G307" s="200"/>
    </row>
    <row r="308" ht="15.75" customHeight="1">
      <c r="E308" s="200"/>
      <c r="G308" s="200"/>
    </row>
    <row r="309" ht="15.75" customHeight="1">
      <c r="E309" s="200"/>
      <c r="G309" s="200"/>
    </row>
    <row r="310" ht="15.75" customHeight="1">
      <c r="E310" s="200"/>
      <c r="G310" s="200"/>
    </row>
    <row r="311" ht="15.75" customHeight="1">
      <c r="E311" s="200"/>
      <c r="G311" s="200"/>
    </row>
    <row r="312" ht="15.75" customHeight="1">
      <c r="E312" s="200"/>
      <c r="G312" s="200"/>
    </row>
    <row r="313" ht="15.75" customHeight="1">
      <c r="E313" s="200"/>
      <c r="G313" s="200"/>
    </row>
    <row r="314" ht="15.75" customHeight="1">
      <c r="E314" s="200"/>
      <c r="G314" s="200"/>
    </row>
    <row r="315" ht="15.75" customHeight="1">
      <c r="E315" s="200"/>
      <c r="G315" s="200"/>
    </row>
    <row r="316" ht="15.75" customHeight="1">
      <c r="E316" s="200"/>
      <c r="G316" s="200"/>
    </row>
    <row r="317" ht="15.75" customHeight="1">
      <c r="E317" s="200"/>
      <c r="G317" s="200"/>
    </row>
    <row r="318" ht="15.75" customHeight="1">
      <c r="E318" s="200"/>
      <c r="G318" s="200"/>
    </row>
    <row r="319" ht="15.75" customHeight="1">
      <c r="E319" s="200"/>
      <c r="G319" s="200"/>
    </row>
    <row r="320" ht="15.75" customHeight="1">
      <c r="E320" s="200"/>
      <c r="G320" s="200"/>
    </row>
    <row r="321" ht="15.75" customHeight="1">
      <c r="E321" s="200"/>
      <c r="G321" s="200"/>
    </row>
    <row r="322" ht="15.75" customHeight="1">
      <c r="E322" s="200"/>
      <c r="G322" s="200"/>
    </row>
    <row r="323" ht="15.75" customHeight="1">
      <c r="E323" s="200"/>
      <c r="G323" s="200"/>
    </row>
    <row r="324" ht="15.75" customHeight="1">
      <c r="E324" s="200"/>
      <c r="G324" s="200"/>
    </row>
    <row r="325" ht="15.75" customHeight="1">
      <c r="E325" s="200"/>
      <c r="G325" s="200"/>
    </row>
    <row r="326" ht="15.75" customHeight="1">
      <c r="E326" s="200"/>
      <c r="G326" s="200"/>
    </row>
    <row r="327" ht="15.75" customHeight="1">
      <c r="E327" s="200"/>
      <c r="G327" s="200"/>
    </row>
    <row r="328" ht="15.75" customHeight="1">
      <c r="E328" s="200"/>
      <c r="G328" s="200"/>
    </row>
    <row r="329" ht="15.75" customHeight="1">
      <c r="E329" s="200"/>
      <c r="G329" s="200"/>
    </row>
    <row r="330" ht="15.75" customHeight="1">
      <c r="E330" s="200"/>
      <c r="G330" s="200"/>
    </row>
    <row r="331" ht="15.75" customHeight="1">
      <c r="E331" s="200"/>
      <c r="G331" s="200"/>
    </row>
    <row r="332" ht="15.75" customHeight="1">
      <c r="E332" s="200"/>
      <c r="G332" s="200"/>
    </row>
    <row r="333" ht="15.75" customHeight="1">
      <c r="E333" s="200"/>
      <c r="G333" s="200"/>
    </row>
    <row r="334" ht="15.75" customHeight="1">
      <c r="E334" s="200"/>
      <c r="G334" s="200"/>
    </row>
    <row r="335" ht="15.75" customHeight="1">
      <c r="E335" s="200"/>
      <c r="G335" s="200"/>
    </row>
    <row r="336" ht="15.75" customHeight="1">
      <c r="E336" s="200"/>
      <c r="G336" s="200"/>
    </row>
    <row r="337" ht="15.75" customHeight="1">
      <c r="E337" s="200"/>
      <c r="G337" s="200"/>
    </row>
    <row r="338" ht="15.75" customHeight="1">
      <c r="E338" s="200"/>
      <c r="G338" s="200"/>
    </row>
    <row r="339" ht="15.75" customHeight="1">
      <c r="E339" s="200"/>
      <c r="G339" s="200"/>
    </row>
    <row r="340" ht="15.75" customHeight="1">
      <c r="E340" s="200"/>
      <c r="G340" s="200"/>
    </row>
    <row r="341" ht="15.75" customHeight="1">
      <c r="E341" s="200"/>
      <c r="G341" s="200"/>
    </row>
    <row r="342" ht="15.75" customHeight="1">
      <c r="E342" s="200"/>
      <c r="G342" s="200"/>
    </row>
    <row r="343" ht="15.75" customHeight="1">
      <c r="E343" s="200"/>
      <c r="G343" s="200"/>
    </row>
    <row r="344" ht="15.75" customHeight="1">
      <c r="E344" s="200"/>
      <c r="G344" s="200"/>
    </row>
    <row r="345" ht="15.75" customHeight="1">
      <c r="E345" s="200"/>
      <c r="G345" s="200"/>
    </row>
    <row r="346" ht="15.75" customHeight="1">
      <c r="E346" s="200"/>
      <c r="G346" s="200"/>
    </row>
    <row r="347" ht="15.75" customHeight="1">
      <c r="E347" s="200"/>
      <c r="G347" s="200"/>
    </row>
    <row r="348" ht="15.75" customHeight="1">
      <c r="E348" s="200"/>
      <c r="G348" s="200"/>
    </row>
    <row r="349" ht="15.75" customHeight="1">
      <c r="E349" s="200"/>
      <c r="G349" s="200"/>
    </row>
    <row r="350" ht="15.75" customHeight="1">
      <c r="E350" s="200"/>
      <c r="G350" s="200"/>
    </row>
    <row r="351" ht="15.75" customHeight="1">
      <c r="E351" s="200"/>
      <c r="G351" s="200"/>
    </row>
    <row r="352" ht="15.75" customHeight="1">
      <c r="E352" s="200"/>
      <c r="G352" s="200"/>
    </row>
    <row r="353" ht="15.75" customHeight="1">
      <c r="E353" s="200"/>
      <c r="G353" s="200"/>
    </row>
    <row r="354" ht="15.75" customHeight="1">
      <c r="E354" s="200"/>
      <c r="G354" s="200"/>
    </row>
    <row r="355" ht="15.75" customHeight="1">
      <c r="E355" s="200"/>
      <c r="G355" s="200"/>
    </row>
    <row r="356" ht="15.75" customHeight="1">
      <c r="E356" s="200"/>
      <c r="G356" s="200"/>
    </row>
    <row r="357" ht="15.75" customHeight="1">
      <c r="E357" s="200"/>
      <c r="G357" s="200"/>
    </row>
    <row r="358" ht="15.75" customHeight="1">
      <c r="E358" s="200"/>
      <c r="G358" s="200"/>
    </row>
    <row r="359" ht="15.75" customHeight="1">
      <c r="E359" s="200"/>
      <c r="G359" s="200"/>
    </row>
    <row r="360" ht="15.75" customHeight="1">
      <c r="E360" s="200"/>
      <c r="G360" s="200"/>
    </row>
    <row r="361" ht="15.75" customHeight="1">
      <c r="E361" s="200"/>
      <c r="G361" s="200"/>
    </row>
    <row r="362" ht="15.75" customHeight="1">
      <c r="E362" s="200"/>
      <c r="G362" s="200"/>
    </row>
    <row r="363" ht="15.75" customHeight="1">
      <c r="E363" s="200"/>
      <c r="G363" s="200"/>
    </row>
    <row r="364" ht="15.75" customHeight="1">
      <c r="E364" s="200"/>
      <c r="G364" s="200"/>
    </row>
    <row r="365" ht="15.75" customHeight="1">
      <c r="E365" s="200"/>
      <c r="G365" s="200"/>
    </row>
    <row r="366" ht="15.75" customHeight="1">
      <c r="E366" s="200"/>
      <c r="G366" s="200"/>
    </row>
    <row r="367" ht="15.75" customHeight="1">
      <c r="E367" s="200"/>
      <c r="G367" s="200"/>
    </row>
    <row r="368" ht="15.75" customHeight="1">
      <c r="E368" s="200"/>
      <c r="G368" s="200"/>
    </row>
    <row r="369" ht="15.75" customHeight="1">
      <c r="E369" s="200"/>
      <c r="G369" s="200"/>
    </row>
    <row r="370" ht="15.75" customHeight="1">
      <c r="E370" s="200"/>
      <c r="G370" s="200"/>
    </row>
    <row r="371" ht="15.75" customHeight="1">
      <c r="E371" s="200"/>
      <c r="G371" s="200"/>
    </row>
    <row r="372" ht="15.75" customHeight="1">
      <c r="E372" s="200"/>
      <c r="G372" s="200"/>
    </row>
    <row r="373" ht="15.75" customHeight="1">
      <c r="E373" s="200"/>
      <c r="G373" s="200"/>
    </row>
    <row r="374" ht="15.75" customHeight="1">
      <c r="E374" s="200"/>
      <c r="G374" s="200"/>
    </row>
    <row r="375" ht="15.75" customHeight="1">
      <c r="E375" s="200"/>
      <c r="G375" s="200"/>
    </row>
    <row r="376" ht="15.75" customHeight="1">
      <c r="E376" s="200"/>
      <c r="G376" s="200"/>
    </row>
    <row r="377" ht="15.75" customHeight="1">
      <c r="E377" s="200"/>
      <c r="G377" s="200"/>
    </row>
    <row r="378" ht="15.75" customHeight="1">
      <c r="E378" s="200"/>
      <c r="G378" s="200"/>
    </row>
    <row r="379" ht="15.75" customHeight="1">
      <c r="E379" s="200"/>
      <c r="G379" s="200"/>
    </row>
    <row r="380" ht="15.75" customHeight="1">
      <c r="E380" s="200"/>
      <c r="G380" s="200"/>
    </row>
    <row r="381" ht="15.75" customHeight="1">
      <c r="E381" s="200"/>
      <c r="G381" s="200"/>
    </row>
    <row r="382" ht="15.75" customHeight="1">
      <c r="E382" s="200"/>
      <c r="G382" s="200"/>
    </row>
    <row r="383" ht="15.75" customHeight="1">
      <c r="E383" s="200"/>
      <c r="G383" s="200"/>
    </row>
    <row r="384" ht="15.75" customHeight="1">
      <c r="E384" s="200"/>
      <c r="G384" s="200"/>
    </row>
    <row r="385" ht="15.75" customHeight="1">
      <c r="E385" s="200"/>
      <c r="G385" s="200"/>
    </row>
    <row r="386" ht="15.75" customHeight="1">
      <c r="E386" s="200"/>
      <c r="G386" s="200"/>
    </row>
    <row r="387" ht="15.75" customHeight="1">
      <c r="E387" s="200"/>
      <c r="G387" s="200"/>
    </row>
    <row r="388" ht="15.75" customHeight="1">
      <c r="E388" s="200"/>
      <c r="G388" s="200"/>
    </row>
    <row r="389" ht="15.75" customHeight="1">
      <c r="E389" s="200"/>
      <c r="G389" s="200"/>
    </row>
    <row r="390" ht="15.75" customHeight="1">
      <c r="E390" s="200"/>
      <c r="G390" s="200"/>
    </row>
    <row r="391" ht="15.75" customHeight="1">
      <c r="E391" s="200"/>
      <c r="G391" s="200"/>
    </row>
    <row r="392" ht="15.75" customHeight="1">
      <c r="E392" s="200"/>
      <c r="G392" s="200"/>
    </row>
    <row r="393" ht="15.75" customHeight="1">
      <c r="E393" s="200"/>
      <c r="G393" s="200"/>
    </row>
    <row r="394" ht="15.75" customHeight="1">
      <c r="E394" s="200"/>
      <c r="G394" s="200"/>
    </row>
    <row r="395" ht="15.75" customHeight="1">
      <c r="E395" s="200"/>
      <c r="G395" s="200"/>
    </row>
    <row r="396" ht="15.75" customHeight="1">
      <c r="E396" s="200"/>
      <c r="G396" s="200"/>
    </row>
    <row r="397" ht="15.75" customHeight="1">
      <c r="E397" s="200"/>
      <c r="G397" s="200"/>
    </row>
    <row r="398" ht="15.75" customHeight="1">
      <c r="E398" s="200"/>
      <c r="G398" s="200"/>
    </row>
    <row r="399" ht="15.75" customHeight="1">
      <c r="E399" s="200"/>
      <c r="G399" s="200"/>
    </row>
    <row r="400" ht="15.75" customHeight="1">
      <c r="E400" s="200"/>
      <c r="G400" s="200"/>
    </row>
    <row r="401" ht="15.75" customHeight="1">
      <c r="E401" s="200"/>
      <c r="G401" s="200"/>
    </row>
    <row r="402" ht="15.75" customHeight="1">
      <c r="E402" s="200"/>
      <c r="G402" s="200"/>
    </row>
    <row r="403" ht="15.75" customHeight="1">
      <c r="E403" s="200"/>
      <c r="G403" s="200"/>
    </row>
    <row r="404" ht="15.75" customHeight="1">
      <c r="E404" s="200"/>
      <c r="G404" s="200"/>
    </row>
    <row r="405" ht="15.75" customHeight="1">
      <c r="E405" s="200"/>
      <c r="G405" s="200"/>
    </row>
    <row r="406" ht="15.75" customHeight="1">
      <c r="E406" s="200"/>
      <c r="G406" s="200"/>
    </row>
    <row r="407" ht="15.75" customHeight="1">
      <c r="E407" s="200"/>
      <c r="G407" s="200"/>
    </row>
    <row r="408" ht="15.75" customHeight="1">
      <c r="E408" s="200"/>
      <c r="G408" s="200"/>
    </row>
    <row r="409" ht="15.75" customHeight="1">
      <c r="E409" s="200"/>
      <c r="G409" s="200"/>
    </row>
    <row r="410" ht="15.75" customHeight="1">
      <c r="E410" s="200"/>
      <c r="G410" s="200"/>
    </row>
    <row r="411" ht="15.75" customHeight="1">
      <c r="E411" s="200"/>
      <c r="G411" s="200"/>
    </row>
    <row r="412" ht="15.75" customHeight="1">
      <c r="E412" s="200"/>
      <c r="G412" s="200"/>
    </row>
    <row r="413" ht="15.75" customHeight="1">
      <c r="E413" s="200"/>
      <c r="G413" s="200"/>
    </row>
    <row r="414" ht="15.75" customHeight="1">
      <c r="E414" s="200"/>
      <c r="G414" s="200"/>
    </row>
    <row r="415" ht="15.75" customHeight="1">
      <c r="E415" s="200"/>
      <c r="G415" s="200"/>
    </row>
    <row r="416" ht="15.75" customHeight="1">
      <c r="E416" s="200"/>
      <c r="G416" s="200"/>
    </row>
    <row r="417" ht="15.75" customHeight="1">
      <c r="E417" s="200"/>
      <c r="G417" s="200"/>
    </row>
    <row r="418" ht="15.75" customHeight="1">
      <c r="E418" s="200"/>
      <c r="G418" s="200"/>
    </row>
    <row r="419" ht="15.75" customHeight="1">
      <c r="E419" s="200"/>
      <c r="G419" s="200"/>
    </row>
    <row r="420" ht="15.75" customHeight="1">
      <c r="E420" s="200"/>
      <c r="G420" s="200"/>
    </row>
    <row r="421" ht="15.75" customHeight="1">
      <c r="E421" s="200"/>
      <c r="G421" s="200"/>
    </row>
    <row r="422" ht="15.75" customHeight="1">
      <c r="E422" s="200"/>
      <c r="G422" s="200"/>
    </row>
    <row r="423" ht="15.75" customHeight="1">
      <c r="E423" s="200"/>
      <c r="G423" s="200"/>
    </row>
    <row r="424" ht="15.75" customHeight="1">
      <c r="E424" s="200"/>
      <c r="G424" s="200"/>
    </row>
    <row r="425" ht="15.75" customHeight="1">
      <c r="E425" s="200"/>
      <c r="G425" s="200"/>
    </row>
    <row r="426" ht="15.75" customHeight="1">
      <c r="E426" s="200"/>
      <c r="G426" s="200"/>
    </row>
    <row r="427" ht="15.75" customHeight="1">
      <c r="E427" s="200"/>
      <c r="G427" s="200"/>
    </row>
    <row r="428" ht="15.75" customHeight="1">
      <c r="E428" s="200"/>
      <c r="G428" s="200"/>
    </row>
    <row r="429" ht="15.75" customHeight="1">
      <c r="E429" s="200"/>
      <c r="G429" s="200"/>
    </row>
    <row r="430" ht="15.75" customHeight="1">
      <c r="E430" s="200"/>
      <c r="G430" s="200"/>
    </row>
    <row r="431" ht="15.75" customHeight="1">
      <c r="E431" s="200"/>
      <c r="G431" s="200"/>
    </row>
    <row r="432" ht="15.75" customHeight="1">
      <c r="E432" s="200"/>
      <c r="G432" s="200"/>
    </row>
    <row r="433" ht="15.75" customHeight="1">
      <c r="E433" s="200"/>
      <c r="G433" s="200"/>
    </row>
    <row r="434" ht="15.75" customHeight="1">
      <c r="E434" s="200"/>
      <c r="G434" s="200"/>
    </row>
    <row r="435" ht="15.75" customHeight="1">
      <c r="E435" s="200"/>
      <c r="G435" s="200"/>
    </row>
    <row r="436" ht="15.75" customHeight="1">
      <c r="E436" s="200"/>
      <c r="G436" s="200"/>
    </row>
    <row r="437" ht="15.75" customHeight="1">
      <c r="E437" s="200"/>
      <c r="G437" s="200"/>
    </row>
    <row r="438" ht="15.75" customHeight="1">
      <c r="E438" s="200"/>
      <c r="G438" s="200"/>
    </row>
    <row r="439" ht="15.75" customHeight="1">
      <c r="E439" s="200"/>
      <c r="G439" s="200"/>
    </row>
    <row r="440" ht="15.75" customHeight="1">
      <c r="E440" s="200"/>
      <c r="G440" s="200"/>
    </row>
    <row r="441" ht="15.75" customHeight="1">
      <c r="E441" s="200"/>
      <c r="G441" s="200"/>
    </row>
    <row r="442" ht="15.75" customHeight="1">
      <c r="E442" s="200"/>
      <c r="G442" s="200"/>
    </row>
    <row r="443" ht="15.75" customHeight="1">
      <c r="E443" s="200"/>
      <c r="G443" s="200"/>
    </row>
    <row r="444" ht="15.75" customHeight="1">
      <c r="E444" s="200"/>
      <c r="G444" s="200"/>
    </row>
    <row r="445" ht="15.75" customHeight="1">
      <c r="E445" s="200"/>
      <c r="G445" s="200"/>
    </row>
    <row r="446" ht="15.75" customHeight="1">
      <c r="E446" s="200"/>
      <c r="G446" s="200"/>
    </row>
    <row r="447" ht="15.75" customHeight="1">
      <c r="E447" s="200"/>
      <c r="G447" s="200"/>
    </row>
    <row r="448" ht="15.75" customHeight="1">
      <c r="E448" s="200"/>
      <c r="G448" s="200"/>
    </row>
    <row r="449" ht="15.75" customHeight="1">
      <c r="E449" s="200"/>
      <c r="G449" s="200"/>
    </row>
    <row r="450" ht="15.75" customHeight="1">
      <c r="E450" s="200"/>
      <c r="G450" s="200"/>
    </row>
    <row r="451" ht="15.75" customHeight="1">
      <c r="E451" s="200"/>
      <c r="G451" s="200"/>
    </row>
    <row r="452" ht="15.75" customHeight="1">
      <c r="E452" s="200"/>
      <c r="G452" s="200"/>
    </row>
    <row r="453" ht="15.75" customHeight="1">
      <c r="E453" s="200"/>
      <c r="G453" s="200"/>
    </row>
    <row r="454" ht="15.75" customHeight="1">
      <c r="E454" s="200"/>
      <c r="G454" s="200"/>
    </row>
    <row r="455" ht="15.75" customHeight="1">
      <c r="E455" s="200"/>
      <c r="G455" s="200"/>
    </row>
    <row r="456" ht="15.75" customHeight="1">
      <c r="E456" s="200"/>
      <c r="G456" s="200"/>
    </row>
    <row r="457" ht="15.75" customHeight="1">
      <c r="E457" s="200"/>
      <c r="G457" s="200"/>
    </row>
    <row r="458" ht="15.75" customHeight="1">
      <c r="E458" s="200"/>
      <c r="G458" s="200"/>
    </row>
    <row r="459" ht="15.75" customHeight="1">
      <c r="E459" s="200"/>
      <c r="G459" s="200"/>
    </row>
    <row r="460" ht="15.75" customHeight="1">
      <c r="E460" s="200"/>
      <c r="G460" s="200"/>
    </row>
    <row r="461" ht="15.75" customHeight="1">
      <c r="E461" s="200"/>
      <c r="G461" s="200"/>
    </row>
    <row r="462" ht="15.75" customHeight="1">
      <c r="E462" s="200"/>
      <c r="G462" s="200"/>
    </row>
    <row r="463" ht="15.75" customHeight="1">
      <c r="E463" s="200"/>
      <c r="G463" s="200"/>
    </row>
    <row r="464" ht="15.75" customHeight="1">
      <c r="E464" s="200"/>
      <c r="G464" s="200"/>
    </row>
    <row r="465" ht="15.75" customHeight="1">
      <c r="E465" s="200"/>
      <c r="G465" s="200"/>
    </row>
    <row r="466" ht="15.75" customHeight="1">
      <c r="E466" s="200"/>
      <c r="G466" s="200"/>
    </row>
    <row r="467" ht="15.75" customHeight="1">
      <c r="E467" s="200"/>
      <c r="G467" s="200"/>
    </row>
    <row r="468" ht="15.75" customHeight="1">
      <c r="E468" s="200"/>
      <c r="G468" s="200"/>
    </row>
    <row r="469" ht="15.75" customHeight="1">
      <c r="E469" s="200"/>
      <c r="G469" s="200"/>
    </row>
    <row r="470" ht="15.75" customHeight="1">
      <c r="E470" s="200"/>
      <c r="G470" s="200"/>
    </row>
    <row r="471" ht="15.75" customHeight="1">
      <c r="E471" s="200"/>
      <c r="G471" s="200"/>
    </row>
    <row r="472" ht="15.75" customHeight="1">
      <c r="E472" s="200"/>
      <c r="G472" s="200"/>
    </row>
    <row r="473" ht="15.75" customHeight="1">
      <c r="E473" s="200"/>
      <c r="G473" s="200"/>
    </row>
    <row r="474" ht="15.75" customHeight="1">
      <c r="E474" s="200"/>
      <c r="G474" s="200"/>
    </row>
    <row r="475" ht="15.75" customHeight="1">
      <c r="E475" s="200"/>
      <c r="G475" s="200"/>
    </row>
    <row r="476" ht="15.75" customHeight="1">
      <c r="E476" s="200"/>
      <c r="G476" s="200"/>
    </row>
    <row r="477" ht="15.75" customHeight="1">
      <c r="E477" s="200"/>
      <c r="G477" s="200"/>
    </row>
    <row r="478" ht="15.75" customHeight="1">
      <c r="E478" s="200"/>
      <c r="G478" s="200"/>
    </row>
    <row r="479" ht="15.75" customHeight="1">
      <c r="E479" s="200"/>
      <c r="G479" s="200"/>
    </row>
    <row r="480" ht="15.75" customHeight="1">
      <c r="E480" s="200"/>
      <c r="G480" s="200"/>
    </row>
    <row r="481" ht="15.75" customHeight="1">
      <c r="E481" s="200"/>
      <c r="G481" s="200"/>
    </row>
    <row r="482" ht="15.75" customHeight="1">
      <c r="E482" s="200"/>
      <c r="G482" s="200"/>
    </row>
    <row r="483" ht="15.75" customHeight="1">
      <c r="E483" s="200"/>
      <c r="G483" s="200"/>
    </row>
    <row r="484" ht="15.75" customHeight="1">
      <c r="E484" s="200"/>
      <c r="G484" s="200"/>
    </row>
    <row r="485" ht="15.75" customHeight="1">
      <c r="E485" s="200"/>
      <c r="G485" s="200"/>
    </row>
    <row r="486" ht="15.75" customHeight="1">
      <c r="E486" s="200"/>
      <c r="G486" s="200"/>
    </row>
    <row r="487" ht="15.75" customHeight="1">
      <c r="E487" s="200"/>
      <c r="G487" s="200"/>
    </row>
    <row r="488" ht="15.75" customHeight="1">
      <c r="E488" s="200"/>
      <c r="G488" s="200"/>
    </row>
    <row r="489" ht="15.75" customHeight="1">
      <c r="E489" s="200"/>
      <c r="G489" s="200"/>
    </row>
    <row r="490" ht="15.75" customHeight="1">
      <c r="E490" s="200"/>
      <c r="G490" s="200"/>
    </row>
    <row r="491" ht="15.75" customHeight="1">
      <c r="E491" s="200"/>
      <c r="G491" s="200"/>
    </row>
    <row r="492" ht="15.75" customHeight="1">
      <c r="E492" s="200"/>
      <c r="G492" s="200"/>
    </row>
    <row r="493" ht="15.75" customHeight="1">
      <c r="E493" s="200"/>
      <c r="G493" s="200"/>
    </row>
    <row r="494" ht="15.75" customHeight="1">
      <c r="E494" s="200"/>
      <c r="G494" s="200"/>
    </row>
    <row r="495" ht="15.75" customHeight="1">
      <c r="E495" s="200"/>
      <c r="G495" s="200"/>
    </row>
    <row r="496" ht="15.75" customHeight="1">
      <c r="E496" s="200"/>
      <c r="G496" s="200"/>
    </row>
    <row r="497" ht="15.75" customHeight="1">
      <c r="E497" s="200"/>
      <c r="G497" s="200"/>
    </row>
    <row r="498" ht="15.75" customHeight="1">
      <c r="E498" s="200"/>
      <c r="G498" s="200"/>
    </row>
    <row r="499" ht="15.75" customHeight="1">
      <c r="E499" s="200"/>
      <c r="G499" s="200"/>
    </row>
    <row r="500" ht="15.75" customHeight="1">
      <c r="E500" s="200"/>
      <c r="G500" s="200"/>
    </row>
    <row r="501" ht="15.75" customHeight="1">
      <c r="E501" s="200"/>
      <c r="G501" s="200"/>
    </row>
    <row r="502" ht="15.75" customHeight="1">
      <c r="E502" s="200"/>
      <c r="G502" s="200"/>
    </row>
    <row r="503" ht="15.75" customHeight="1">
      <c r="E503" s="200"/>
      <c r="G503" s="200"/>
    </row>
    <row r="504" ht="15.75" customHeight="1">
      <c r="E504" s="200"/>
      <c r="G504" s="200"/>
    </row>
    <row r="505" ht="15.75" customHeight="1">
      <c r="E505" s="200"/>
      <c r="G505" s="200"/>
    </row>
    <row r="506" ht="15.75" customHeight="1">
      <c r="E506" s="200"/>
      <c r="G506" s="200"/>
    </row>
    <row r="507" ht="15.75" customHeight="1">
      <c r="E507" s="200"/>
      <c r="G507" s="200"/>
    </row>
    <row r="508" ht="15.75" customHeight="1">
      <c r="E508" s="200"/>
      <c r="G508" s="200"/>
    </row>
    <row r="509" ht="15.75" customHeight="1">
      <c r="E509" s="200"/>
      <c r="G509" s="200"/>
    </row>
    <row r="510" ht="15.75" customHeight="1">
      <c r="E510" s="200"/>
      <c r="G510" s="200"/>
    </row>
    <row r="511" ht="15.75" customHeight="1">
      <c r="E511" s="200"/>
      <c r="G511" s="200"/>
    </row>
    <row r="512" ht="15.75" customHeight="1">
      <c r="E512" s="200"/>
      <c r="G512" s="200"/>
    </row>
    <row r="513" ht="15.75" customHeight="1">
      <c r="E513" s="200"/>
      <c r="G513" s="200"/>
    </row>
    <row r="514" ht="15.75" customHeight="1">
      <c r="E514" s="200"/>
      <c r="G514" s="200"/>
    </row>
    <row r="515" ht="15.75" customHeight="1">
      <c r="E515" s="200"/>
      <c r="G515" s="200"/>
    </row>
    <row r="516" ht="15.75" customHeight="1">
      <c r="E516" s="200"/>
      <c r="G516" s="200"/>
    </row>
    <row r="517" ht="15.75" customHeight="1">
      <c r="E517" s="200"/>
      <c r="G517" s="200"/>
    </row>
    <row r="518" ht="15.75" customHeight="1">
      <c r="E518" s="200"/>
      <c r="G518" s="200"/>
    </row>
    <row r="519" ht="15.75" customHeight="1">
      <c r="E519" s="200"/>
      <c r="G519" s="200"/>
    </row>
    <row r="520" ht="15.75" customHeight="1">
      <c r="E520" s="200"/>
      <c r="G520" s="200"/>
    </row>
    <row r="521" ht="15.75" customHeight="1">
      <c r="E521" s="200"/>
      <c r="G521" s="200"/>
    </row>
    <row r="522" ht="15.75" customHeight="1">
      <c r="E522" s="200"/>
      <c r="G522" s="200"/>
    </row>
    <row r="523" ht="15.75" customHeight="1">
      <c r="E523" s="200"/>
      <c r="G523" s="200"/>
    </row>
    <row r="524" ht="15.75" customHeight="1">
      <c r="E524" s="200"/>
      <c r="G524" s="200"/>
    </row>
    <row r="525" ht="15.75" customHeight="1">
      <c r="E525" s="200"/>
      <c r="G525" s="200"/>
    </row>
    <row r="526" ht="15.75" customHeight="1">
      <c r="E526" s="200"/>
      <c r="G526" s="200"/>
    </row>
    <row r="527" ht="15.75" customHeight="1">
      <c r="E527" s="200"/>
      <c r="G527" s="200"/>
    </row>
    <row r="528" ht="15.75" customHeight="1">
      <c r="E528" s="200"/>
      <c r="G528" s="200"/>
    </row>
    <row r="529" ht="15.75" customHeight="1">
      <c r="E529" s="200"/>
      <c r="G529" s="200"/>
    </row>
    <row r="530" ht="15.75" customHeight="1">
      <c r="E530" s="200"/>
      <c r="G530" s="200"/>
    </row>
    <row r="531" ht="15.75" customHeight="1">
      <c r="E531" s="200"/>
      <c r="G531" s="200"/>
    </row>
    <row r="532" ht="15.75" customHeight="1">
      <c r="E532" s="200"/>
      <c r="G532" s="200"/>
    </row>
    <row r="533" ht="15.75" customHeight="1">
      <c r="E533" s="200"/>
      <c r="G533" s="200"/>
    </row>
    <row r="534" ht="15.75" customHeight="1">
      <c r="E534" s="200"/>
      <c r="G534" s="200"/>
    </row>
    <row r="535" ht="15.75" customHeight="1">
      <c r="E535" s="200"/>
      <c r="G535" s="200"/>
    </row>
    <row r="536" ht="15.75" customHeight="1">
      <c r="E536" s="200"/>
      <c r="G536" s="200"/>
    </row>
    <row r="537" ht="15.75" customHeight="1">
      <c r="E537" s="200"/>
      <c r="G537" s="200"/>
    </row>
    <row r="538" ht="15.75" customHeight="1">
      <c r="E538" s="200"/>
      <c r="G538" s="200"/>
    </row>
    <row r="539" ht="15.75" customHeight="1">
      <c r="E539" s="200"/>
      <c r="G539" s="200"/>
    </row>
    <row r="540" ht="15.75" customHeight="1">
      <c r="E540" s="200"/>
      <c r="G540" s="200"/>
    </row>
    <row r="541" ht="15.75" customHeight="1">
      <c r="E541" s="200"/>
      <c r="G541" s="200"/>
    </row>
    <row r="542" ht="15.75" customHeight="1">
      <c r="E542" s="200"/>
      <c r="G542" s="200"/>
    </row>
    <row r="543" ht="15.75" customHeight="1">
      <c r="E543" s="200"/>
      <c r="G543" s="200"/>
    </row>
    <row r="544" ht="15.75" customHeight="1">
      <c r="E544" s="200"/>
      <c r="G544" s="200"/>
    </row>
    <row r="545" ht="15.75" customHeight="1">
      <c r="E545" s="200"/>
      <c r="G545" s="200"/>
    </row>
    <row r="546" ht="15.75" customHeight="1">
      <c r="E546" s="200"/>
      <c r="G546" s="200"/>
    </row>
    <row r="547" ht="15.75" customHeight="1">
      <c r="E547" s="200"/>
      <c r="G547" s="200"/>
    </row>
    <row r="548" ht="15.75" customHeight="1">
      <c r="E548" s="200"/>
      <c r="G548" s="200"/>
    </row>
    <row r="549" ht="15.75" customHeight="1">
      <c r="E549" s="200"/>
      <c r="G549" s="200"/>
    </row>
    <row r="550" ht="15.75" customHeight="1">
      <c r="E550" s="200"/>
      <c r="G550" s="200"/>
    </row>
    <row r="551" ht="15.75" customHeight="1">
      <c r="E551" s="200"/>
      <c r="G551" s="200"/>
    </row>
    <row r="552" ht="15.75" customHeight="1">
      <c r="E552" s="200"/>
      <c r="G552" s="200"/>
    </row>
    <row r="553" ht="15.75" customHeight="1">
      <c r="E553" s="200"/>
      <c r="G553" s="200"/>
    </row>
    <row r="554" ht="15.75" customHeight="1">
      <c r="E554" s="200"/>
      <c r="G554" s="200"/>
    </row>
    <row r="555" ht="15.75" customHeight="1">
      <c r="E555" s="200"/>
      <c r="G555" s="200"/>
    </row>
    <row r="556" ht="15.75" customHeight="1">
      <c r="E556" s="200"/>
      <c r="G556" s="200"/>
    </row>
    <row r="557" ht="15.75" customHeight="1">
      <c r="E557" s="200"/>
      <c r="G557" s="200"/>
    </row>
    <row r="558" ht="15.75" customHeight="1">
      <c r="E558" s="200"/>
      <c r="G558" s="200"/>
    </row>
    <row r="559" ht="15.75" customHeight="1">
      <c r="E559" s="200"/>
      <c r="G559" s="200"/>
    </row>
    <row r="560" ht="15.75" customHeight="1">
      <c r="E560" s="200"/>
      <c r="G560" s="200"/>
    </row>
    <row r="561" ht="15.75" customHeight="1">
      <c r="E561" s="200"/>
      <c r="G561" s="200"/>
    </row>
    <row r="562" ht="15.75" customHeight="1">
      <c r="E562" s="200"/>
      <c r="G562" s="200"/>
    </row>
    <row r="563" ht="15.75" customHeight="1">
      <c r="E563" s="200"/>
      <c r="G563" s="200"/>
    </row>
    <row r="564" ht="15.75" customHeight="1">
      <c r="E564" s="200"/>
      <c r="G564" s="200"/>
    </row>
    <row r="565" ht="15.75" customHeight="1">
      <c r="E565" s="200"/>
      <c r="G565" s="200"/>
    </row>
    <row r="566" ht="15.75" customHeight="1">
      <c r="E566" s="200"/>
      <c r="G566" s="200"/>
    </row>
    <row r="567" ht="15.75" customHeight="1">
      <c r="E567" s="200"/>
      <c r="G567" s="200"/>
    </row>
    <row r="568" ht="15.75" customHeight="1">
      <c r="E568" s="200"/>
      <c r="G568" s="200"/>
    </row>
    <row r="569" ht="15.75" customHeight="1">
      <c r="E569" s="200"/>
      <c r="G569" s="200"/>
    </row>
    <row r="570" ht="15.75" customHeight="1">
      <c r="E570" s="200"/>
      <c r="G570" s="200"/>
    </row>
    <row r="571" ht="15.75" customHeight="1">
      <c r="E571" s="200"/>
      <c r="G571" s="200"/>
    </row>
    <row r="572" ht="15.75" customHeight="1">
      <c r="E572" s="200"/>
      <c r="G572" s="200"/>
    </row>
    <row r="573" ht="15.75" customHeight="1">
      <c r="E573" s="200"/>
      <c r="G573" s="200"/>
    </row>
    <row r="574" ht="15.75" customHeight="1">
      <c r="E574" s="200"/>
      <c r="G574" s="200"/>
    </row>
    <row r="575" ht="15.75" customHeight="1">
      <c r="E575" s="200"/>
      <c r="G575" s="200"/>
    </row>
    <row r="576" ht="15.75" customHeight="1">
      <c r="E576" s="200"/>
      <c r="G576" s="200"/>
    </row>
    <row r="577" ht="15.75" customHeight="1">
      <c r="E577" s="200"/>
      <c r="G577" s="200"/>
    </row>
    <row r="578" ht="15.75" customHeight="1">
      <c r="E578" s="200"/>
      <c r="G578" s="200"/>
    </row>
    <row r="579" ht="15.75" customHeight="1">
      <c r="E579" s="200"/>
      <c r="G579" s="200"/>
    </row>
    <row r="580" ht="15.75" customHeight="1">
      <c r="E580" s="200"/>
      <c r="G580" s="200"/>
    </row>
    <row r="581" ht="15.75" customHeight="1">
      <c r="E581" s="200"/>
      <c r="G581" s="200"/>
    </row>
    <row r="582" ht="15.75" customHeight="1">
      <c r="E582" s="200"/>
      <c r="G582" s="200"/>
    </row>
    <row r="583" ht="15.75" customHeight="1">
      <c r="E583" s="200"/>
      <c r="G583" s="200"/>
    </row>
    <row r="584" ht="15.75" customHeight="1">
      <c r="E584" s="200"/>
      <c r="G584" s="200"/>
    </row>
    <row r="585" ht="15.75" customHeight="1">
      <c r="E585" s="200"/>
      <c r="G585" s="200"/>
    </row>
    <row r="586" ht="15.75" customHeight="1">
      <c r="E586" s="200"/>
      <c r="G586" s="200"/>
    </row>
    <row r="587" ht="15.75" customHeight="1">
      <c r="E587" s="200"/>
      <c r="G587" s="200"/>
    </row>
    <row r="588" ht="15.75" customHeight="1">
      <c r="E588" s="200"/>
      <c r="G588" s="200"/>
    </row>
    <row r="589" ht="15.75" customHeight="1">
      <c r="E589" s="200"/>
      <c r="G589" s="200"/>
    </row>
    <row r="590" ht="15.75" customHeight="1">
      <c r="E590" s="200"/>
      <c r="G590" s="200"/>
    </row>
    <row r="591" ht="15.75" customHeight="1">
      <c r="E591" s="200"/>
      <c r="G591" s="200"/>
    </row>
    <row r="592" ht="15.75" customHeight="1">
      <c r="E592" s="200"/>
      <c r="G592" s="200"/>
    </row>
    <row r="593" ht="15.75" customHeight="1">
      <c r="E593" s="200"/>
      <c r="G593" s="200"/>
    </row>
    <row r="594" ht="15.75" customHeight="1">
      <c r="E594" s="200"/>
      <c r="G594" s="200"/>
    </row>
    <row r="595" ht="15.75" customHeight="1">
      <c r="E595" s="200"/>
      <c r="G595" s="200"/>
    </row>
    <row r="596" ht="15.75" customHeight="1">
      <c r="E596" s="200"/>
      <c r="G596" s="200"/>
    </row>
    <row r="597" ht="15.75" customHeight="1">
      <c r="E597" s="200"/>
      <c r="G597" s="200"/>
    </row>
    <row r="598" ht="15.75" customHeight="1">
      <c r="E598" s="200"/>
      <c r="G598" s="200"/>
    </row>
    <row r="599" ht="15.75" customHeight="1">
      <c r="E599" s="200"/>
      <c r="G599" s="200"/>
    </row>
    <row r="600" ht="15.75" customHeight="1">
      <c r="E600" s="200"/>
      <c r="G600" s="200"/>
    </row>
    <row r="601" ht="15.75" customHeight="1">
      <c r="E601" s="200"/>
      <c r="G601" s="200"/>
    </row>
    <row r="602" ht="15.75" customHeight="1">
      <c r="E602" s="200"/>
      <c r="G602" s="200"/>
    </row>
    <row r="603" ht="15.75" customHeight="1">
      <c r="E603" s="200"/>
      <c r="G603" s="200"/>
    </row>
    <row r="604" ht="15.75" customHeight="1">
      <c r="E604" s="200"/>
      <c r="G604" s="200"/>
    </row>
    <row r="605" ht="15.75" customHeight="1">
      <c r="E605" s="200"/>
      <c r="G605" s="200"/>
    </row>
    <row r="606" ht="15.75" customHeight="1">
      <c r="E606" s="200"/>
      <c r="G606" s="200"/>
    </row>
    <row r="607" ht="15.75" customHeight="1">
      <c r="E607" s="200"/>
      <c r="G607" s="200"/>
    </row>
    <row r="608" ht="15.75" customHeight="1">
      <c r="E608" s="200"/>
      <c r="G608" s="200"/>
    </row>
    <row r="609" ht="15.75" customHeight="1">
      <c r="E609" s="200"/>
      <c r="G609" s="200"/>
    </row>
    <row r="610" ht="15.75" customHeight="1">
      <c r="E610" s="200"/>
      <c r="G610" s="200"/>
    </row>
    <row r="611" ht="15.75" customHeight="1">
      <c r="E611" s="200"/>
      <c r="G611" s="200"/>
    </row>
    <row r="612" ht="15.75" customHeight="1">
      <c r="E612" s="200"/>
      <c r="G612" s="200"/>
    </row>
    <row r="613" ht="15.75" customHeight="1">
      <c r="E613" s="200"/>
      <c r="G613" s="200"/>
    </row>
    <row r="614" ht="15.75" customHeight="1">
      <c r="E614" s="200"/>
      <c r="G614" s="200"/>
    </row>
    <row r="615" ht="15.75" customHeight="1">
      <c r="E615" s="200"/>
      <c r="G615" s="200"/>
    </row>
    <row r="616" ht="15.75" customHeight="1">
      <c r="E616" s="200"/>
      <c r="G616" s="200"/>
    </row>
    <row r="617" ht="15.75" customHeight="1">
      <c r="E617" s="200"/>
      <c r="G617" s="200"/>
    </row>
    <row r="618" ht="15.75" customHeight="1">
      <c r="E618" s="200"/>
      <c r="G618" s="200"/>
    </row>
    <row r="619" ht="15.75" customHeight="1">
      <c r="E619" s="200"/>
      <c r="G619" s="200"/>
    </row>
    <row r="620" ht="15.75" customHeight="1">
      <c r="E620" s="200"/>
      <c r="G620" s="200"/>
    </row>
    <row r="621" ht="15.75" customHeight="1">
      <c r="E621" s="200"/>
      <c r="G621" s="200"/>
    </row>
    <row r="622" ht="15.75" customHeight="1">
      <c r="E622" s="200"/>
      <c r="G622" s="200"/>
    </row>
    <row r="623" ht="15.75" customHeight="1">
      <c r="E623" s="200"/>
      <c r="G623" s="200"/>
    </row>
    <row r="624" ht="15.75" customHeight="1">
      <c r="E624" s="200"/>
      <c r="G624" s="200"/>
    </row>
    <row r="625" ht="15.75" customHeight="1">
      <c r="E625" s="200"/>
      <c r="G625" s="200"/>
    </row>
    <row r="626" ht="15.75" customHeight="1">
      <c r="E626" s="200"/>
      <c r="G626" s="200"/>
    </row>
    <row r="627" ht="15.75" customHeight="1">
      <c r="E627" s="200"/>
      <c r="G627" s="200"/>
    </row>
    <row r="628" ht="15.75" customHeight="1">
      <c r="E628" s="200"/>
      <c r="G628" s="200"/>
    </row>
    <row r="629" ht="15.75" customHeight="1">
      <c r="E629" s="200"/>
      <c r="G629" s="200"/>
    </row>
    <row r="630" ht="15.75" customHeight="1">
      <c r="E630" s="200"/>
      <c r="G630" s="200"/>
    </row>
    <row r="631" ht="15.75" customHeight="1">
      <c r="E631" s="200"/>
      <c r="G631" s="200"/>
    </row>
    <row r="632" ht="15.75" customHeight="1">
      <c r="E632" s="200"/>
      <c r="G632" s="200"/>
    </row>
    <row r="633" ht="15.75" customHeight="1">
      <c r="E633" s="200"/>
      <c r="G633" s="200"/>
    </row>
    <row r="634" ht="15.75" customHeight="1">
      <c r="E634" s="200"/>
      <c r="G634" s="200"/>
    </row>
    <row r="635" ht="15.75" customHeight="1">
      <c r="E635" s="200"/>
      <c r="G635" s="200"/>
    </row>
    <row r="636" ht="15.75" customHeight="1">
      <c r="E636" s="200"/>
      <c r="G636" s="200"/>
    </row>
    <row r="637" ht="15.75" customHeight="1">
      <c r="E637" s="200"/>
      <c r="G637" s="200"/>
    </row>
    <row r="638" ht="15.75" customHeight="1">
      <c r="E638" s="200"/>
      <c r="G638" s="200"/>
    </row>
    <row r="639" ht="15.75" customHeight="1">
      <c r="E639" s="200"/>
      <c r="G639" s="200"/>
    </row>
    <row r="640" ht="15.75" customHeight="1">
      <c r="E640" s="200"/>
      <c r="G640" s="200"/>
    </row>
    <row r="641" ht="15.75" customHeight="1">
      <c r="E641" s="200"/>
      <c r="G641" s="200"/>
    </row>
    <row r="642" ht="15.75" customHeight="1">
      <c r="E642" s="200"/>
      <c r="G642" s="200"/>
    </row>
    <row r="643" ht="15.75" customHeight="1">
      <c r="E643" s="200"/>
      <c r="G643" s="200"/>
    </row>
    <row r="644" ht="15.75" customHeight="1">
      <c r="E644" s="200"/>
      <c r="G644" s="200"/>
    </row>
    <row r="645" ht="15.75" customHeight="1">
      <c r="E645" s="200"/>
      <c r="G645" s="200"/>
    </row>
    <row r="646" ht="15.75" customHeight="1">
      <c r="E646" s="200"/>
      <c r="G646" s="200"/>
    </row>
    <row r="647" ht="15.75" customHeight="1">
      <c r="E647" s="200"/>
      <c r="G647" s="200"/>
    </row>
    <row r="648" ht="15.75" customHeight="1">
      <c r="E648" s="200"/>
      <c r="G648" s="200"/>
    </row>
    <row r="649" ht="15.75" customHeight="1">
      <c r="E649" s="200"/>
      <c r="G649" s="200"/>
    </row>
    <row r="650" ht="15.75" customHeight="1">
      <c r="E650" s="200"/>
      <c r="G650" s="200"/>
    </row>
    <row r="651" ht="15.75" customHeight="1">
      <c r="E651" s="200"/>
      <c r="G651" s="200"/>
    </row>
    <row r="652" ht="15.75" customHeight="1">
      <c r="E652" s="200"/>
      <c r="G652" s="200"/>
    </row>
    <row r="653" ht="15.75" customHeight="1">
      <c r="E653" s="200"/>
      <c r="G653" s="200"/>
    </row>
    <row r="654" ht="15.75" customHeight="1">
      <c r="E654" s="200"/>
      <c r="G654" s="200"/>
    </row>
    <row r="655" ht="15.75" customHeight="1">
      <c r="E655" s="200"/>
      <c r="G655" s="200"/>
    </row>
    <row r="656" ht="15.75" customHeight="1">
      <c r="E656" s="200"/>
      <c r="G656" s="200"/>
    </row>
    <row r="657" ht="15.75" customHeight="1">
      <c r="E657" s="200"/>
      <c r="G657" s="200"/>
    </row>
    <row r="658" ht="15.75" customHeight="1">
      <c r="E658" s="200"/>
      <c r="G658" s="200"/>
    </row>
    <row r="659" ht="15.75" customHeight="1">
      <c r="E659" s="200"/>
      <c r="G659" s="200"/>
    </row>
    <row r="660" ht="15.75" customHeight="1">
      <c r="E660" s="200"/>
      <c r="G660" s="200"/>
    </row>
    <row r="661" ht="15.75" customHeight="1">
      <c r="E661" s="200"/>
      <c r="G661" s="200"/>
    </row>
    <row r="662" ht="15.75" customHeight="1">
      <c r="E662" s="200"/>
      <c r="G662" s="200"/>
    </row>
    <row r="663" ht="15.75" customHeight="1">
      <c r="E663" s="200"/>
      <c r="G663" s="200"/>
    </row>
    <row r="664" ht="15.75" customHeight="1">
      <c r="E664" s="200"/>
      <c r="G664" s="200"/>
    </row>
    <row r="665" ht="15.75" customHeight="1">
      <c r="E665" s="200"/>
      <c r="G665" s="200"/>
    </row>
    <row r="666" ht="15.75" customHeight="1">
      <c r="E666" s="200"/>
      <c r="G666" s="200"/>
    </row>
    <row r="667" ht="15.75" customHeight="1">
      <c r="E667" s="200"/>
      <c r="G667" s="200"/>
    </row>
    <row r="668" ht="15.75" customHeight="1">
      <c r="E668" s="200"/>
      <c r="G668" s="200"/>
    </row>
    <row r="669" ht="15.75" customHeight="1">
      <c r="E669" s="200"/>
      <c r="G669" s="200"/>
    </row>
    <row r="670" ht="15.75" customHeight="1">
      <c r="E670" s="200"/>
      <c r="G670" s="200"/>
    </row>
    <row r="671" ht="15.75" customHeight="1">
      <c r="E671" s="200"/>
      <c r="G671" s="200"/>
    </row>
    <row r="672" ht="15.75" customHeight="1">
      <c r="E672" s="200"/>
      <c r="G672" s="200"/>
    </row>
    <row r="673" ht="15.75" customHeight="1">
      <c r="E673" s="200"/>
      <c r="G673" s="200"/>
    </row>
    <row r="674" ht="15.75" customHeight="1">
      <c r="E674" s="200"/>
      <c r="G674" s="200"/>
    </row>
    <row r="675" ht="15.75" customHeight="1">
      <c r="E675" s="200"/>
      <c r="G675" s="200"/>
    </row>
    <row r="676" ht="15.75" customHeight="1">
      <c r="E676" s="200"/>
      <c r="G676" s="200"/>
    </row>
    <row r="677" ht="15.75" customHeight="1">
      <c r="E677" s="200"/>
      <c r="G677" s="200"/>
    </row>
    <row r="678" ht="15.75" customHeight="1">
      <c r="E678" s="200"/>
      <c r="G678" s="200"/>
    </row>
    <row r="679" ht="15.75" customHeight="1">
      <c r="E679" s="200"/>
      <c r="G679" s="200"/>
    </row>
    <row r="680" ht="15.75" customHeight="1">
      <c r="E680" s="200"/>
      <c r="G680" s="200"/>
    </row>
    <row r="681" ht="15.75" customHeight="1">
      <c r="E681" s="200"/>
      <c r="G681" s="200"/>
    </row>
    <row r="682" ht="15.75" customHeight="1">
      <c r="E682" s="200"/>
      <c r="G682" s="200"/>
    </row>
    <row r="683" ht="15.75" customHeight="1">
      <c r="E683" s="200"/>
      <c r="G683" s="200"/>
    </row>
    <row r="684" ht="15.75" customHeight="1">
      <c r="E684" s="200"/>
      <c r="G684" s="200"/>
    </row>
    <row r="685" ht="15.75" customHeight="1">
      <c r="E685" s="200"/>
      <c r="G685" s="200"/>
    </row>
    <row r="686" ht="15.75" customHeight="1">
      <c r="E686" s="200"/>
      <c r="G686" s="200"/>
    </row>
    <row r="687" ht="15.75" customHeight="1">
      <c r="E687" s="200"/>
      <c r="G687" s="200"/>
    </row>
    <row r="688" ht="15.75" customHeight="1">
      <c r="E688" s="200"/>
      <c r="G688" s="200"/>
    </row>
    <row r="689" ht="15.75" customHeight="1">
      <c r="E689" s="200"/>
      <c r="G689" s="200"/>
    </row>
    <row r="690" ht="15.75" customHeight="1">
      <c r="E690" s="200"/>
      <c r="G690" s="200"/>
    </row>
    <row r="691" ht="15.75" customHeight="1">
      <c r="E691" s="200"/>
      <c r="G691" s="200"/>
    </row>
    <row r="692" ht="15.75" customHeight="1">
      <c r="E692" s="200"/>
      <c r="G692" s="200"/>
    </row>
    <row r="693" ht="15.75" customHeight="1">
      <c r="E693" s="200"/>
      <c r="G693" s="200"/>
    </row>
    <row r="694" ht="15.75" customHeight="1">
      <c r="E694" s="200"/>
      <c r="G694" s="200"/>
    </row>
    <row r="695" ht="15.75" customHeight="1">
      <c r="E695" s="200"/>
      <c r="G695" s="200"/>
    </row>
    <row r="696" ht="15.75" customHeight="1">
      <c r="E696" s="200"/>
      <c r="G696" s="200"/>
    </row>
    <row r="697" ht="15.75" customHeight="1">
      <c r="E697" s="200"/>
      <c r="G697" s="200"/>
    </row>
    <row r="698" ht="15.75" customHeight="1">
      <c r="E698" s="200"/>
      <c r="G698" s="200"/>
    </row>
    <row r="699" ht="15.75" customHeight="1">
      <c r="E699" s="200"/>
      <c r="G699" s="200"/>
    </row>
    <row r="700" ht="15.75" customHeight="1">
      <c r="E700" s="200"/>
      <c r="G700" s="200"/>
    </row>
    <row r="701" ht="15.75" customHeight="1">
      <c r="E701" s="200"/>
      <c r="G701" s="200"/>
    </row>
    <row r="702" ht="15.75" customHeight="1">
      <c r="E702" s="200"/>
      <c r="G702" s="200"/>
    </row>
    <row r="703" ht="15.75" customHeight="1">
      <c r="E703" s="200"/>
      <c r="G703" s="200"/>
    </row>
    <row r="704" ht="15.75" customHeight="1">
      <c r="E704" s="200"/>
      <c r="G704" s="200"/>
    </row>
    <row r="705" ht="15.75" customHeight="1">
      <c r="E705" s="200"/>
      <c r="G705" s="200"/>
    </row>
    <row r="706" ht="15.75" customHeight="1">
      <c r="E706" s="200"/>
      <c r="G706" s="200"/>
    </row>
    <row r="707" ht="15.75" customHeight="1">
      <c r="E707" s="200"/>
      <c r="G707" s="200"/>
    </row>
    <row r="708" ht="15.75" customHeight="1">
      <c r="E708" s="200"/>
      <c r="G708" s="200"/>
    </row>
    <row r="709" ht="15.75" customHeight="1">
      <c r="E709" s="200"/>
      <c r="G709" s="200"/>
    </row>
    <row r="710" ht="15.75" customHeight="1">
      <c r="E710" s="200"/>
      <c r="G710" s="200"/>
    </row>
    <row r="711" ht="15.75" customHeight="1">
      <c r="E711" s="200"/>
      <c r="G711" s="200"/>
    </row>
    <row r="712" ht="15.75" customHeight="1">
      <c r="E712" s="200"/>
      <c r="G712" s="200"/>
    </row>
    <row r="713" ht="15.75" customHeight="1">
      <c r="E713" s="200"/>
      <c r="G713" s="200"/>
    </row>
    <row r="714" ht="15.75" customHeight="1">
      <c r="E714" s="200"/>
      <c r="G714" s="200"/>
    </row>
    <row r="715" ht="15.75" customHeight="1">
      <c r="E715" s="200"/>
      <c r="G715" s="200"/>
    </row>
    <row r="716" ht="15.75" customHeight="1">
      <c r="E716" s="200"/>
      <c r="G716" s="200"/>
    </row>
    <row r="717" ht="15.75" customHeight="1">
      <c r="E717" s="200"/>
      <c r="G717" s="200"/>
    </row>
    <row r="718" ht="15.75" customHeight="1">
      <c r="E718" s="200"/>
      <c r="G718" s="200"/>
    </row>
    <row r="719" ht="15.75" customHeight="1">
      <c r="E719" s="200"/>
      <c r="G719" s="200"/>
    </row>
    <row r="720" ht="15.75" customHeight="1">
      <c r="E720" s="200"/>
      <c r="G720" s="200"/>
    </row>
    <row r="721" ht="15.75" customHeight="1">
      <c r="E721" s="200"/>
      <c r="G721" s="200"/>
    </row>
    <row r="722" ht="15.75" customHeight="1">
      <c r="E722" s="200"/>
      <c r="G722" s="200"/>
    </row>
    <row r="723" ht="15.75" customHeight="1">
      <c r="E723" s="200"/>
      <c r="G723" s="200"/>
    </row>
    <row r="724" ht="15.75" customHeight="1">
      <c r="E724" s="200"/>
      <c r="G724" s="200"/>
    </row>
    <row r="725" ht="15.75" customHeight="1">
      <c r="E725" s="200"/>
      <c r="G725" s="200"/>
    </row>
    <row r="726" ht="15.75" customHeight="1">
      <c r="E726" s="200"/>
      <c r="G726" s="200"/>
    </row>
    <row r="727" ht="15.75" customHeight="1">
      <c r="E727" s="200"/>
      <c r="G727" s="200"/>
    </row>
    <row r="728" ht="15.75" customHeight="1">
      <c r="E728" s="200"/>
      <c r="G728" s="200"/>
    </row>
    <row r="729" ht="15.75" customHeight="1">
      <c r="E729" s="200"/>
      <c r="G729" s="200"/>
    </row>
    <row r="730" ht="15.75" customHeight="1">
      <c r="E730" s="200"/>
      <c r="G730" s="200"/>
    </row>
    <row r="731" ht="15.75" customHeight="1">
      <c r="E731" s="200"/>
      <c r="G731" s="200"/>
    </row>
    <row r="732" ht="15.75" customHeight="1">
      <c r="E732" s="200"/>
      <c r="G732" s="200"/>
    </row>
    <row r="733" ht="15.75" customHeight="1">
      <c r="E733" s="200"/>
      <c r="G733" s="200"/>
    </row>
    <row r="734" ht="15.75" customHeight="1">
      <c r="E734" s="200"/>
      <c r="G734" s="200"/>
    </row>
    <row r="735" ht="15.75" customHeight="1">
      <c r="E735" s="200"/>
      <c r="G735" s="200"/>
    </row>
    <row r="736" ht="15.75" customHeight="1">
      <c r="E736" s="200"/>
      <c r="G736" s="200"/>
    </row>
    <row r="737" ht="15.75" customHeight="1">
      <c r="E737" s="200"/>
      <c r="G737" s="200"/>
    </row>
    <row r="738" ht="15.75" customHeight="1">
      <c r="E738" s="200"/>
      <c r="G738" s="200"/>
    </row>
    <row r="739" ht="15.75" customHeight="1">
      <c r="E739" s="200"/>
      <c r="G739" s="200"/>
    </row>
    <row r="740" ht="15.75" customHeight="1">
      <c r="E740" s="200"/>
      <c r="G740" s="200"/>
    </row>
    <row r="741" ht="15.75" customHeight="1">
      <c r="E741" s="200"/>
      <c r="G741" s="200"/>
    </row>
    <row r="742" ht="15.75" customHeight="1">
      <c r="E742" s="200"/>
      <c r="G742" s="200"/>
    </row>
    <row r="743" ht="15.75" customHeight="1">
      <c r="E743" s="200"/>
      <c r="G743" s="200"/>
    </row>
    <row r="744" ht="15.75" customHeight="1">
      <c r="E744" s="200"/>
      <c r="G744" s="200"/>
    </row>
    <row r="745" ht="15.75" customHeight="1">
      <c r="E745" s="200"/>
      <c r="G745" s="200"/>
    </row>
    <row r="746" ht="15.75" customHeight="1">
      <c r="E746" s="200"/>
      <c r="G746" s="200"/>
    </row>
    <row r="747" ht="15.75" customHeight="1">
      <c r="E747" s="200"/>
      <c r="G747" s="200"/>
    </row>
    <row r="748" ht="15.75" customHeight="1">
      <c r="E748" s="200"/>
      <c r="G748" s="200"/>
    </row>
    <row r="749" ht="15.75" customHeight="1">
      <c r="E749" s="200"/>
      <c r="G749" s="200"/>
    </row>
    <row r="750" ht="15.75" customHeight="1">
      <c r="E750" s="200"/>
      <c r="G750" s="200"/>
    </row>
    <row r="751" ht="15.75" customHeight="1">
      <c r="E751" s="200"/>
      <c r="G751" s="200"/>
    </row>
    <row r="752" ht="15.75" customHeight="1">
      <c r="E752" s="200"/>
      <c r="G752" s="200"/>
    </row>
    <row r="753" ht="15.75" customHeight="1">
      <c r="E753" s="200"/>
      <c r="G753" s="200"/>
    </row>
    <row r="754" ht="15.75" customHeight="1">
      <c r="E754" s="200"/>
      <c r="G754" s="200"/>
    </row>
    <row r="755" ht="15.75" customHeight="1">
      <c r="E755" s="200"/>
      <c r="G755" s="200"/>
    </row>
    <row r="756" ht="15.75" customHeight="1">
      <c r="E756" s="200"/>
      <c r="G756" s="200"/>
    </row>
    <row r="757" ht="15.75" customHeight="1">
      <c r="E757" s="200"/>
      <c r="G757" s="200"/>
    </row>
    <row r="758" ht="15.75" customHeight="1">
      <c r="E758" s="200"/>
      <c r="G758" s="200"/>
    </row>
    <row r="759" ht="15.75" customHeight="1">
      <c r="E759" s="200"/>
      <c r="G759" s="200"/>
    </row>
    <row r="760" ht="15.75" customHeight="1">
      <c r="E760" s="200"/>
      <c r="G760" s="200"/>
    </row>
    <row r="761" ht="15.75" customHeight="1">
      <c r="E761" s="200"/>
      <c r="G761" s="200"/>
    </row>
    <row r="762" ht="15.75" customHeight="1">
      <c r="E762" s="200"/>
      <c r="G762" s="200"/>
    </row>
    <row r="763" ht="15.75" customHeight="1">
      <c r="E763" s="200"/>
      <c r="G763" s="200"/>
    </row>
    <row r="764" ht="15.75" customHeight="1">
      <c r="E764" s="200"/>
      <c r="G764" s="200"/>
    </row>
    <row r="765" ht="15.75" customHeight="1">
      <c r="E765" s="200"/>
      <c r="G765" s="200"/>
    </row>
    <row r="766" ht="15.75" customHeight="1">
      <c r="E766" s="200"/>
      <c r="G766" s="200"/>
    </row>
    <row r="767" ht="15.75" customHeight="1">
      <c r="E767" s="200"/>
      <c r="G767" s="200"/>
    </row>
    <row r="768" ht="15.75" customHeight="1">
      <c r="E768" s="200"/>
      <c r="G768" s="200"/>
    </row>
    <row r="769" ht="15.75" customHeight="1">
      <c r="E769" s="200"/>
      <c r="G769" s="200"/>
    </row>
    <row r="770" ht="15.75" customHeight="1">
      <c r="E770" s="200"/>
      <c r="G770" s="200"/>
    </row>
    <row r="771" ht="15.75" customHeight="1">
      <c r="E771" s="200"/>
      <c r="G771" s="200"/>
    </row>
    <row r="772" ht="15.75" customHeight="1">
      <c r="E772" s="200"/>
      <c r="G772" s="200"/>
    </row>
    <row r="773" ht="15.75" customHeight="1">
      <c r="E773" s="200"/>
      <c r="G773" s="200"/>
    </row>
    <row r="774" ht="15.75" customHeight="1">
      <c r="E774" s="200"/>
      <c r="G774" s="200"/>
    </row>
    <row r="775" ht="15.75" customHeight="1">
      <c r="E775" s="200"/>
      <c r="G775" s="200"/>
    </row>
    <row r="776" ht="15.75" customHeight="1">
      <c r="E776" s="200"/>
      <c r="G776" s="200"/>
    </row>
    <row r="777" ht="15.75" customHeight="1">
      <c r="E777" s="200"/>
      <c r="G777" s="200"/>
    </row>
    <row r="778" ht="15.75" customHeight="1">
      <c r="E778" s="200"/>
      <c r="G778" s="200"/>
    </row>
    <row r="779" ht="15.75" customHeight="1">
      <c r="E779" s="200"/>
      <c r="G779" s="200"/>
    </row>
    <row r="780" ht="15.75" customHeight="1">
      <c r="E780" s="200"/>
      <c r="G780" s="200"/>
    </row>
    <row r="781" ht="15.75" customHeight="1">
      <c r="E781" s="200"/>
      <c r="G781" s="200"/>
    </row>
    <row r="782" ht="15.75" customHeight="1">
      <c r="E782" s="200"/>
      <c r="G782" s="200"/>
    </row>
    <row r="783" ht="15.75" customHeight="1">
      <c r="E783" s="200"/>
      <c r="G783" s="200"/>
    </row>
    <row r="784" ht="15.75" customHeight="1">
      <c r="E784" s="200"/>
      <c r="G784" s="200"/>
    </row>
    <row r="785" ht="15.75" customHeight="1">
      <c r="E785" s="200"/>
      <c r="G785" s="200"/>
    </row>
    <row r="786" ht="15.75" customHeight="1">
      <c r="E786" s="200"/>
      <c r="G786" s="200"/>
    </row>
    <row r="787" ht="15.75" customHeight="1">
      <c r="E787" s="200"/>
      <c r="G787" s="200"/>
    </row>
    <row r="788" ht="15.75" customHeight="1">
      <c r="E788" s="200"/>
      <c r="G788" s="200"/>
    </row>
    <row r="789" ht="15.75" customHeight="1">
      <c r="E789" s="200"/>
      <c r="G789" s="200"/>
    </row>
    <row r="790" ht="15.75" customHeight="1">
      <c r="E790" s="200"/>
      <c r="G790" s="200"/>
    </row>
    <row r="791" ht="15.75" customHeight="1">
      <c r="E791" s="200"/>
      <c r="G791" s="200"/>
    </row>
    <row r="792" ht="15.75" customHeight="1">
      <c r="E792" s="200"/>
      <c r="G792" s="200"/>
    </row>
    <row r="793" ht="15.75" customHeight="1">
      <c r="E793" s="200"/>
      <c r="G793" s="200"/>
    </row>
    <row r="794" ht="15.75" customHeight="1">
      <c r="E794" s="200"/>
      <c r="G794" s="200"/>
    </row>
    <row r="795" ht="15.75" customHeight="1">
      <c r="E795" s="200"/>
      <c r="G795" s="200"/>
    </row>
    <row r="796" ht="15.75" customHeight="1">
      <c r="E796" s="200"/>
      <c r="G796" s="200"/>
    </row>
    <row r="797" ht="15.75" customHeight="1">
      <c r="E797" s="200"/>
      <c r="G797" s="200"/>
    </row>
    <row r="798" ht="15.75" customHeight="1">
      <c r="E798" s="200"/>
      <c r="G798" s="200"/>
    </row>
    <row r="799" ht="15.75" customHeight="1">
      <c r="E799" s="200"/>
      <c r="G799" s="200"/>
    </row>
    <row r="800" ht="15.75" customHeight="1">
      <c r="E800" s="200"/>
      <c r="G800" s="200"/>
    </row>
    <row r="801" ht="15.75" customHeight="1">
      <c r="E801" s="200"/>
      <c r="G801" s="200"/>
    </row>
    <row r="802" ht="15.75" customHeight="1">
      <c r="E802" s="200"/>
      <c r="G802" s="200"/>
    </row>
    <row r="803" ht="15.75" customHeight="1">
      <c r="E803" s="200"/>
      <c r="G803" s="200"/>
    </row>
    <row r="804" ht="15.75" customHeight="1">
      <c r="E804" s="200"/>
      <c r="G804" s="200"/>
    </row>
    <row r="805" ht="15.75" customHeight="1">
      <c r="E805" s="200"/>
      <c r="G805" s="200"/>
    </row>
    <row r="806" ht="15.75" customHeight="1">
      <c r="E806" s="200"/>
      <c r="G806" s="200"/>
    </row>
    <row r="807" ht="15.75" customHeight="1">
      <c r="E807" s="200"/>
      <c r="G807" s="200"/>
    </row>
    <row r="808" ht="15.75" customHeight="1">
      <c r="E808" s="200"/>
      <c r="G808" s="200"/>
    </row>
    <row r="809" ht="15.75" customHeight="1">
      <c r="E809" s="200"/>
      <c r="G809" s="200"/>
    </row>
    <row r="810" ht="15.75" customHeight="1">
      <c r="E810" s="200"/>
      <c r="G810" s="200"/>
    </row>
    <row r="811" ht="15.75" customHeight="1">
      <c r="E811" s="200"/>
      <c r="G811" s="200"/>
    </row>
    <row r="812" ht="15.75" customHeight="1">
      <c r="E812" s="200"/>
      <c r="G812" s="200"/>
    </row>
    <row r="813" ht="15.75" customHeight="1">
      <c r="E813" s="200"/>
      <c r="G813" s="200"/>
    </row>
    <row r="814" ht="15.75" customHeight="1">
      <c r="E814" s="200"/>
      <c r="G814" s="200"/>
    </row>
    <row r="815" ht="15.75" customHeight="1">
      <c r="E815" s="200"/>
      <c r="G815" s="200"/>
    </row>
    <row r="816" ht="15.75" customHeight="1">
      <c r="E816" s="200"/>
      <c r="G816" s="200"/>
    </row>
    <row r="817" ht="15.75" customHeight="1">
      <c r="E817" s="200"/>
      <c r="G817" s="200"/>
    </row>
    <row r="818" ht="15.75" customHeight="1">
      <c r="E818" s="200"/>
      <c r="G818" s="200"/>
    </row>
    <row r="819" ht="15.75" customHeight="1">
      <c r="E819" s="200"/>
      <c r="G819" s="200"/>
    </row>
    <row r="820" ht="15.75" customHeight="1">
      <c r="E820" s="200"/>
      <c r="G820" s="200"/>
    </row>
    <row r="821" ht="15.75" customHeight="1">
      <c r="E821" s="200"/>
      <c r="G821" s="200"/>
    </row>
    <row r="822" ht="15.75" customHeight="1">
      <c r="E822" s="200"/>
      <c r="G822" s="200"/>
    </row>
    <row r="823" ht="15.75" customHeight="1">
      <c r="E823" s="200"/>
      <c r="G823" s="200"/>
    </row>
    <row r="824" ht="15.75" customHeight="1">
      <c r="E824" s="200"/>
      <c r="G824" s="200"/>
    </row>
    <row r="825" ht="15.75" customHeight="1">
      <c r="E825" s="200"/>
      <c r="G825" s="200"/>
    </row>
    <row r="826" ht="15.75" customHeight="1">
      <c r="E826" s="200"/>
      <c r="G826" s="200"/>
    </row>
    <row r="827" ht="15.75" customHeight="1">
      <c r="E827" s="200"/>
      <c r="G827" s="200"/>
    </row>
    <row r="828" ht="15.75" customHeight="1">
      <c r="E828" s="200"/>
      <c r="G828" s="200"/>
    </row>
    <row r="829" ht="15.75" customHeight="1">
      <c r="E829" s="200"/>
      <c r="G829" s="200"/>
    </row>
    <row r="830" ht="15.75" customHeight="1">
      <c r="E830" s="200"/>
      <c r="G830" s="200"/>
    </row>
    <row r="831" ht="15.75" customHeight="1">
      <c r="E831" s="200"/>
      <c r="G831" s="200"/>
    </row>
    <row r="832" ht="15.75" customHeight="1">
      <c r="E832" s="200"/>
      <c r="G832" s="200"/>
    </row>
    <row r="833" ht="15.75" customHeight="1">
      <c r="E833" s="200"/>
      <c r="G833" s="200"/>
    </row>
    <row r="834" ht="15.75" customHeight="1">
      <c r="E834" s="200"/>
      <c r="G834" s="200"/>
    </row>
    <row r="835" ht="15.75" customHeight="1">
      <c r="E835" s="200"/>
      <c r="G835" s="200"/>
    </row>
    <row r="836" ht="15.75" customHeight="1">
      <c r="E836" s="200"/>
      <c r="G836" s="200"/>
    </row>
    <row r="837" ht="15.75" customHeight="1">
      <c r="E837" s="200"/>
      <c r="G837" s="200"/>
    </row>
    <row r="838" ht="15.75" customHeight="1">
      <c r="E838" s="200"/>
      <c r="G838" s="200"/>
    </row>
    <row r="839" ht="15.75" customHeight="1">
      <c r="E839" s="200"/>
      <c r="G839" s="200"/>
    </row>
    <row r="840" ht="15.75" customHeight="1">
      <c r="E840" s="200"/>
      <c r="G840" s="200"/>
    </row>
    <row r="841" ht="15.75" customHeight="1">
      <c r="E841" s="200"/>
      <c r="G841" s="200"/>
    </row>
    <row r="842" ht="15.75" customHeight="1">
      <c r="E842" s="200"/>
      <c r="G842" s="200"/>
    </row>
    <row r="843" ht="15.75" customHeight="1">
      <c r="E843" s="200"/>
      <c r="G843" s="200"/>
    </row>
    <row r="844" ht="15.75" customHeight="1">
      <c r="E844" s="200"/>
      <c r="G844" s="200"/>
    </row>
    <row r="845" ht="15.75" customHeight="1">
      <c r="E845" s="200"/>
      <c r="G845" s="200"/>
    </row>
    <row r="846" ht="15.75" customHeight="1">
      <c r="E846" s="200"/>
      <c r="G846" s="200"/>
    </row>
    <row r="847" ht="15.75" customHeight="1">
      <c r="E847" s="200"/>
      <c r="G847" s="200"/>
    </row>
    <row r="848" ht="15.75" customHeight="1">
      <c r="E848" s="200"/>
      <c r="G848" s="200"/>
    </row>
    <row r="849" ht="15.75" customHeight="1">
      <c r="E849" s="200"/>
      <c r="G849" s="200"/>
    </row>
    <row r="850" ht="15.75" customHeight="1">
      <c r="E850" s="200"/>
      <c r="G850" s="200"/>
    </row>
    <row r="851" ht="15.75" customHeight="1">
      <c r="E851" s="200"/>
      <c r="G851" s="200"/>
    </row>
    <row r="852" ht="15.75" customHeight="1">
      <c r="E852" s="200"/>
      <c r="G852" s="200"/>
    </row>
    <row r="853" ht="15.75" customHeight="1">
      <c r="E853" s="200"/>
      <c r="G853" s="200"/>
    </row>
    <row r="854" ht="15.75" customHeight="1">
      <c r="E854" s="200"/>
      <c r="G854" s="200"/>
    </row>
    <row r="855" ht="15.75" customHeight="1">
      <c r="E855" s="200"/>
      <c r="G855" s="200"/>
    </row>
    <row r="856" ht="15.75" customHeight="1">
      <c r="E856" s="200"/>
      <c r="G856" s="200"/>
    </row>
    <row r="857" ht="15.75" customHeight="1">
      <c r="E857" s="200"/>
      <c r="G857" s="200"/>
    </row>
    <row r="858" ht="15.75" customHeight="1">
      <c r="E858" s="200"/>
      <c r="G858" s="200"/>
    </row>
    <row r="859" ht="15.75" customHeight="1">
      <c r="E859" s="200"/>
      <c r="G859" s="200"/>
    </row>
    <row r="860" ht="15.75" customHeight="1">
      <c r="E860" s="200"/>
      <c r="G860" s="200"/>
    </row>
    <row r="861" ht="15.75" customHeight="1">
      <c r="E861" s="200"/>
      <c r="G861" s="200"/>
    </row>
    <row r="862" ht="15.75" customHeight="1">
      <c r="E862" s="200"/>
      <c r="G862" s="200"/>
    </row>
    <row r="863" ht="15.75" customHeight="1">
      <c r="E863" s="200"/>
      <c r="G863" s="200"/>
    </row>
    <row r="864" ht="15.75" customHeight="1">
      <c r="E864" s="200"/>
      <c r="G864" s="200"/>
    </row>
    <row r="865" ht="15.75" customHeight="1">
      <c r="E865" s="200"/>
      <c r="G865" s="200"/>
    </row>
    <row r="866" ht="15.75" customHeight="1">
      <c r="E866" s="200"/>
      <c r="G866" s="200"/>
    </row>
    <row r="867" ht="15.75" customHeight="1">
      <c r="E867" s="200"/>
      <c r="G867" s="200"/>
    </row>
    <row r="868" ht="15.75" customHeight="1">
      <c r="E868" s="200"/>
      <c r="G868" s="200"/>
    </row>
    <row r="869" ht="15.75" customHeight="1">
      <c r="E869" s="200"/>
      <c r="G869" s="200"/>
    </row>
    <row r="870" ht="15.75" customHeight="1">
      <c r="E870" s="200"/>
      <c r="G870" s="200"/>
    </row>
    <row r="871" ht="15.75" customHeight="1">
      <c r="E871" s="200"/>
      <c r="G871" s="200"/>
    </row>
    <row r="872" ht="15.75" customHeight="1">
      <c r="E872" s="200"/>
      <c r="G872" s="200"/>
    </row>
    <row r="873" ht="15.75" customHeight="1">
      <c r="E873" s="200"/>
      <c r="G873" s="200"/>
    </row>
    <row r="874" ht="15.75" customHeight="1">
      <c r="E874" s="200"/>
      <c r="G874" s="200"/>
    </row>
    <row r="875" ht="15.75" customHeight="1">
      <c r="E875" s="200"/>
      <c r="G875" s="200"/>
    </row>
    <row r="876" ht="15.75" customHeight="1">
      <c r="E876" s="200"/>
      <c r="G876" s="200"/>
    </row>
    <row r="877" ht="15.75" customHeight="1">
      <c r="E877" s="200"/>
      <c r="G877" s="200"/>
    </row>
    <row r="878" ht="15.75" customHeight="1">
      <c r="E878" s="200"/>
      <c r="G878" s="200"/>
    </row>
    <row r="879" ht="15.75" customHeight="1">
      <c r="E879" s="200"/>
      <c r="G879" s="200"/>
    </row>
    <row r="880" ht="15.75" customHeight="1">
      <c r="E880" s="200"/>
      <c r="G880" s="200"/>
    </row>
    <row r="881" ht="15.75" customHeight="1">
      <c r="E881" s="200"/>
      <c r="G881" s="200"/>
    </row>
    <row r="882" ht="15.75" customHeight="1">
      <c r="E882" s="200"/>
      <c r="G882" s="200"/>
    </row>
    <row r="883" ht="15.75" customHeight="1">
      <c r="E883" s="200"/>
      <c r="G883" s="200"/>
    </row>
    <row r="884" ht="15.75" customHeight="1">
      <c r="E884" s="200"/>
      <c r="G884" s="200"/>
    </row>
    <row r="885" ht="15.75" customHeight="1">
      <c r="E885" s="200"/>
      <c r="G885" s="200"/>
    </row>
    <row r="886" ht="15.75" customHeight="1">
      <c r="E886" s="200"/>
      <c r="G886" s="200"/>
    </row>
    <row r="887" ht="15.75" customHeight="1">
      <c r="E887" s="200"/>
      <c r="G887" s="200"/>
    </row>
    <row r="888" ht="15.75" customHeight="1">
      <c r="E888" s="200"/>
      <c r="G888" s="200"/>
    </row>
    <row r="889" ht="15.75" customHeight="1">
      <c r="E889" s="200"/>
      <c r="G889" s="200"/>
    </row>
    <row r="890" ht="15.75" customHeight="1">
      <c r="E890" s="200"/>
      <c r="G890" s="200"/>
    </row>
    <row r="891" ht="15.75" customHeight="1">
      <c r="E891" s="200"/>
      <c r="G891" s="200"/>
    </row>
    <row r="892" ht="15.75" customHeight="1">
      <c r="E892" s="200"/>
      <c r="G892" s="200"/>
    </row>
    <row r="893" ht="15.75" customHeight="1">
      <c r="E893" s="200"/>
      <c r="G893" s="200"/>
    </row>
    <row r="894" ht="15.75" customHeight="1">
      <c r="E894" s="200"/>
      <c r="G894" s="200"/>
    </row>
    <row r="895" ht="15.75" customHeight="1">
      <c r="E895" s="200"/>
      <c r="G895" s="200"/>
    </row>
    <row r="896" ht="15.75" customHeight="1">
      <c r="E896" s="200"/>
      <c r="G896" s="200"/>
    </row>
    <row r="897" ht="15.75" customHeight="1">
      <c r="E897" s="200"/>
      <c r="G897" s="200"/>
    </row>
    <row r="898" ht="15.75" customHeight="1">
      <c r="E898" s="200"/>
      <c r="G898" s="200"/>
    </row>
    <row r="899" ht="15.75" customHeight="1">
      <c r="E899" s="200"/>
      <c r="G899" s="200"/>
    </row>
    <row r="900" ht="15.75" customHeight="1">
      <c r="E900" s="200"/>
      <c r="G900" s="200"/>
    </row>
    <row r="901" ht="15.75" customHeight="1">
      <c r="E901" s="200"/>
      <c r="G901" s="200"/>
    </row>
    <row r="902" ht="15.75" customHeight="1">
      <c r="E902" s="200"/>
      <c r="G902" s="200"/>
    </row>
    <row r="903" ht="15.75" customHeight="1">
      <c r="E903" s="200"/>
      <c r="G903" s="200"/>
    </row>
    <row r="904" ht="15.75" customHeight="1">
      <c r="E904" s="200"/>
      <c r="G904" s="200"/>
    </row>
    <row r="905" ht="15.75" customHeight="1">
      <c r="E905" s="200"/>
      <c r="G905" s="200"/>
    </row>
    <row r="906" ht="15.75" customHeight="1">
      <c r="E906" s="200"/>
      <c r="G906" s="200"/>
    </row>
    <row r="907" ht="15.75" customHeight="1">
      <c r="E907" s="200"/>
      <c r="G907" s="200"/>
    </row>
    <row r="908" ht="15.75" customHeight="1">
      <c r="E908" s="200"/>
      <c r="G908" s="200"/>
    </row>
    <row r="909" ht="15.75" customHeight="1">
      <c r="E909" s="200"/>
      <c r="G909" s="200"/>
    </row>
    <row r="910" ht="15.75" customHeight="1">
      <c r="E910" s="200"/>
      <c r="G910" s="200"/>
    </row>
    <row r="911" ht="15.75" customHeight="1">
      <c r="E911" s="200"/>
      <c r="G911" s="200"/>
    </row>
    <row r="912" ht="15.75" customHeight="1">
      <c r="E912" s="200"/>
      <c r="G912" s="200"/>
    </row>
    <row r="913" ht="15.75" customHeight="1">
      <c r="E913" s="200"/>
      <c r="G913" s="200"/>
    </row>
    <row r="914" ht="15.75" customHeight="1">
      <c r="E914" s="200"/>
      <c r="G914" s="200"/>
    </row>
    <row r="915" ht="15.75" customHeight="1">
      <c r="E915" s="200"/>
      <c r="G915" s="200"/>
    </row>
    <row r="916" ht="15.75" customHeight="1">
      <c r="E916" s="200"/>
      <c r="G916" s="200"/>
    </row>
    <row r="917" ht="15.75" customHeight="1">
      <c r="E917" s="200"/>
      <c r="G917" s="200"/>
    </row>
    <row r="918" ht="15.75" customHeight="1">
      <c r="E918" s="200"/>
      <c r="G918" s="200"/>
    </row>
    <row r="919" ht="15.75" customHeight="1">
      <c r="E919" s="200"/>
      <c r="G919" s="200"/>
    </row>
    <row r="920" ht="15.75" customHeight="1">
      <c r="E920" s="200"/>
      <c r="G920" s="200"/>
    </row>
    <row r="921" ht="15.75" customHeight="1">
      <c r="E921" s="200"/>
      <c r="G921" s="200"/>
    </row>
    <row r="922" ht="15.75" customHeight="1">
      <c r="E922" s="200"/>
      <c r="G922" s="200"/>
    </row>
    <row r="923" ht="15.75" customHeight="1">
      <c r="E923" s="200"/>
      <c r="G923" s="200"/>
    </row>
    <row r="924" ht="15.75" customHeight="1">
      <c r="E924" s="200"/>
      <c r="G924" s="200"/>
    </row>
    <row r="925" ht="15.75" customHeight="1">
      <c r="E925" s="200"/>
      <c r="G925" s="200"/>
    </row>
    <row r="926" ht="15.75" customHeight="1">
      <c r="E926" s="200"/>
      <c r="G926" s="200"/>
    </row>
    <row r="927" ht="15.75" customHeight="1">
      <c r="E927" s="200"/>
      <c r="G927" s="200"/>
    </row>
    <row r="928" ht="15.75" customHeight="1">
      <c r="E928" s="200"/>
      <c r="G928" s="200"/>
    </row>
    <row r="929" ht="15.75" customHeight="1">
      <c r="E929" s="200"/>
      <c r="G929" s="200"/>
    </row>
    <row r="930" ht="15.75" customHeight="1">
      <c r="E930" s="200"/>
      <c r="G930" s="200"/>
    </row>
    <row r="931" ht="15.75" customHeight="1">
      <c r="E931" s="200"/>
      <c r="G931" s="200"/>
    </row>
    <row r="932" ht="15.75" customHeight="1">
      <c r="E932" s="200"/>
      <c r="G932" s="200"/>
    </row>
    <row r="933" ht="15.75" customHeight="1">
      <c r="E933" s="200"/>
      <c r="G933" s="200"/>
    </row>
    <row r="934" ht="15.75" customHeight="1">
      <c r="E934" s="200"/>
      <c r="G934" s="200"/>
    </row>
    <row r="935" ht="15.75" customHeight="1">
      <c r="E935" s="200"/>
      <c r="G935" s="200"/>
    </row>
    <row r="936" ht="15.75" customHeight="1">
      <c r="E936" s="200"/>
      <c r="G936" s="200"/>
    </row>
    <row r="937" ht="15.75" customHeight="1">
      <c r="E937" s="200"/>
      <c r="G937" s="200"/>
    </row>
    <row r="938" ht="15.75" customHeight="1">
      <c r="E938" s="200"/>
      <c r="G938" s="200"/>
    </row>
    <row r="939" ht="15.75" customHeight="1">
      <c r="E939" s="200"/>
      <c r="G939" s="200"/>
    </row>
    <row r="940" ht="15.75" customHeight="1">
      <c r="E940" s="200"/>
      <c r="G940" s="200"/>
    </row>
    <row r="941" ht="15.75" customHeight="1">
      <c r="E941" s="200"/>
      <c r="G941" s="200"/>
    </row>
    <row r="942" ht="15.75" customHeight="1">
      <c r="E942" s="200"/>
      <c r="G942" s="200"/>
    </row>
    <row r="943" ht="15.75" customHeight="1">
      <c r="E943" s="200"/>
      <c r="G943" s="200"/>
    </row>
    <row r="944" ht="15.75" customHeight="1">
      <c r="E944" s="200"/>
      <c r="G944" s="200"/>
    </row>
    <row r="945" ht="15.75" customHeight="1">
      <c r="E945" s="200"/>
      <c r="G945" s="200"/>
    </row>
    <row r="946" ht="15.75" customHeight="1">
      <c r="E946" s="200"/>
      <c r="G946" s="200"/>
    </row>
    <row r="947" ht="15.75" customHeight="1">
      <c r="E947" s="200"/>
      <c r="G947" s="200"/>
    </row>
    <row r="948" ht="15.75" customHeight="1">
      <c r="E948" s="200"/>
      <c r="G948" s="200"/>
    </row>
    <row r="949" ht="15.75" customHeight="1">
      <c r="E949" s="200"/>
      <c r="G949" s="200"/>
    </row>
    <row r="950" ht="15.75" customHeight="1">
      <c r="E950" s="200"/>
      <c r="G950" s="200"/>
    </row>
    <row r="951" ht="15.75" customHeight="1">
      <c r="E951" s="200"/>
      <c r="G951" s="200"/>
    </row>
    <row r="952" ht="15.75" customHeight="1">
      <c r="E952" s="200"/>
      <c r="G952" s="200"/>
    </row>
    <row r="953" ht="15.75" customHeight="1">
      <c r="E953" s="200"/>
      <c r="G953" s="200"/>
    </row>
    <row r="954" ht="15.75" customHeight="1">
      <c r="E954" s="200"/>
      <c r="G954" s="200"/>
    </row>
    <row r="955" ht="15.75" customHeight="1">
      <c r="E955" s="200"/>
      <c r="G955" s="200"/>
    </row>
    <row r="956" ht="15.75" customHeight="1">
      <c r="E956" s="200"/>
      <c r="G956" s="200"/>
    </row>
    <row r="957" ht="15.75" customHeight="1">
      <c r="E957" s="200"/>
      <c r="G957" s="200"/>
    </row>
    <row r="958" ht="15.75" customHeight="1">
      <c r="E958" s="200"/>
      <c r="G958" s="200"/>
    </row>
    <row r="959" ht="15.75" customHeight="1">
      <c r="E959" s="200"/>
      <c r="G959" s="200"/>
    </row>
    <row r="960" ht="15.75" customHeight="1">
      <c r="E960" s="200"/>
      <c r="G960" s="200"/>
    </row>
    <row r="961" ht="15.75" customHeight="1">
      <c r="E961" s="200"/>
      <c r="G961" s="200"/>
    </row>
    <row r="962" ht="15.75" customHeight="1">
      <c r="E962" s="200"/>
      <c r="G962" s="200"/>
    </row>
    <row r="963" ht="15.75" customHeight="1">
      <c r="E963" s="200"/>
      <c r="G963" s="200"/>
    </row>
    <row r="964" ht="15.75" customHeight="1">
      <c r="E964" s="200"/>
      <c r="G964" s="200"/>
    </row>
    <row r="965" ht="15.75" customHeight="1">
      <c r="E965" s="200"/>
      <c r="G965" s="200"/>
    </row>
    <row r="966" ht="15.75" customHeight="1">
      <c r="E966" s="200"/>
      <c r="G966" s="200"/>
    </row>
    <row r="967" ht="15.75" customHeight="1">
      <c r="E967" s="200"/>
      <c r="G967" s="200"/>
    </row>
    <row r="968" ht="15.75" customHeight="1">
      <c r="E968" s="200"/>
      <c r="G968" s="200"/>
    </row>
    <row r="969" ht="15.75" customHeight="1">
      <c r="E969" s="200"/>
      <c r="G969" s="200"/>
    </row>
    <row r="970" ht="15.75" customHeight="1">
      <c r="E970" s="200"/>
      <c r="G970" s="200"/>
    </row>
    <row r="971" ht="15.75" customHeight="1">
      <c r="E971" s="200"/>
      <c r="G971" s="200"/>
    </row>
    <row r="972" ht="15.75" customHeight="1">
      <c r="E972" s="200"/>
      <c r="G972" s="200"/>
    </row>
    <row r="973" ht="15.75" customHeight="1">
      <c r="E973" s="200"/>
      <c r="G973" s="200"/>
    </row>
    <row r="974" ht="15.75" customHeight="1">
      <c r="E974" s="200"/>
      <c r="G974" s="200"/>
    </row>
    <row r="975" ht="15.75" customHeight="1">
      <c r="E975" s="200"/>
      <c r="G975" s="200"/>
    </row>
    <row r="976" ht="15.75" customHeight="1">
      <c r="E976" s="200"/>
      <c r="G976" s="200"/>
    </row>
    <row r="977" ht="15.75" customHeight="1">
      <c r="E977" s="200"/>
      <c r="G977" s="200"/>
    </row>
    <row r="978" ht="15.75" customHeight="1">
      <c r="E978" s="200"/>
      <c r="G978" s="200"/>
    </row>
    <row r="979" ht="15.75" customHeight="1">
      <c r="E979" s="200"/>
      <c r="G979" s="200"/>
    </row>
    <row r="980" ht="15.75" customHeight="1">
      <c r="E980" s="200"/>
      <c r="G980" s="200"/>
    </row>
    <row r="981" ht="15.75" customHeight="1">
      <c r="E981" s="200"/>
      <c r="G981" s="200"/>
    </row>
    <row r="982" ht="15.75" customHeight="1">
      <c r="E982" s="200"/>
      <c r="G982" s="200"/>
    </row>
    <row r="983" ht="15.75" customHeight="1">
      <c r="E983" s="200"/>
      <c r="G983" s="200"/>
    </row>
    <row r="984" ht="15.75" customHeight="1">
      <c r="E984" s="200"/>
      <c r="G984" s="200"/>
    </row>
    <row r="985" ht="15.75" customHeight="1">
      <c r="E985" s="200"/>
      <c r="G985" s="200"/>
    </row>
    <row r="986" ht="15.75" customHeight="1">
      <c r="E986" s="200"/>
      <c r="G986" s="200"/>
    </row>
    <row r="987" ht="15.75" customHeight="1">
      <c r="E987" s="200"/>
      <c r="G987" s="200"/>
    </row>
    <row r="988" ht="15.75" customHeight="1">
      <c r="E988" s="200"/>
      <c r="G988" s="200"/>
    </row>
    <row r="989" ht="15.75" customHeight="1">
      <c r="E989" s="200"/>
      <c r="G989" s="200"/>
    </row>
    <row r="990" ht="15.75" customHeight="1">
      <c r="E990" s="200"/>
      <c r="G990" s="200"/>
    </row>
    <row r="991" ht="15.75" customHeight="1">
      <c r="E991" s="200"/>
      <c r="G991" s="200"/>
    </row>
    <row r="992" ht="15.75" customHeight="1">
      <c r="E992" s="200"/>
      <c r="G992" s="200"/>
    </row>
    <row r="993" ht="15.75" customHeight="1">
      <c r="E993" s="200"/>
      <c r="G993" s="200"/>
    </row>
    <row r="994" ht="15.75" customHeight="1">
      <c r="E994" s="200"/>
      <c r="G994" s="200"/>
    </row>
    <row r="995" ht="15.75" customHeight="1">
      <c r="E995" s="200"/>
      <c r="G995" s="200"/>
    </row>
    <row r="996" ht="15.75" customHeight="1">
      <c r="E996" s="200"/>
      <c r="G996" s="200"/>
    </row>
    <row r="997" ht="15.75" customHeight="1">
      <c r="E997" s="200"/>
      <c r="G997" s="200"/>
    </row>
    <row r="998" ht="15.75" customHeight="1">
      <c r="E998" s="200"/>
      <c r="G998" s="200"/>
    </row>
    <row r="999" ht="15.75" customHeight="1">
      <c r="E999" s="200"/>
      <c r="G999" s="200"/>
    </row>
    <row r="1000" ht="15.75" customHeight="1">
      <c r="E1000" s="200"/>
      <c r="G1000" s="200"/>
    </row>
  </sheetData>
  <dataValidations>
    <dataValidation type="list" allowBlank="1" sqref="G2:G1000">
      <formula1>"1. First Touch,2. Lead Creation,3. Middle Nurture,4. Deal Close"</formula1>
    </dataValidation>
    <dataValidation type="list" allowBlank="1" sqref="E2:E1000">
      <formula1>"Яндекс Директ,Контур.Фокус,Google Ads,Партнеры,Органика SEO"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8.88"/>
    <col customWidth="1" min="3" max="3" width="18.88"/>
    <col customWidth="1" min="4" max="4" width="14.5"/>
    <col customWidth="1" min="5" max="5" width="31.38"/>
    <col customWidth="1" min="6" max="7" width="22.63"/>
    <col customWidth="1" min="8" max="8" width="13.88"/>
    <col customWidth="1" min="9" max="9" width="21.38"/>
    <col customWidth="1" min="10" max="12" width="18.88"/>
    <col customWidth="1" min="13" max="13" width="16.38"/>
    <col customWidth="1" min="14" max="14" width="38.88"/>
    <col customWidth="1" min="15" max="15" width="14.5"/>
    <col customWidth="1" min="16" max="16" width="11.38"/>
    <col customWidth="1" min="17" max="17" width="16.38"/>
    <col customWidth="1" min="18" max="19" width="18.88"/>
    <col customWidth="1" min="20" max="20" width="13.88"/>
    <col customWidth="1" min="21" max="22" width="16.38"/>
    <col customWidth="1" min="23" max="25" width="14.5"/>
    <col customWidth="1" min="26" max="26" width="21.38"/>
    <col customWidth="1" min="27" max="29" width="16.38"/>
    <col customWidth="1" min="30" max="30" width="23.88"/>
    <col customWidth="1" min="31" max="31" width="20.13"/>
    <col customWidth="1" min="32" max="33" width="21.38"/>
    <col customWidth="1" min="34" max="34" width="23.88"/>
    <col customWidth="1" min="35" max="35" width="18.88"/>
  </cols>
  <sheetData>
    <row r="1" ht="19.5" customHeight="1">
      <c r="A1" s="162" t="s">
        <v>433</v>
      </c>
      <c r="B1" s="162" t="s">
        <v>495</v>
      </c>
      <c r="C1" s="162" t="s">
        <v>496</v>
      </c>
      <c r="D1" s="162" t="s">
        <v>497</v>
      </c>
      <c r="E1" s="162" t="s">
        <v>498</v>
      </c>
      <c r="F1" s="162" t="s">
        <v>499</v>
      </c>
      <c r="G1" s="162" t="s">
        <v>500</v>
      </c>
      <c r="H1" s="162" t="s">
        <v>501</v>
      </c>
      <c r="I1" s="162" t="s">
        <v>502</v>
      </c>
      <c r="J1" s="162" t="s">
        <v>503</v>
      </c>
      <c r="K1" s="162" t="s">
        <v>434</v>
      </c>
      <c r="L1" s="162" t="s">
        <v>504</v>
      </c>
      <c r="M1" s="162" t="s">
        <v>505</v>
      </c>
      <c r="N1" s="162" t="s">
        <v>445</v>
      </c>
      <c r="O1" s="162" t="s">
        <v>442</v>
      </c>
      <c r="P1" s="162" t="s">
        <v>506</v>
      </c>
      <c r="Q1" s="162" t="s">
        <v>507</v>
      </c>
      <c r="R1" s="162" t="s">
        <v>508</v>
      </c>
      <c r="S1" s="162" t="s">
        <v>509</v>
      </c>
      <c r="T1" s="162" t="s">
        <v>510</v>
      </c>
      <c r="U1" s="162" t="s">
        <v>511</v>
      </c>
      <c r="V1" s="162" t="s">
        <v>512</v>
      </c>
      <c r="W1" s="162" t="s">
        <v>513</v>
      </c>
      <c r="X1" s="162" t="s">
        <v>514</v>
      </c>
      <c r="Y1" s="162" t="s">
        <v>515</v>
      </c>
      <c r="Z1" s="22" t="s">
        <v>446</v>
      </c>
      <c r="AA1" s="22" t="s">
        <v>447</v>
      </c>
      <c r="AB1" s="22" t="s">
        <v>448</v>
      </c>
      <c r="AC1" s="22" t="s">
        <v>449</v>
      </c>
      <c r="AD1" s="22" t="s">
        <v>519</v>
      </c>
      <c r="AE1" s="22" t="s">
        <v>522</v>
      </c>
      <c r="AF1" s="22" t="s">
        <v>524</v>
      </c>
      <c r="AG1" s="22" t="s">
        <v>525</v>
      </c>
      <c r="AH1" s="22" t="s">
        <v>526</v>
      </c>
      <c r="AI1" s="22" t="s">
        <v>527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</row>
    <row r="2" ht="15.75" customHeight="1">
      <c r="A2" s="22" t="s">
        <v>451</v>
      </c>
      <c r="B2" s="22" t="s">
        <v>530</v>
      </c>
      <c r="C2" s="151">
        <v>450000.0</v>
      </c>
      <c r="D2" s="22">
        <v>6.0</v>
      </c>
      <c r="E2" s="22" t="s">
        <v>532</v>
      </c>
      <c r="F2" s="148">
        <v>46267.0</v>
      </c>
      <c r="G2" s="148">
        <v>46277.0</v>
      </c>
      <c r="H2" s="22">
        <v>102.0</v>
      </c>
      <c r="I2" s="22" t="s">
        <v>535</v>
      </c>
      <c r="J2" s="22" t="s">
        <v>487</v>
      </c>
      <c r="K2" s="22" t="s">
        <v>452</v>
      </c>
      <c r="L2" s="22" t="s">
        <v>536</v>
      </c>
      <c r="M2" s="22"/>
      <c r="N2" s="170">
        <v>46285.47214517361</v>
      </c>
      <c r="O2" s="22" t="b">
        <f t="shared" ref="O2:O13" si="1">IF(A2="","",D2=6)</f>
        <v>1</v>
      </c>
      <c r="P2" s="22" t="b">
        <f t="shared" ref="P2:P13" si="2">IF(A2="","",D2=7)</f>
        <v>0</v>
      </c>
      <c r="Q2" s="22">
        <f>IF(A2="","",IF(D2&gt;=6,0,IF(ISBLANK(G2),0,IF(calc_engine!$B$1&gt;INT(G2),INT(calc_engine!$B$1-G2),0))))</f>
        <v>0</v>
      </c>
      <c r="R2" s="22" t="str">
        <f t="shared" ref="R2:R13" si="3">IF(A2="","",IF(D2&gt;=6,"closed",IF(Q2&lt;=3,"0-3",IF(Q2&lt;=7,"4-7",IF(Q2&lt;=14,"8-14",IF(Q2&lt;=30,"15-30","zombie"))))))</f>
        <v>closed</v>
      </c>
      <c r="S2" s="151">
        <f>IF(A2="","",C2*IFERROR(VLOOKUP(D2,'⚙️ Настройки'!$A$12:$D$18,4,FALSE),0))</f>
        <v>450000</v>
      </c>
      <c r="T2" s="22">
        <f>IF(A2="","",IF(D2&gt;=6,IF(G2&gt;F2,INT(G2-F2),1),IF(calc_engine!$B$1&gt;INT(F2),INT(calc_engine!$B$1-F2),1)))</f>
        <v>10</v>
      </c>
      <c r="U2" s="22" t="s">
        <v>614</v>
      </c>
      <c r="V2" s="22" t="s">
        <v>615</v>
      </c>
      <c r="W2" s="22" t="s">
        <v>618</v>
      </c>
      <c r="X2" s="22" t="s">
        <v>619</v>
      </c>
      <c r="Z2" s="170">
        <f>calc_engine!$B$1</f>
        <v>46294</v>
      </c>
      <c r="AH2" s="22" t="str">
        <f>IF(A2="","", IF(AD2="","🔴 NO NEXT ACTION", IF(AE2&lt;calc_engine!$B$1,"🔴 OVERDUE", IF(AE2-calc_engine!$B$1&lt;=1,"🟡 TODAY", IF(AE2-calc_engine!$B$1&lt;=3,"🟢 SOON","🟢 PLANNED")))))</f>
        <v>🔴 NO NEXT ACTION</v>
      </c>
      <c r="AI2" s="22">
        <f t="shared" ref="AI2:AI12" si="4">IF(A2="","", ROUND( IF(Q2&lt;=1, 30, IF(Q2&lt;=3, 20, IF(Q2&lt;=7, 10, 0))) + IF(AD2&lt;&gt;"", 25, 0) + IF(T2&lt;=14, 20, 10) + IF(I2="SEG1", 15, 10) + IF(C2&gt;=500000, 10, 5), 0))</f>
        <v>70</v>
      </c>
    </row>
    <row r="3" ht="15.75" customHeight="1">
      <c r="A3" s="22" t="s">
        <v>568</v>
      </c>
      <c r="B3" s="22" t="s">
        <v>666</v>
      </c>
      <c r="C3" s="151">
        <v>1200000.0</v>
      </c>
      <c r="D3" s="22">
        <v>6.0</v>
      </c>
      <c r="E3" s="22" t="s">
        <v>532</v>
      </c>
      <c r="F3" s="148">
        <v>46269.0</v>
      </c>
      <c r="G3" s="148">
        <v>46281.0</v>
      </c>
      <c r="H3" s="22">
        <v>101.0</v>
      </c>
      <c r="I3" s="22" t="s">
        <v>535</v>
      </c>
      <c r="J3" s="22" t="s">
        <v>570</v>
      </c>
      <c r="K3" s="22" t="s">
        <v>569</v>
      </c>
      <c r="L3" s="22" t="s">
        <v>536</v>
      </c>
      <c r="M3" s="22"/>
      <c r="N3" s="170">
        <v>46285.47214517361</v>
      </c>
      <c r="O3" s="22" t="b">
        <f t="shared" si="1"/>
        <v>1</v>
      </c>
      <c r="P3" s="22" t="b">
        <f t="shared" si="2"/>
        <v>0</v>
      </c>
      <c r="Q3" s="22">
        <f>IF(A3="","",IF(D3&gt;=6,0,IF(ISBLANK(G3),0,IF(calc_engine!$B$1&gt;INT(G3),INT(calc_engine!$B$1-G3),0))))</f>
        <v>0</v>
      </c>
      <c r="R3" s="22" t="str">
        <f t="shared" si="3"/>
        <v>closed</v>
      </c>
      <c r="S3" s="151">
        <f>IF(A3="","",C3*IFERROR(VLOOKUP(D3,'⚙️ Настройки'!$A$12:$D$18,4,FALSE),0))</f>
        <v>1200000</v>
      </c>
      <c r="T3" s="22">
        <f>IF(A3="","",IF(D3&gt;=6,IF(G3&gt;F3,INT(G3-F3),1),IF(calc_engine!$B$1&gt;INT(F3),INT(calc_engine!$B$1-F3),1)))</f>
        <v>12</v>
      </c>
      <c r="U3" s="22" t="s">
        <v>690</v>
      </c>
      <c r="V3" s="22" t="s">
        <v>691</v>
      </c>
      <c r="W3" s="22" t="s">
        <v>692</v>
      </c>
      <c r="Z3" s="170">
        <f>calc_engine!$B$1</f>
        <v>46294</v>
      </c>
      <c r="AH3" s="22" t="str">
        <f>IF(A3="","", IF(AD3="","🔴 NO NEXT ACTION", IF(AE3&lt;calc_engine!$B$1,"🔴 OVERDUE", IF(AE3-calc_engine!$B$1&lt;=1,"🟡 TODAY", IF(AE3-calc_engine!$B$1&lt;=3,"🟢 SOON","🟢 PLANNED")))))</f>
        <v>🔴 NO NEXT ACTION</v>
      </c>
      <c r="AI3" s="22">
        <f t="shared" si="4"/>
        <v>75</v>
      </c>
    </row>
    <row r="4" ht="15.75" customHeight="1">
      <c r="A4" s="22" t="s">
        <v>658</v>
      </c>
      <c r="B4" s="22" t="s">
        <v>697</v>
      </c>
      <c r="C4" s="151">
        <v>150000.0</v>
      </c>
      <c r="D4" s="22">
        <v>5.0</v>
      </c>
      <c r="E4" s="22" t="s">
        <v>567</v>
      </c>
      <c r="F4" s="148">
        <v>46275.0</v>
      </c>
      <c r="G4" s="148">
        <v>46285.0</v>
      </c>
      <c r="H4" s="22">
        <v>103.0</v>
      </c>
      <c r="I4" s="22" t="s">
        <v>698</v>
      </c>
      <c r="J4" s="22" t="s">
        <v>539</v>
      </c>
      <c r="K4" s="22" t="s">
        <v>699</v>
      </c>
      <c r="L4" s="22" t="s">
        <v>700</v>
      </c>
      <c r="M4" s="22"/>
      <c r="N4" s="170">
        <v>46285.47214517361</v>
      </c>
      <c r="O4" s="22" t="b">
        <f t="shared" si="1"/>
        <v>0</v>
      </c>
      <c r="P4" s="22" t="b">
        <f t="shared" si="2"/>
        <v>0</v>
      </c>
      <c r="Q4" s="22">
        <f>IF(A4="","",IF(D4&gt;=6,0,IF(ISBLANK(G4),0,IF(calc_engine!$B$1&gt;INT(G4),INT(calc_engine!$B$1-G4),0))))</f>
        <v>9</v>
      </c>
      <c r="R4" s="22" t="str">
        <f t="shared" si="3"/>
        <v>8-14</v>
      </c>
      <c r="S4" s="151">
        <f>IF(A4="","",C4*IFERROR(VLOOKUP(D4,'⚙️ Настройки'!$A$12:$D$18,4,FALSE),0))</f>
        <v>127500</v>
      </c>
      <c r="T4" s="22">
        <f>IF(A4="","",IF(D4&gt;=6,IF(G4&gt;F4,INT(G4-F4),1),IF(calc_engine!$B$1&gt;INT(F4),INT(calc_engine!$B$1-F4),1)))</f>
        <v>19</v>
      </c>
      <c r="U4" s="22" t="s">
        <v>702</v>
      </c>
      <c r="V4" s="22" t="s">
        <v>615</v>
      </c>
      <c r="W4" s="22" t="s">
        <v>703</v>
      </c>
      <c r="Y4" s="22" t="s">
        <v>704</v>
      </c>
      <c r="Z4" s="170">
        <f>calc_engine!$B$1</f>
        <v>46294</v>
      </c>
      <c r="AD4" s="22" t="s">
        <v>706</v>
      </c>
      <c r="AE4" s="148">
        <v>46293.0</v>
      </c>
      <c r="AF4" s="22">
        <v>102.0</v>
      </c>
      <c r="AG4" s="22" t="s">
        <v>707</v>
      </c>
      <c r="AH4" s="22" t="str">
        <f>IF(A4="","", IF(AD4="","🔴 NO NEXT ACTION", IF(AE4&lt;calc_engine!$B$1,"🔴 OVERDUE", IF(AE4-calc_engine!$B$1&lt;=1,"🟡 TODAY", IF(AE4-calc_engine!$B$1&lt;=3,"🟢 SOON","🟢 PLANNED")))))</f>
        <v>🔴 OVERDUE</v>
      </c>
      <c r="AI4" s="22">
        <f t="shared" si="4"/>
        <v>50</v>
      </c>
    </row>
    <row r="5" ht="15.75" customHeight="1">
      <c r="A5" s="22" t="s">
        <v>636</v>
      </c>
      <c r="B5" s="22" t="s">
        <v>708</v>
      </c>
      <c r="C5" s="151">
        <v>850000.0</v>
      </c>
      <c r="D5" s="22">
        <v>4.0</v>
      </c>
      <c r="E5" s="22" t="s">
        <v>561</v>
      </c>
      <c r="F5" s="148">
        <v>46277.0</v>
      </c>
      <c r="G5" s="148">
        <v>46282.0</v>
      </c>
      <c r="H5" s="22">
        <v>101.0</v>
      </c>
      <c r="I5" s="22" t="s">
        <v>535</v>
      </c>
      <c r="J5" s="22" t="s">
        <v>570</v>
      </c>
      <c r="K5" s="22" t="s">
        <v>655</v>
      </c>
      <c r="L5" s="22" t="s">
        <v>536</v>
      </c>
      <c r="M5" s="22"/>
      <c r="N5" s="170">
        <v>46285.47214517361</v>
      </c>
      <c r="O5" s="22" t="b">
        <f t="shared" si="1"/>
        <v>0</v>
      </c>
      <c r="P5" s="22" t="b">
        <f t="shared" si="2"/>
        <v>0</v>
      </c>
      <c r="Q5" s="22">
        <f>IF(A5="","",IF(D5&gt;=6,0,IF(ISBLANK(G5),0,IF(calc_engine!$B$1&gt;INT(G5),INT(calc_engine!$B$1-G5),0))))</f>
        <v>12</v>
      </c>
      <c r="R5" s="22" t="str">
        <f t="shared" si="3"/>
        <v>8-14</v>
      </c>
      <c r="S5" s="151">
        <f>IF(A5="","",C5*IFERROR(VLOOKUP(D5,'⚙️ Настройки'!$A$12:$D$18,4,FALSE),0))</f>
        <v>510000</v>
      </c>
      <c r="T5" s="22">
        <f>IF(A5="","",IF(D5&gt;=6,IF(G5&gt;F5,INT(G5-F5),1),IF(calc_engine!$B$1&gt;INT(F5),INT(calc_engine!$B$1-F5),1)))</f>
        <v>17</v>
      </c>
      <c r="U5" s="22" t="s">
        <v>690</v>
      </c>
      <c r="V5" s="22" t="s">
        <v>691</v>
      </c>
      <c r="W5" s="22" t="s">
        <v>692</v>
      </c>
      <c r="Z5" s="170">
        <f>calc_engine!$B$1</f>
        <v>46294</v>
      </c>
      <c r="AD5" s="22" t="s">
        <v>709</v>
      </c>
      <c r="AE5" s="148">
        <v>46294.0</v>
      </c>
      <c r="AF5" s="22">
        <v>101.0</v>
      </c>
      <c r="AG5" s="22" t="s">
        <v>710</v>
      </c>
      <c r="AH5" s="22" t="str">
        <f>IF(A5="","", IF(AD5="","🔴 NO NEXT ACTION", IF(AE5&lt;calc_engine!$B$1,"🔴 OVERDUE", IF(AE5-calc_engine!$B$1&lt;=1,"🟡 TODAY", IF(AE5-calc_engine!$B$1&lt;=3,"🟢 SOON","🟢 PLANNED")))))</f>
        <v>🟡 TODAY</v>
      </c>
      <c r="AI5" s="22">
        <f t="shared" si="4"/>
        <v>60</v>
      </c>
    </row>
    <row r="6" ht="15.75" customHeight="1">
      <c r="A6" s="22" t="s">
        <v>694</v>
      </c>
      <c r="B6" s="22" t="s">
        <v>711</v>
      </c>
      <c r="C6" s="151">
        <v>3000000.0</v>
      </c>
      <c r="D6" s="22">
        <v>4.0</v>
      </c>
      <c r="E6" s="22" t="s">
        <v>561</v>
      </c>
      <c r="F6" s="148">
        <v>46266.0</v>
      </c>
      <c r="G6" s="148">
        <v>46280.0</v>
      </c>
      <c r="H6" s="22">
        <v>102.0</v>
      </c>
      <c r="I6" s="22" t="s">
        <v>591</v>
      </c>
      <c r="J6" s="22" t="s">
        <v>518</v>
      </c>
      <c r="K6" s="22" t="s">
        <v>695</v>
      </c>
      <c r="L6" s="22" t="s">
        <v>536</v>
      </c>
      <c r="M6" s="22"/>
      <c r="N6" s="170">
        <v>46285.47214517361</v>
      </c>
      <c r="O6" s="22" t="b">
        <f t="shared" si="1"/>
        <v>0</v>
      </c>
      <c r="P6" s="22" t="b">
        <f t="shared" si="2"/>
        <v>0</v>
      </c>
      <c r="Q6" s="22">
        <f>IF(A6="","",IF(D6&gt;=6,0,IF(ISBLANK(G6),0,IF(calc_engine!$B$1&gt;INT(G6),INT(calc_engine!$B$1-G6),0))))</f>
        <v>14</v>
      </c>
      <c r="R6" s="22" t="str">
        <f t="shared" si="3"/>
        <v>8-14</v>
      </c>
      <c r="S6" s="151">
        <f>IF(A6="","",C6*IFERROR(VLOOKUP(D6,'⚙️ Настройки'!$A$12:$D$18,4,FALSE),0))</f>
        <v>1800000</v>
      </c>
      <c r="T6" s="22">
        <f>IF(A6="","",IF(D6&gt;=6,IF(G6&gt;F6,INT(G6-F6),1),IF(calc_engine!$B$1&gt;INT(F6),INT(calc_engine!$B$1-F6),1)))</f>
        <v>28</v>
      </c>
      <c r="U6" s="22" t="s">
        <v>712</v>
      </c>
      <c r="V6" s="22" t="s">
        <v>713</v>
      </c>
      <c r="W6" s="22" t="s">
        <v>714</v>
      </c>
      <c r="Z6" s="170">
        <f>calc_engine!$B$1</f>
        <v>46294</v>
      </c>
      <c r="AD6" s="22" t="s">
        <v>709</v>
      </c>
      <c r="AE6" s="148">
        <v>46295.0</v>
      </c>
      <c r="AF6" s="22">
        <v>103.0</v>
      </c>
      <c r="AG6" s="22" t="s">
        <v>715</v>
      </c>
      <c r="AH6" s="22" t="str">
        <f>IF(A6="","", IF(AD6="","🔴 NO NEXT ACTION", IF(AE6&lt;calc_engine!$B$1,"🔴 OVERDUE", IF(AE6-calc_engine!$B$1&lt;=1,"🟡 TODAY", IF(AE6-calc_engine!$B$1&lt;=3,"🟢 SOON","🟢 PLANNED")))))</f>
        <v>🟡 TODAY</v>
      </c>
      <c r="AI6" s="22">
        <f t="shared" si="4"/>
        <v>55</v>
      </c>
    </row>
    <row r="7" ht="15.75" customHeight="1">
      <c r="A7" s="22" t="s">
        <v>677</v>
      </c>
      <c r="B7" s="22" t="s">
        <v>716</v>
      </c>
      <c r="C7" s="151">
        <v>280000.0</v>
      </c>
      <c r="D7" s="22">
        <v>3.0</v>
      </c>
      <c r="E7" s="22" t="s">
        <v>557</v>
      </c>
      <c r="F7" s="148">
        <v>46279.0</v>
      </c>
      <c r="G7" s="148">
        <v>46291.0</v>
      </c>
      <c r="H7" s="22">
        <v>102.0</v>
      </c>
      <c r="I7" s="22" t="s">
        <v>698</v>
      </c>
      <c r="J7" s="22" t="s">
        <v>487</v>
      </c>
      <c r="K7" s="22" t="s">
        <v>717</v>
      </c>
      <c r="L7" s="22" t="s">
        <v>700</v>
      </c>
      <c r="M7" s="22"/>
      <c r="N7" s="170">
        <v>46285.47214517361</v>
      </c>
      <c r="O7" s="22" t="b">
        <f t="shared" si="1"/>
        <v>0</v>
      </c>
      <c r="P7" s="22" t="b">
        <f t="shared" si="2"/>
        <v>0</v>
      </c>
      <c r="Q7" s="22">
        <f>IF(A7="","",IF(D7&gt;=6,0,IF(ISBLANK(G7),0,IF(calc_engine!$B$1&gt;INT(G7),INT(calc_engine!$B$1-G7),0))))</f>
        <v>3</v>
      </c>
      <c r="R7" s="22" t="str">
        <f t="shared" si="3"/>
        <v>0-3</v>
      </c>
      <c r="S7" s="151">
        <f>IF(A7="","",C7*IFERROR(VLOOKUP(D7,'⚙️ Настройки'!$A$12:$D$18,4,FALSE),0))</f>
        <v>98000</v>
      </c>
      <c r="T7" s="22">
        <f>IF(A7="","",IF(D7&gt;=6,IF(G7&gt;F7,INT(G7-F7),1),IF(calc_engine!$B$1&gt;INT(F7),INT(calc_engine!$B$1-F7),1)))</f>
        <v>15</v>
      </c>
      <c r="U7" s="22" t="s">
        <v>614</v>
      </c>
      <c r="V7" s="22" t="s">
        <v>615</v>
      </c>
      <c r="W7" s="22" t="s">
        <v>738</v>
      </c>
      <c r="X7" s="22" t="s">
        <v>740</v>
      </c>
      <c r="Z7" s="170">
        <f>calc_engine!$B$1</f>
        <v>46294</v>
      </c>
      <c r="AD7" s="22" t="s">
        <v>741</v>
      </c>
      <c r="AE7" s="148">
        <v>46297.0</v>
      </c>
      <c r="AF7" s="22">
        <v>102.0</v>
      </c>
      <c r="AG7" s="22" t="s">
        <v>715</v>
      </c>
      <c r="AH7" s="22" t="str">
        <f>IF(A7="","", IF(AD7="","🔴 NO NEXT ACTION", IF(AE7&lt;calc_engine!$B$1,"🔴 OVERDUE", IF(AE7-calc_engine!$B$1&lt;=1,"🟡 TODAY", IF(AE7-calc_engine!$B$1&lt;=3,"🟢 SOON","🟢 PLANNED")))))</f>
        <v>🟢 SOON</v>
      </c>
      <c r="AI7" s="22">
        <f t="shared" si="4"/>
        <v>70</v>
      </c>
    </row>
    <row r="8" ht="15.75" customHeight="1">
      <c r="A8" s="22" t="s">
        <v>689</v>
      </c>
      <c r="B8" s="22" t="s">
        <v>746</v>
      </c>
      <c r="C8" s="151">
        <v>120000.0</v>
      </c>
      <c r="D8" s="22">
        <v>2.0</v>
      </c>
      <c r="E8" s="22" t="s">
        <v>554</v>
      </c>
      <c r="F8" s="148">
        <v>46280.0</v>
      </c>
      <c r="G8" s="148">
        <v>46293.0</v>
      </c>
      <c r="H8" s="22">
        <v>103.0</v>
      </c>
      <c r="I8" s="22" t="s">
        <v>698</v>
      </c>
      <c r="J8" s="22" t="s">
        <v>453</v>
      </c>
      <c r="K8" s="22" t="s">
        <v>750</v>
      </c>
      <c r="L8" s="22" t="s">
        <v>751</v>
      </c>
      <c r="M8" s="22"/>
      <c r="N8" s="170">
        <v>46285.47214517361</v>
      </c>
      <c r="O8" s="22" t="b">
        <f t="shared" si="1"/>
        <v>0</v>
      </c>
      <c r="P8" s="22" t="b">
        <f t="shared" si="2"/>
        <v>0</v>
      </c>
      <c r="Q8" s="22">
        <f>IF(A8="","",IF(D8&gt;=6,0,IF(ISBLANK(G8),0,IF(calc_engine!$B$1&gt;INT(G8),INT(calc_engine!$B$1-G8),0))))</f>
        <v>1</v>
      </c>
      <c r="R8" s="22" t="str">
        <f t="shared" si="3"/>
        <v>0-3</v>
      </c>
      <c r="S8" s="151">
        <f>IF(A8="","",C8*IFERROR(VLOOKUP(D8,'⚙️ Настройки'!$A$12:$D$18,4,FALSE),0))</f>
        <v>18000</v>
      </c>
      <c r="T8" s="22">
        <f>IF(A8="","",IF(D8&gt;=6,IF(G8&gt;F8,INT(G8-F8),1),IF(calc_engine!$B$1&gt;INT(F8),INT(calc_engine!$B$1-F8),1)))</f>
        <v>14</v>
      </c>
      <c r="U8" s="22" t="s">
        <v>762</v>
      </c>
      <c r="V8" s="22" t="s">
        <v>763</v>
      </c>
      <c r="W8" s="22" t="s">
        <v>764</v>
      </c>
      <c r="Z8" s="170">
        <f>calc_engine!$B$1</f>
        <v>46294</v>
      </c>
      <c r="AD8" s="22" t="s">
        <v>765</v>
      </c>
      <c r="AE8" s="148">
        <v>46300.0</v>
      </c>
      <c r="AF8" s="22">
        <v>103.0</v>
      </c>
      <c r="AG8" s="22" t="s">
        <v>707</v>
      </c>
      <c r="AH8" s="22" t="str">
        <f>IF(A8="","", IF(AD8="","🔴 NO NEXT ACTION", IF(AE8&lt;calc_engine!$B$1,"🔴 OVERDUE", IF(AE8-calc_engine!$B$1&lt;=1,"🟡 TODAY", IF(AE8-calc_engine!$B$1&lt;=3,"🟢 SOON","🟢 PLANNED")))))</f>
        <v>🟢 PLANNED</v>
      </c>
      <c r="AI8" s="22">
        <f t="shared" si="4"/>
        <v>90</v>
      </c>
    </row>
    <row r="9" ht="15.75" customHeight="1">
      <c r="A9" s="22" t="s">
        <v>759</v>
      </c>
      <c r="B9" s="22" t="s">
        <v>767</v>
      </c>
      <c r="C9" s="151">
        <v>950000.0</v>
      </c>
      <c r="D9" s="22">
        <v>1.0</v>
      </c>
      <c r="E9" s="22" t="s">
        <v>550</v>
      </c>
      <c r="F9" s="148">
        <v>46283.0</v>
      </c>
      <c r="G9" s="148">
        <v>46294.0</v>
      </c>
      <c r="H9" s="22">
        <v>103.0</v>
      </c>
      <c r="I9" s="22" t="s">
        <v>535</v>
      </c>
      <c r="J9" s="22" t="s">
        <v>570</v>
      </c>
      <c r="K9" s="22" t="s">
        <v>769</v>
      </c>
      <c r="L9" s="22" t="s">
        <v>536</v>
      </c>
      <c r="M9" s="22"/>
      <c r="N9" s="170">
        <v>46285.47214517361</v>
      </c>
      <c r="O9" s="22" t="b">
        <f t="shared" si="1"/>
        <v>0</v>
      </c>
      <c r="P9" s="22" t="b">
        <f t="shared" si="2"/>
        <v>0</v>
      </c>
      <c r="Q9" s="22">
        <f>IF(A9="","",IF(D9&gt;=6,0,IF(ISBLANK(G9),0,IF(calc_engine!$B$1&gt;INT(G9),INT(calc_engine!$B$1-G9),0))))</f>
        <v>0</v>
      </c>
      <c r="R9" s="22" t="str">
        <f t="shared" si="3"/>
        <v>0-3</v>
      </c>
      <c r="S9" s="151">
        <f>IF(A9="","",C9*IFERROR(VLOOKUP(D9,'⚙️ Настройки'!$A$12:$D$18,4,FALSE),0))</f>
        <v>47500</v>
      </c>
      <c r="T9" s="22">
        <f>IF(A9="","",IF(D9&gt;=6,IF(G9&gt;F9,INT(G9-F9),1),IF(calc_engine!$B$1&gt;INT(F9),INT(calc_engine!$B$1-F9),1)))</f>
        <v>11</v>
      </c>
      <c r="U9" s="22" t="s">
        <v>690</v>
      </c>
      <c r="V9" s="22" t="s">
        <v>691</v>
      </c>
      <c r="W9" s="22" t="s">
        <v>692</v>
      </c>
      <c r="Z9" s="170">
        <f>calc_engine!$B$1</f>
        <v>46294</v>
      </c>
      <c r="AD9" s="22" t="s">
        <v>765</v>
      </c>
      <c r="AE9" s="148">
        <v>46295.0</v>
      </c>
      <c r="AF9" s="22">
        <v>103.0</v>
      </c>
      <c r="AG9" s="22" t="s">
        <v>707</v>
      </c>
      <c r="AH9" s="22" t="str">
        <f>IF(A9="","", IF(AD9="","🔴 NO NEXT ACTION", IF(AE9&lt;calc_engine!$B$1,"🔴 OVERDUE", IF(AE9-calc_engine!$B$1&lt;=1,"🟡 TODAY", IF(AE9-calc_engine!$B$1&lt;=3,"🟢 SOON","🟢 PLANNED")))))</f>
        <v>🟡 TODAY</v>
      </c>
      <c r="AI9" s="22">
        <f t="shared" si="4"/>
        <v>100</v>
      </c>
    </row>
    <row r="10" ht="15.75" customHeight="1">
      <c r="A10" s="22" t="s">
        <v>669</v>
      </c>
      <c r="B10" s="22" t="s">
        <v>786</v>
      </c>
      <c r="C10" s="151">
        <v>600000.0</v>
      </c>
      <c r="D10" s="22">
        <v>7.0</v>
      </c>
      <c r="E10" s="22" t="s">
        <v>582</v>
      </c>
      <c r="F10" s="148">
        <v>46268.0</v>
      </c>
      <c r="G10" s="148">
        <v>46275.0</v>
      </c>
      <c r="H10" s="22">
        <v>102.0</v>
      </c>
      <c r="I10" s="22" t="s">
        <v>535</v>
      </c>
      <c r="J10" s="22" t="s">
        <v>487</v>
      </c>
      <c r="K10" s="22" t="s">
        <v>787</v>
      </c>
      <c r="L10" s="22" t="s">
        <v>536</v>
      </c>
      <c r="M10" s="22" t="s">
        <v>601</v>
      </c>
      <c r="N10" s="170">
        <v>46285.47214517361</v>
      </c>
      <c r="O10" s="22" t="b">
        <f t="shared" si="1"/>
        <v>0</v>
      </c>
      <c r="P10" s="22" t="b">
        <f t="shared" si="2"/>
        <v>1</v>
      </c>
      <c r="Q10" s="22">
        <f>IF(A10="","",IF(D10&gt;=6,0,IF(ISBLANK(G10),0,IF(calc_engine!$B$1&gt;INT(G10),INT(calc_engine!$B$1-G10),0))))</f>
        <v>0</v>
      </c>
      <c r="R10" s="22" t="str">
        <f t="shared" si="3"/>
        <v>closed</v>
      </c>
      <c r="S10" s="151">
        <f>IF(A10="","",C10*IFERROR(VLOOKUP(D10,'⚙️ Настройки'!$A$12:$D$18,4,FALSE),0))</f>
        <v>0</v>
      </c>
      <c r="T10" s="22">
        <f>IF(A10="","",IF(D10&gt;=6,IF(G10&gt;F10,INT(G10-F10),1),IF(calc_engine!$B$1&gt;INT(F10),INT(calc_engine!$B$1-F10),1)))</f>
        <v>7</v>
      </c>
      <c r="U10" s="22" t="s">
        <v>614</v>
      </c>
      <c r="V10" s="22" t="s">
        <v>615</v>
      </c>
      <c r="W10" s="22" t="s">
        <v>618</v>
      </c>
      <c r="X10" s="22" t="s">
        <v>788</v>
      </c>
      <c r="Z10" s="170">
        <f>calc_engine!$B$1</f>
        <v>46294</v>
      </c>
      <c r="AH10" s="22" t="str">
        <f>IF(A10="","", IF(AD10="","🔴 NO NEXT ACTION", IF(AE10&lt;calc_engine!$B$1,"🔴 OVERDUE", IF(AE10-calc_engine!$B$1&lt;=1,"🟡 TODAY", IF(AE10-calc_engine!$B$1&lt;=3,"🟢 SOON","🟢 PLANNED")))))</f>
        <v>🔴 NO NEXT ACTION</v>
      </c>
      <c r="AI10" s="22">
        <f t="shared" si="4"/>
        <v>75</v>
      </c>
    </row>
    <row r="11" ht="15.75" customHeight="1">
      <c r="A11" s="22" t="s">
        <v>789</v>
      </c>
      <c r="B11" s="22" t="s">
        <v>790</v>
      </c>
      <c r="C11" s="151">
        <v>400000.0</v>
      </c>
      <c r="D11" s="22">
        <v>7.0</v>
      </c>
      <c r="E11" s="22" t="s">
        <v>582</v>
      </c>
      <c r="F11" s="148">
        <v>46270.0</v>
      </c>
      <c r="G11" s="148">
        <v>46279.0</v>
      </c>
      <c r="H11" s="22">
        <v>102.0</v>
      </c>
      <c r="I11" s="22" t="s">
        <v>698</v>
      </c>
      <c r="J11" s="22" t="s">
        <v>539</v>
      </c>
      <c r="K11" s="22" t="s">
        <v>791</v>
      </c>
      <c r="L11" s="22" t="s">
        <v>700</v>
      </c>
      <c r="M11" s="22" t="s">
        <v>603</v>
      </c>
      <c r="N11" s="170">
        <v>46285.47214517361</v>
      </c>
      <c r="O11" s="22" t="b">
        <f t="shared" si="1"/>
        <v>0</v>
      </c>
      <c r="P11" s="22" t="b">
        <f t="shared" si="2"/>
        <v>1</v>
      </c>
      <c r="Q11" s="22">
        <f>IF(A11="","",IF(D11&gt;=6,0,IF(ISBLANK(G11),0,IF(calc_engine!$B$1&gt;INT(G11),INT(calc_engine!$B$1-G11),0))))</f>
        <v>0</v>
      </c>
      <c r="R11" s="22" t="str">
        <f t="shared" si="3"/>
        <v>closed</v>
      </c>
      <c r="S11" s="151">
        <f>IF(A11="","",C11*IFERROR(VLOOKUP(D11,'⚙️ Настройки'!$A$12:$D$18,4,FALSE),0))</f>
        <v>0</v>
      </c>
      <c r="T11" s="22">
        <f>IF(A11="","",IF(D11&gt;=6,IF(G11&gt;F11,INT(G11-F11),1),IF(calc_engine!$B$1&gt;INT(F11),INT(calc_engine!$B$1-F11),1)))</f>
        <v>9</v>
      </c>
      <c r="U11" s="22" t="s">
        <v>702</v>
      </c>
      <c r="V11" s="22" t="s">
        <v>615</v>
      </c>
      <c r="W11" s="22" t="s">
        <v>703</v>
      </c>
      <c r="Y11" s="22" t="s">
        <v>793</v>
      </c>
      <c r="Z11" s="170">
        <f>calc_engine!$B$1</f>
        <v>46294</v>
      </c>
      <c r="AH11" s="22" t="str">
        <f>IF(A11="","", IF(AD11="","🔴 NO NEXT ACTION", IF(AE11&lt;calc_engine!$B$1,"🔴 OVERDUE", IF(AE11-calc_engine!$B$1&lt;=1,"🟡 TODAY", IF(AE11-calc_engine!$B$1&lt;=3,"🟢 SOON","🟢 PLANNED")))))</f>
        <v>🔴 NO NEXT ACTION</v>
      </c>
      <c r="AI11" s="22">
        <f t="shared" si="4"/>
        <v>65</v>
      </c>
    </row>
    <row r="12" ht="15.75" customHeight="1">
      <c r="A12" s="22" t="s">
        <v>798</v>
      </c>
      <c r="B12" s="22" t="s">
        <v>806</v>
      </c>
      <c r="C12" s="151">
        <v>180000.0</v>
      </c>
      <c r="D12" s="22">
        <v>5.0</v>
      </c>
      <c r="E12" s="22" t="s">
        <v>567</v>
      </c>
      <c r="F12" s="216">
        <v>46235.0</v>
      </c>
      <c r="G12" s="216">
        <v>46244.0</v>
      </c>
      <c r="H12" s="22">
        <v>103.0</v>
      </c>
      <c r="I12" s="22" t="s">
        <v>698</v>
      </c>
      <c r="J12" s="22" t="s">
        <v>487</v>
      </c>
      <c r="K12" s="22" t="s">
        <v>807</v>
      </c>
      <c r="L12" s="22" t="s">
        <v>808</v>
      </c>
      <c r="M12" s="22"/>
      <c r="N12" s="216">
        <v>46259.0</v>
      </c>
      <c r="O12" s="22" t="b">
        <f t="shared" si="1"/>
        <v>0</v>
      </c>
      <c r="P12" s="22" t="b">
        <f t="shared" si="2"/>
        <v>0</v>
      </c>
      <c r="Q12" s="22">
        <f>IF(A12="","",IF(D12&gt;=6,0,IF(ISBLANK(G12),0,IF(calc_engine!$B$1&gt;INT(G12),INT(calc_engine!$B$1-G12),0))))</f>
        <v>50</v>
      </c>
      <c r="R12" s="22" t="str">
        <f t="shared" si="3"/>
        <v>zombie</v>
      </c>
      <c r="S12" s="151">
        <f>IF(A12="","",C12*IFERROR(VLOOKUP(D12,'⚙️ Настройки'!$A$12:$D$18,4,FALSE),0))</f>
        <v>153000</v>
      </c>
      <c r="T12" s="22">
        <f>IF(A12="","",IF(D12&gt;=6,IF(G12&gt;F12,INT(G12-F12),1),IF(calc_engine!$B$1&gt;INT(F12),INT(calc_engine!$B$1-F12),1)))</f>
        <v>59</v>
      </c>
      <c r="U12" s="22" t="s">
        <v>614</v>
      </c>
      <c r="V12" s="22" t="s">
        <v>615</v>
      </c>
      <c r="W12" s="22" t="s">
        <v>809</v>
      </c>
      <c r="Z12" s="170">
        <f>calc_engine!$B$1</f>
        <v>46294</v>
      </c>
      <c r="AD12" s="22" t="s">
        <v>810</v>
      </c>
      <c r="AE12" s="148">
        <v>46292.0</v>
      </c>
      <c r="AF12" s="22">
        <v>101.0</v>
      </c>
      <c r="AG12" s="22" t="s">
        <v>811</v>
      </c>
      <c r="AH12" s="22" t="str">
        <f>IF(A12="","", IF(AD12="","🔴 NO NEXT ACTION", IF(AE12&lt;calc_engine!$B$1,"🔴 OVERDUE", IF(AE12-calc_engine!$B$1&lt;=1,"🟡 TODAY", IF(AE12-calc_engine!$B$1&lt;=3,"🟢 SOON","🟢 PLANNED")))))</f>
        <v>🔴 OVERDUE</v>
      </c>
      <c r="AI12" s="22">
        <f t="shared" si="4"/>
        <v>50</v>
      </c>
    </row>
    <row r="13" ht="15.75" customHeight="1">
      <c r="C13" s="151"/>
      <c r="D13" s="22"/>
      <c r="H13" s="22"/>
      <c r="I13" s="22"/>
      <c r="J13" s="22"/>
      <c r="M13" s="22"/>
      <c r="O13" s="22" t="str">
        <f t="shared" si="1"/>
        <v/>
      </c>
      <c r="P13" s="22" t="str">
        <f t="shared" si="2"/>
        <v/>
      </c>
      <c r="Q13" s="22" t="str">
        <f>IF(A13="","",IF(D13&gt;=6,0,IF(ISBLANK(G13),0,IF(calc_engine!$B$1&gt;INT(G13),INT(calc_engine!$B$1-G13),0))))</f>
        <v/>
      </c>
      <c r="R13" s="22" t="str">
        <f t="shared" si="3"/>
        <v/>
      </c>
      <c r="S13" s="151" t="str">
        <f>IF(A13="","",C13*IFERROR(VLOOKUP(D13,'⚙️ Настройки'!$A$12:$D$18,4,FALSE),0))</f>
        <v/>
      </c>
      <c r="T13" s="22" t="str">
        <f>IF(A13="","",IF(D13&gt;=6,IF(G13&gt;F13,INT(G13-F13),1),IF(calc_engine!$B$1&gt;INT(F13),INT(calc_engine!$B$1-F13),1)))</f>
        <v/>
      </c>
    </row>
    <row r="14" ht="15.75" customHeight="1">
      <c r="C14" s="151"/>
      <c r="D14" s="22"/>
      <c r="H14" s="22"/>
      <c r="I14" s="22"/>
      <c r="J14" s="22"/>
      <c r="M14" s="22"/>
      <c r="S14" s="151"/>
    </row>
    <row r="15" ht="15.75" customHeight="1">
      <c r="C15" s="151"/>
      <c r="D15" s="22"/>
      <c r="H15" s="22"/>
      <c r="I15" s="22"/>
      <c r="J15" s="22"/>
      <c r="M15" s="22"/>
      <c r="S15" s="151"/>
    </row>
    <row r="16" ht="15.75" customHeight="1">
      <c r="C16" s="151"/>
      <c r="D16" s="22"/>
      <c r="H16" s="22"/>
      <c r="I16" s="22"/>
      <c r="J16" s="22"/>
      <c r="M16" s="22"/>
      <c r="S16" s="151"/>
    </row>
    <row r="17" ht="15.75" customHeight="1">
      <c r="C17" s="151"/>
      <c r="D17" s="22"/>
      <c r="H17" s="22"/>
      <c r="I17" s="22"/>
      <c r="J17" s="22"/>
      <c r="M17" s="22"/>
      <c r="S17" s="151"/>
    </row>
    <row r="18" ht="15.75" customHeight="1">
      <c r="C18" s="151"/>
      <c r="D18" s="22"/>
      <c r="H18" s="22"/>
      <c r="I18" s="22"/>
      <c r="J18" s="22"/>
      <c r="M18" s="22"/>
      <c r="S18" s="151"/>
    </row>
    <row r="19" ht="15.75" customHeight="1">
      <c r="C19" s="151"/>
      <c r="D19" s="22"/>
      <c r="H19" s="22"/>
      <c r="I19" s="22"/>
      <c r="J19" s="22"/>
      <c r="M19" s="22"/>
      <c r="S19" s="151"/>
    </row>
    <row r="20" ht="15.75" customHeight="1">
      <c r="C20" s="151"/>
      <c r="D20" s="22"/>
      <c r="H20" s="22"/>
      <c r="I20" s="22"/>
      <c r="J20" s="22"/>
      <c r="M20" s="22"/>
      <c r="S20" s="151"/>
    </row>
    <row r="21" ht="15.75" customHeight="1">
      <c r="C21" s="151"/>
      <c r="D21" s="22"/>
      <c r="H21" s="22"/>
      <c r="I21" s="22"/>
      <c r="J21" s="22"/>
      <c r="M21" s="22"/>
      <c r="S21" s="151"/>
    </row>
    <row r="22" ht="15.75" customHeight="1">
      <c r="C22" s="151"/>
      <c r="D22" s="22"/>
      <c r="H22" s="22"/>
      <c r="I22" s="22"/>
      <c r="J22" s="22"/>
      <c r="M22" s="22"/>
      <c r="S22" s="151"/>
    </row>
    <row r="23" ht="15.75" customHeight="1">
      <c r="C23" s="151"/>
      <c r="D23" s="22"/>
      <c r="H23" s="22"/>
      <c r="I23" s="22"/>
      <c r="J23" s="22"/>
      <c r="M23" s="22"/>
      <c r="S23" s="151"/>
    </row>
    <row r="24" ht="15.75" customHeight="1">
      <c r="C24" s="151"/>
      <c r="D24" s="22"/>
      <c r="H24" s="22"/>
      <c r="I24" s="22"/>
      <c r="J24" s="22"/>
      <c r="M24" s="22"/>
      <c r="S24" s="151"/>
    </row>
    <row r="25" ht="15.75" customHeight="1">
      <c r="C25" s="151"/>
      <c r="D25" s="22"/>
      <c r="H25" s="22"/>
      <c r="I25" s="22"/>
      <c r="J25" s="22"/>
      <c r="M25" s="22"/>
      <c r="S25" s="151"/>
    </row>
    <row r="26" ht="15.75" customHeight="1">
      <c r="C26" s="151"/>
      <c r="D26" s="22"/>
      <c r="H26" s="22"/>
      <c r="I26" s="22"/>
      <c r="J26" s="22"/>
      <c r="M26" s="22"/>
      <c r="S26" s="151"/>
    </row>
    <row r="27" ht="15.75" customHeight="1">
      <c r="C27" s="151"/>
      <c r="D27" s="22"/>
      <c r="H27" s="22"/>
      <c r="I27" s="22"/>
      <c r="J27" s="22"/>
      <c r="M27" s="22"/>
      <c r="S27" s="151"/>
    </row>
    <row r="28" ht="15.75" customHeight="1">
      <c r="C28" s="151"/>
      <c r="D28" s="22"/>
      <c r="H28" s="22"/>
      <c r="I28" s="22"/>
      <c r="J28" s="22"/>
      <c r="M28" s="22"/>
      <c r="S28" s="151"/>
    </row>
    <row r="29" ht="15.75" customHeight="1">
      <c r="C29" s="151"/>
      <c r="D29" s="22"/>
      <c r="H29" s="22"/>
      <c r="I29" s="22"/>
      <c r="J29" s="22"/>
      <c r="M29" s="22"/>
      <c r="S29" s="151"/>
    </row>
    <row r="30" ht="15.75" customHeight="1">
      <c r="C30" s="151"/>
      <c r="D30" s="22"/>
      <c r="H30" s="22"/>
      <c r="I30" s="22"/>
      <c r="J30" s="22"/>
      <c r="M30" s="22"/>
      <c r="S30" s="151"/>
    </row>
    <row r="31" ht="15.75" customHeight="1">
      <c r="C31" s="151"/>
      <c r="D31" s="22"/>
      <c r="H31" s="22"/>
      <c r="I31" s="22"/>
      <c r="J31" s="22"/>
      <c r="M31" s="22"/>
      <c r="S31" s="151"/>
    </row>
    <row r="32" ht="15.75" customHeight="1">
      <c r="C32" s="151"/>
      <c r="D32" s="22"/>
      <c r="H32" s="22"/>
      <c r="I32" s="22"/>
      <c r="J32" s="22"/>
      <c r="M32" s="22"/>
      <c r="S32" s="151"/>
    </row>
    <row r="33" ht="15.75" customHeight="1">
      <c r="C33" s="151"/>
      <c r="D33" s="22"/>
      <c r="H33" s="22"/>
      <c r="I33" s="22"/>
      <c r="J33" s="22"/>
      <c r="M33" s="22"/>
      <c r="S33" s="151"/>
    </row>
    <row r="34" ht="15.75" customHeight="1">
      <c r="C34" s="151"/>
      <c r="D34" s="22"/>
      <c r="H34" s="22"/>
      <c r="I34" s="22"/>
      <c r="J34" s="22"/>
      <c r="M34" s="22"/>
      <c r="S34" s="151"/>
    </row>
    <row r="35" ht="15.75" customHeight="1">
      <c r="C35" s="151"/>
      <c r="D35" s="22"/>
      <c r="H35" s="22"/>
      <c r="I35" s="22"/>
      <c r="J35" s="22"/>
      <c r="M35" s="22"/>
      <c r="S35" s="151"/>
    </row>
    <row r="36" ht="15.75" customHeight="1">
      <c r="C36" s="151"/>
      <c r="D36" s="22"/>
      <c r="H36" s="22"/>
      <c r="I36" s="22"/>
      <c r="J36" s="22"/>
      <c r="M36" s="22"/>
      <c r="S36" s="151"/>
    </row>
    <row r="37" ht="15.75" customHeight="1">
      <c r="C37" s="151"/>
      <c r="D37" s="22"/>
      <c r="H37" s="22"/>
      <c r="I37" s="22"/>
      <c r="J37" s="22"/>
      <c r="M37" s="22"/>
      <c r="S37" s="151"/>
    </row>
    <row r="38" ht="15.75" customHeight="1">
      <c r="C38" s="151"/>
      <c r="D38" s="22"/>
      <c r="H38" s="22"/>
      <c r="I38" s="22"/>
      <c r="J38" s="22"/>
      <c r="M38" s="22"/>
      <c r="S38" s="151"/>
    </row>
    <row r="39" ht="15.75" customHeight="1">
      <c r="C39" s="151"/>
      <c r="D39" s="22"/>
      <c r="H39" s="22"/>
      <c r="I39" s="22"/>
      <c r="J39" s="22"/>
      <c r="M39" s="22"/>
      <c r="S39" s="151"/>
    </row>
    <row r="40" ht="15.75" customHeight="1">
      <c r="C40" s="151"/>
      <c r="D40" s="22"/>
      <c r="H40" s="22"/>
      <c r="I40" s="22"/>
      <c r="J40" s="22"/>
      <c r="M40" s="22"/>
      <c r="S40" s="151"/>
    </row>
    <row r="41" ht="15.75" customHeight="1">
      <c r="C41" s="151"/>
      <c r="D41" s="22"/>
      <c r="H41" s="22"/>
      <c r="I41" s="22"/>
      <c r="J41" s="22"/>
      <c r="M41" s="22"/>
      <c r="S41" s="151"/>
    </row>
    <row r="42" ht="15.75" customHeight="1">
      <c r="C42" s="151"/>
      <c r="D42" s="22"/>
      <c r="H42" s="22"/>
      <c r="I42" s="22"/>
      <c r="J42" s="22"/>
      <c r="M42" s="22"/>
      <c r="S42" s="151"/>
    </row>
    <row r="43" ht="15.75" customHeight="1">
      <c r="C43" s="151"/>
      <c r="D43" s="22"/>
      <c r="H43" s="22"/>
      <c r="I43" s="22"/>
      <c r="J43" s="22"/>
      <c r="M43" s="22"/>
      <c r="S43" s="151"/>
    </row>
    <row r="44" ht="15.75" customHeight="1">
      <c r="C44" s="151"/>
      <c r="D44" s="22"/>
      <c r="H44" s="22"/>
      <c r="I44" s="22"/>
      <c r="J44" s="22"/>
      <c r="M44" s="22"/>
      <c r="S44" s="151"/>
    </row>
    <row r="45" ht="15.75" customHeight="1">
      <c r="C45" s="151"/>
      <c r="D45" s="22"/>
      <c r="H45" s="22"/>
      <c r="I45" s="22"/>
      <c r="J45" s="22"/>
      <c r="M45" s="22"/>
      <c r="S45" s="151"/>
    </row>
    <row r="46" ht="15.75" customHeight="1">
      <c r="C46" s="151"/>
      <c r="D46" s="22"/>
      <c r="H46" s="22"/>
      <c r="I46" s="22"/>
      <c r="J46" s="22"/>
      <c r="M46" s="22"/>
      <c r="S46" s="151"/>
    </row>
    <row r="47" ht="15.75" customHeight="1">
      <c r="C47" s="151"/>
      <c r="D47" s="22"/>
      <c r="H47" s="22"/>
      <c r="I47" s="22"/>
      <c r="J47" s="22"/>
      <c r="M47" s="22"/>
      <c r="S47" s="151"/>
    </row>
    <row r="48" ht="15.75" customHeight="1">
      <c r="C48" s="151"/>
      <c r="D48" s="22"/>
      <c r="H48" s="22"/>
      <c r="I48" s="22"/>
      <c r="J48" s="22"/>
      <c r="M48" s="22"/>
      <c r="S48" s="151"/>
    </row>
    <row r="49" ht="15.75" customHeight="1">
      <c r="C49" s="151"/>
      <c r="D49" s="22"/>
      <c r="H49" s="22"/>
      <c r="I49" s="22"/>
      <c r="J49" s="22"/>
      <c r="M49" s="22"/>
      <c r="S49" s="151"/>
    </row>
    <row r="50" ht="15.75" customHeight="1">
      <c r="C50" s="151"/>
      <c r="D50" s="22"/>
      <c r="H50" s="22"/>
      <c r="I50" s="22"/>
      <c r="J50" s="22"/>
      <c r="M50" s="22"/>
      <c r="S50" s="151"/>
    </row>
    <row r="51" ht="15.75" customHeight="1">
      <c r="C51" s="151"/>
      <c r="D51" s="22"/>
      <c r="H51" s="22"/>
      <c r="I51" s="22"/>
      <c r="J51" s="22"/>
      <c r="M51" s="22"/>
      <c r="S51" s="151"/>
    </row>
    <row r="52" ht="15.75" customHeight="1">
      <c r="C52" s="151"/>
      <c r="D52" s="22"/>
      <c r="H52" s="22"/>
      <c r="I52" s="22"/>
      <c r="J52" s="22"/>
      <c r="M52" s="22"/>
      <c r="S52" s="151"/>
    </row>
    <row r="53" ht="15.75" customHeight="1">
      <c r="C53" s="151"/>
      <c r="D53" s="22"/>
      <c r="H53" s="22"/>
      <c r="I53" s="22"/>
      <c r="J53" s="22"/>
      <c r="M53" s="22"/>
      <c r="S53" s="151"/>
    </row>
    <row r="54" ht="15.75" customHeight="1">
      <c r="C54" s="151"/>
      <c r="D54" s="22"/>
      <c r="H54" s="22"/>
      <c r="I54" s="22"/>
      <c r="J54" s="22"/>
      <c r="M54" s="22"/>
      <c r="S54" s="151"/>
    </row>
    <row r="55" ht="15.75" customHeight="1">
      <c r="C55" s="151"/>
      <c r="D55" s="22"/>
      <c r="H55" s="22"/>
      <c r="I55" s="22"/>
      <c r="J55" s="22"/>
      <c r="M55" s="22"/>
      <c r="S55" s="151"/>
    </row>
    <row r="56" ht="15.75" customHeight="1">
      <c r="C56" s="151"/>
      <c r="D56" s="22"/>
      <c r="H56" s="22"/>
      <c r="I56" s="22"/>
      <c r="J56" s="22"/>
      <c r="M56" s="22"/>
      <c r="S56" s="151"/>
    </row>
    <row r="57" ht="15.75" customHeight="1">
      <c r="C57" s="151"/>
      <c r="D57" s="22"/>
      <c r="H57" s="22"/>
      <c r="I57" s="22"/>
      <c r="J57" s="22"/>
      <c r="M57" s="22"/>
      <c r="S57" s="151"/>
    </row>
    <row r="58" ht="15.75" customHeight="1">
      <c r="C58" s="151"/>
      <c r="D58" s="22"/>
      <c r="H58" s="22"/>
      <c r="I58" s="22"/>
      <c r="J58" s="22"/>
      <c r="M58" s="22"/>
      <c r="S58" s="151"/>
    </row>
    <row r="59" ht="15.75" customHeight="1">
      <c r="C59" s="151"/>
      <c r="D59" s="22"/>
      <c r="H59" s="22"/>
      <c r="I59" s="22"/>
      <c r="J59" s="22"/>
      <c r="M59" s="22"/>
      <c r="S59" s="151"/>
    </row>
    <row r="60" ht="15.75" customHeight="1">
      <c r="C60" s="151"/>
      <c r="D60" s="22"/>
      <c r="H60" s="22"/>
      <c r="I60" s="22"/>
      <c r="J60" s="22"/>
      <c r="M60" s="22"/>
      <c r="S60" s="151"/>
    </row>
    <row r="61" ht="15.75" customHeight="1">
      <c r="C61" s="151"/>
      <c r="D61" s="22"/>
      <c r="H61" s="22"/>
      <c r="I61" s="22"/>
      <c r="J61" s="22"/>
      <c r="M61" s="22"/>
      <c r="S61" s="151"/>
    </row>
    <row r="62" ht="15.75" customHeight="1">
      <c r="C62" s="151"/>
      <c r="D62" s="22"/>
      <c r="H62" s="22"/>
      <c r="I62" s="22"/>
      <c r="J62" s="22"/>
      <c r="M62" s="22"/>
      <c r="S62" s="151"/>
    </row>
    <row r="63" ht="15.75" customHeight="1">
      <c r="C63" s="151"/>
      <c r="D63" s="22"/>
      <c r="H63" s="22"/>
      <c r="I63" s="22"/>
      <c r="J63" s="22"/>
      <c r="M63" s="22"/>
      <c r="S63" s="151"/>
    </row>
    <row r="64" ht="15.75" customHeight="1">
      <c r="C64" s="151"/>
      <c r="D64" s="22"/>
      <c r="H64" s="22"/>
      <c r="I64" s="22"/>
      <c r="J64" s="22"/>
      <c r="M64" s="22"/>
      <c r="S64" s="151"/>
    </row>
    <row r="65" ht="15.75" customHeight="1">
      <c r="C65" s="151"/>
      <c r="D65" s="22"/>
      <c r="H65" s="22"/>
      <c r="I65" s="22"/>
      <c r="J65" s="22"/>
      <c r="M65" s="22"/>
      <c r="S65" s="151"/>
    </row>
    <row r="66" ht="15.75" customHeight="1">
      <c r="C66" s="151"/>
      <c r="D66" s="22"/>
      <c r="H66" s="22"/>
      <c r="I66" s="22"/>
      <c r="J66" s="22"/>
      <c r="M66" s="22"/>
      <c r="S66" s="151"/>
    </row>
    <row r="67" ht="15.75" customHeight="1">
      <c r="C67" s="151"/>
      <c r="D67" s="22"/>
      <c r="H67" s="22"/>
      <c r="I67" s="22"/>
      <c r="J67" s="22"/>
      <c r="M67" s="22"/>
      <c r="S67" s="151"/>
    </row>
    <row r="68" ht="15.75" customHeight="1">
      <c r="C68" s="151"/>
      <c r="D68" s="22"/>
      <c r="H68" s="22"/>
      <c r="I68" s="22"/>
      <c r="J68" s="22"/>
      <c r="M68" s="22"/>
      <c r="S68" s="151"/>
    </row>
    <row r="69" ht="15.75" customHeight="1">
      <c r="C69" s="151"/>
      <c r="D69" s="22"/>
      <c r="H69" s="22"/>
      <c r="I69" s="22"/>
      <c r="J69" s="22"/>
      <c r="M69" s="22"/>
      <c r="S69" s="151"/>
    </row>
    <row r="70" ht="15.75" customHeight="1">
      <c r="C70" s="151"/>
      <c r="D70" s="22"/>
      <c r="H70" s="22"/>
      <c r="I70" s="22"/>
      <c r="J70" s="22"/>
      <c r="M70" s="22"/>
      <c r="S70" s="151"/>
    </row>
    <row r="71" ht="15.75" customHeight="1">
      <c r="C71" s="151"/>
      <c r="D71" s="22"/>
      <c r="H71" s="22"/>
      <c r="I71" s="22"/>
      <c r="J71" s="22"/>
      <c r="M71" s="22"/>
      <c r="S71" s="151"/>
    </row>
    <row r="72" ht="15.75" customHeight="1">
      <c r="C72" s="151"/>
      <c r="D72" s="22"/>
      <c r="H72" s="22"/>
      <c r="I72" s="22"/>
      <c r="J72" s="22"/>
      <c r="M72" s="22"/>
      <c r="S72" s="151"/>
    </row>
    <row r="73" ht="15.75" customHeight="1">
      <c r="C73" s="151"/>
      <c r="D73" s="22"/>
      <c r="H73" s="22"/>
      <c r="I73" s="22"/>
      <c r="J73" s="22"/>
      <c r="M73" s="22"/>
      <c r="S73" s="151"/>
    </row>
    <row r="74" ht="15.75" customHeight="1">
      <c r="C74" s="151"/>
      <c r="D74" s="22"/>
      <c r="H74" s="22"/>
      <c r="I74" s="22"/>
      <c r="J74" s="22"/>
      <c r="M74" s="22"/>
      <c r="S74" s="151"/>
    </row>
    <row r="75" ht="15.75" customHeight="1">
      <c r="C75" s="151"/>
      <c r="D75" s="22"/>
      <c r="H75" s="22"/>
      <c r="I75" s="22"/>
      <c r="J75" s="22"/>
      <c r="M75" s="22"/>
      <c r="S75" s="151"/>
    </row>
    <row r="76" ht="15.75" customHeight="1">
      <c r="C76" s="151"/>
      <c r="D76" s="22"/>
      <c r="H76" s="22"/>
      <c r="I76" s="22"/>
      <c r="J76" s="22"/>
      <c r="M76" s="22"/>
      <c r="S76" s="151"/>
    </row>
    <row r="77" ht="15.75" customHeight="1">
      <c r="C77" s="151"/>
      <c r="D77" s="22"/>
      <c r="H77" s="22"/>
      <c r="I77" s="22"/>
      <c r="J77" s="22"/>
      <c r="M77" s="22"/>
      <c r="S77" s="151"/>
    </row>
    <row r="78" ht="15.75" customHeight="1">
      <c r="C78" s="151"/>
      <c r="D78" s="22"/>
      <c r="H78" s="22"/>
      <c r="I78" s="22"/>
      <c r="J78" s="22"/>
      <c r="M78" s="22"/>
      <c r="S78" s="151"/>
    </row>
    <row r="79" ht="15.75" customHeight="1">
      <c r="C79" s="151"/>
      <c r="D79" s="22"/>
      <c r="H79" s="22"/>
      <c r="I79" s="22"/>
      <c r="J79" s="22"/>
      <c r="M79" s="22"/>
      <c r="S79" s="151"/>
    </row>
    <row r="80" ht="15.75" customHeight="1">
      <c r="C80" s="151"/>
      <c r="D80" s="22"/>
      <c r="H80" s="22"/>
      <c r="I80" s="22"/>
      <c r="J80" s="22"/>
      <c r="M80" s="22"/>
      <c r="S80" s="151"/>
    </row>
    <row r="81" ht="15.75" customHeight="1">
      <c r="C81" s="151"/>
      <c r="D81" s="22"/>
      <c r="H81" s="22"/>
      <c r="I81" s="22"/>
      <c r="J81" s="22"/>
      <c r="M81" s="22"/>
      <c r="S81" s="151"/>
    </row>
    <row r="82" ht="15.75" customHeight="1">
      <c r="C82" s="151"/>
      <c r="D82" s="22"/>
      <c r="H82" s="22"/>
      <c r="I82" s="22"/>
      <c r="J82" s="22"/>
      <c r="M82" s="22"/>
      <c r="S82" s="151"/>
    </row>
    <row r="83" ht="15.75" customHeight="1">
      <c r="C83" s="151"/>
      <c r="D83" s="22"/>
      <c r="H83" s="22"/>
      <c r="I83" s="22"/>
      <c r="J83" s="22"/>
      <c r="M83" s="22"/>
      <c r="S83" s="151"/>
    </row>
    <row r="84" ht="15.75" customHeight="1">
      <c r="C84" s="151"/>
      <c r="D84" s="22"/>
      <c r="H84" s="22"/>
      <c r="I84" s="22"/>
      <c r="J84" s="22"/>
      <c r="M84" s="22"/>
      <c r="S84" s="151"/>
    </row>
    <row r="85" ht="15.75" customHeight="1">
      <c r="C85" s="151"/>
      <c r="D85" s="22"/>
      <c r="H85" s="22"/>
      <c r="I85" s="22"/>
      <c r="J85" s="22"/>
      <c r="M85" s="22"/>
      <c r="S85" s="151"/>
    </row>
    <row r="86" ht="15.75" customHeight="1">
      <c r="C86" s="151"/>
      <c r="D86" s="22"/>
      <c r="H86" s="22"/>
      <c r="I86" s="22"/>
      <c r="J86" s="22"/>
      <c r="M86" s="22"/>
      <c r="S86" s="151"/>
    </row>
    <row r="87" ht="15.75" customHeight="1">
      <c r="C87" s="151"/>
      <c r="D87" s="22"/>
      <c r="H87" s="22"/>
      <c r="I87" s="22"/>
      <c r="J87" s="22"/>
      <c r="M87" s="22"/>
      <c r="S87" s="151"/>
    </row>
    <row r="88" ht="15.75" customHeight="1">
      <c r="C88" s="151"/>
      <c r="D88" s="22"/>
      <c r="H88" s="22"/>
      <c r="I88" s="22"/>
      <c r="J88" s="22"/>
      <c r="M88" s="22"/>
      <c r="S88" s="151"/>
    </row>
    <row r="89" ht="15.75" customHeight="1">
      <c r="C89" s="151"/>
      <c r="D89" s="22"/>
      <c r="H89" s="22"/>
      <c r="I89" s="22"/>
      <c r="J89" s="22"/>
      <c r="M89" s="22"/>
      <c r="S89" s="151"/>
    </row>
    <row r="90" ht="15.75" customHeight="1">
      <c r="C90" s="151"/>
      <c r="D90" s="22"/>
      <c r="H90" s="22"/>
      <c r="I90" s="22"/>
      <c r="J90" s="22"/>
      <c r="M90" s="22"/>
      <c r="S90" s="151"/>
    </row>
    <row r="91" ht="15.75" customHeight="1">
      <c r="C91" s="151"/>
      <c r="D91" s="22"/>
      <c r="H91" s="22"/>
      <c r="I91" s="22"/>
      <c r="J91" s="22"/>
      <c r="M91" s="22"/>
      <c r="S91" s="151"/>
    </row>
    <row r="92" ht="15.75" customHeight="1">
      <c r="C92" s="151"/>
      <c r="D92" s="22"/>
      <c r="H92" s="22"/>
      <c r="I92" s="22"/>
      <c r="J92" s="22"/>
      <c r="M92" s="22"/>
      <c r="S92" s="151"/>
    </row>
    <row r="93" ht="15.75" customHeight="1">
      <c r="C93" s="151"/>
      <c r="D93" s="22"/>
      <c r="H93" s="22"/>
      <c r="I93" s="22"/>
      <c r="J93" s="22"/>
      <c r="M93" s="22"/>
      <c r="S93" s="151"/>
    </row>
    <row r="94" ht="15.75" customHeight="1">
      <c r="C94" s="151"/>
      <c r="D94" s="22"/>
      <c r="H94" s="22"/>
      <c r="I94" s="22"/>
      <c r="J94" s="22"/>
      <c r="M94" s="22"/>
      <c r="S94" s="151"/>
    </row>
    <row r="95" ht="15.75" customHeight="1">
      <c r="C95" s="151"/>
      <c r="D95" s="22"/>
      <c r="H95" s="22"/>
      <c r="I95" s="22"/>
      <c r="J95" s="22"/>
      <c r="M95" s="22"/>
      <c r="S95" s="151"/>
    </row>
    <row r="96" ht="15.75" customHeight="1">
      <c r="C96" s="151"/>
      <c r="D96" s="22"/>
      <c r="H96" s="22"/>
      <c r="I96" s="22"/>
      <c r="J96" s="22"/>
      <c r="M96" s="22"/>
      <c r="S96" s="151"/>
    </row>
    <row r="97" ht="15.75" customHeight="1">
      <c r="C97" s="151"/>
      <c r="D97" s="22"/>
      <c r="H97" s="22"/>
      <c r="I97" s="22"/>
      <c r="J97" s="22"/>
      <c r="M97" s="22"/>
      <c r="S97" s="151"/>
    </row>
    <row r="98" ht="15.75" customHeight="1">
      <c r="C98" s="151"/>
      <c r="D98" s="22"/>
      <c r="H98" s="22"/>
      <c r="I98" s="22"/>
      <c r="J98" s="22"/>
      <c r="M98" s="22"/>
      <c r="S98" s="151"/>
    </row>
    <row r="99" ht="15.75" customHeight="1">
      <c r="C99" s="151"/>
      <c r="D99" s="22"/>
      <c r="H99" s="22"/>
      <c r="I99" s="22"/>
      <c r="J99" s="22"/>
      <c r="M99" s="22"/>
      <c r="S99" s="151"/>
    </row>
    <row r="100" ht="15.75" customHeight="1">
      <c r="C100" s="151"/>
      <c r="D100" s="22"/>
      <c r="H100" s="22"/>
      <c r="I100" s="22"/>
      <c r="J100" s="22"/>
      <c r="M100" s="22"/>
      <c r="S100" s="151"/>
    </row>
    <row r="101" ht="15.75" customHeight="1">
      <c r="C101" s="151"/>
      <c r="D101" s="22"/>
      <c r="H101" s="22"/>
      <c r="I101" s="22"/>
      <c r="J101" s="22"/>
      <c r="M101" s="22"/>
      <c r="S101" s="151"/>
    </row>
    <row r="102" ht="15.75" customHeight="1">
      <c r="C102" s="151"/>
      <c r="D102" s="22"/>
      <c r="H102" s="22"/>
      <c r="I102" s="22"/>
      <c r="J102" s="22"/>
      <c r="M102" s="22"/>
      <c r="S102" s="151"/>
    </row>
    <row r="103" ht="15.75" customHeight="1">
      <c r="C103" s="151"/>
      <c r="D103" s="22"/>
      <c r="H103" s="22"/>
      <c r="I103" s="22"/>
      <c r="J103" s="22"/>
      <c r="M103" s="22"/>
      <c r="S103" s="151"/>
    </row>
    <row r="104" ht="15.75" customHeight="1">
      <c r="C104" s="151"/>
      <c r="D104" s="22"/>
      <c r="H104" s="22"/>
      <c r="I104" s="22"/>
      <c r="J104" s="22"/>
      <c r="M104" s="22"/>
      <c r="S104" s="151"/>
    </row>
    <row r="105" ht="15.75" customHeight="1">
      <c r="C105" s="151"/>
      <c r="D105" s="22"/>
      <c r="H105" s="22"/>
      <c r="I105" s="22"/>
      <c r="J105" s="22"/>
      <c r="M105" s="22"/>
      <c r="S105" s="151"/>
    </row>
    <row r="106" ht="15.75" customHeight="1">
      <c r="C106" s="151"/>
      <c r="D106" s="22"/>
      <c r="H106" s="22"/>
      <c r="I106" s="22"/>
      <c r="J106" s="22"/>
      <c r="M106" s="22"/>
      <c r="S106" s="151"/>
    </row>
    <row r="107" ht="15.75" customHeight="1">
      <c r="C107" s="151"/>
      <c r="D107" s="22"/>
      <c r="H107" s="22"/>
      <c r="I107" s="22"/>
      <c r="J107" s="22"/>
      <c r="M107" s="22"/>
      <c r="S107" s="151"/>
    </row>
    <row r="108" ht="15.75" customHeight="1">
      <c r="C108" s="151"/>
      <c r="D108" s="22"/>
      <c r="H108" s="22"/>
      <c r="I108" s="22"/>
      <c r="J108" s="22"/>
      <c r="M108" s="22"/>
      <c r="S108" s="151"/>
    </row>
    <row r="109" ht="15.75" customHeight="1">
      <c r="C109" s="151"/>
      <c r="D109" s="22"/>
      <c r="H109" s="22"/>
      <c r="I109" s="22"/>
      <c r="J109" s="22"/>
      <c r="M109" s="22"/>
      <c r="S109" s="151"/>
    </row>
    <row r="110" ht="15.75" customHeight="1">
      <c r="C110" s="151"/>
      <c r="D110" s="22"/>
      <c r="H110" s="22"/>
      <c r="I110" s="22"/>
      <c r="J110" s="22"/>
      <c r="M110" s="22"/>
      <c r="S110" s="151"/>
    </row>
    <row r="111" ht="15.75" customHeight="1">
      <c r="C111" s="151"/>
      <c r="D111" s="22"/>
      <c r="H111" s="22"/>
      <c r="I111" s="22"/>
      <c r="J111" s="22"/>
      <c r="M111" s="22"/>
      <c r="S111" s="151"/>
    </row>
    <row r="112" ht="15.75" customHeight="1">
      <c r="C112" s="151"/>
      <c r="D112" s="22"/>
      <c r="H112" s="22"/>
      <c r="I112" s="22"/>
      <c r="J112" s="22"/>
      <c r="M112" s="22"/>
      <c r="S112" s="151"/>
    </row>
    <row r="113" ht="15.75" customHeight="1">
      <c r="C113" s="151"/>
      <c r="D113" s="22"/>
      <c r="H113" s="22"/>
      <c r="I113" s="22"/>
      <c r="J113" s="22"/>
      <c r="M113" s="22"/>
      <c r="S113" s="151"/>
    </row>
    <row r="114" ht="15.75" customHeight="1">
      <c r="C114" s="151"/>
      <c r="D114" s="22"/>
      <c r="H114" s="22"/>
      <c r="I114" s="22"/>
      <c r="J114" s="22"/>
      <c r="M114" s="22"/>
      <c r="S114" s="151"/>
    </row>
    <row r="115" ht="15.75" customHeight="1">
      <c r="C115" s="151"/>
      <c r="D115" s="22"/>
      <c r="H115" s="22"/>
      <c r="I115" s="22"/>
      <c r="J115" s="22"/>
      <c r="M115" s="22"/>
      <c r="S115" s="151"/>
    </row>
    <row r="116" ht="15.75" customHeight="1">
      <c r="C116" s="151"/>
      <c r="D116" s="22"/>
      <c r="H116" s="22"/>
      <c r="I116" s="22"/>
      <c r="J116" s="22"/>
      <c r="M116" s="22"/>
      <c r="S116" s="151"/>
    </row>
    <row r="117" ht="15.75" customHeight="1">
      <c r="C117" s="151"/>
      <c r="D117" s="22"/>
      <c r="H117" s="22"/>
      <c r="I117" s="22"/>
      <c r="J117" s="22"/>
      <c r="M117" s="22"/>
      <c r="S117" s="151"/>
    </row>
    <row r="118" ht="15.75" customHeight="1">
      <c r="C118" s="151"/>
      <c r="D118" s="22"/>
      <c r="H118" s="22"/>
      <c r="I118" s="22"/>
      <c r="J118" s="22"/>
      <c r="M118" s="22"/>
      <c r="S118" s="151"/>
    </row>
    <row r="119" ht="15.75" customHeight="1">
      <c r="C119" s="151"/>
      <c r="D119" s="22"/>
      <c r="H119" s="22"/>
      <c r="I119" s="22"/>
      <c r="J119" s="22"/>
      <c r="M119" s="22"/>
      <c r="S119" s="151"/>
    </row>
    <row r="120" ht="15.75" customHeight="1">
      <c r="C120" s="151"/>
      <c r="D120" s="22"/>
      <c r="H120" s="22"/>
      <c r="I120" s="22"/>
      <c r="J120" s="22"/>
      <c r="M120" s="22"/>
      <c r="S120" s="151"/>
    </row>
    <row r="121" ht="15.75" customHeight="1">
      <c r="C121" s="151"/>
      <c r="D121" s="22"/>
      <c r="H121" s="22"/>
      <c r="I121" s="22"/>
      <c r="J121" s="22"/>
      <c r="M121" s="22"/>
      <c r="S121" s="151"/>
    </row>
    <row r="122" ht="15.75" customHeight="1">
      <c r="C122" s="151"/>
      <c r="D122" s="22"/>
      <c r="H122" s="22"/>
      <c r="I122" s="22"/>
      <c r="J122" s="22"/>
      <c r="M122" s="22"/>
      <c r="S122" s="151"/>
    </row>
    <row r="123" ht="15.75" customHeight="1">
      <c r="C123" s="151"/>
      <c r="D123" s="22"/>
      <c r="H123" s="22"/>
      <c r="I123" s="22"/>
      <c r="J123" s="22"/>
      <c r="M123" s="22"/>
      <c r="S123" s="151"/>
    </row>
    <row r="124" ht="15.75" customHeight="1">
      <c r="C124" s="151"/>
      <c r="D124" s="22"/>
      <c r="H124" s="22"/>
      <c r="I124" s="22"/>
      <c r="J124" s="22"/>
      <c r="M124" s="22"/>
      <c r="S124" s="151"/>
    </row>
    <row r="125" ht="15.75" customHeight="1">
      <c r="C125" s="151"/>
      <c r="D125" s="22"/>
      <c r="H125" s="22"/>
      <c r="I125" s="22"/>
      <c r="J125" s="22"/>
      <c r="M125" s="22"/>
      <c r="S125" s="151"/>
    </row>
    <row r="126" ht="15.75" customHeight="1">
      <c r="C126" s="151"/>
      <c r="D126" s="22"/>
      <c r="H126" s="22"/>
      <c r="I126" s="22"/>
      <c r="J126" s="22"/>
      <c r="M126" s="22"/>
      <c r="S126" s="151"/>
    </row>
    <row r="127" ht="15.75" customHeight="1">
      <c r="C127" s="151"/>
      <c r="D127" s="22"/>
      <c r="H127" s="22"/>
      <c r="I127" s="22"/>
      <c r="J127" s="22"/>
      <c r="M127" s="22"/>
      <c r="S127" s="151"/>
    </row>
    <row r="128" ht="15.75" customHeight="1">
      <c r="C128" s="151"/>
      <c r="D128" s="22"/>
      <c r="H128" s="22"/>
      <c r="I128" s="22"/>
      <c r="J128" s="22"/>
      <c r="M128" s="22"/>
      <c r="S128" s="151"/>
    </row>
    <row r="129" ht="15.75" customHeight="1">
      <c r="C129" s="151"/>
      <c r="D129" s="22"/>
      <c r="H129" s="22"/>
      <c r="I129" s="22"/>
      <c r="J129" s="22"/>
      <c r="M129" s="22"/>
      <c r="S129" s="151"/>
    </row>
    <row r="130" ht="15.75" customHeight="1">
      <c r="C130" s="151"/>
      <c r="D130" s="22"/>
      <c r="H130" s="22"/>
      <c r="I130" s="22"/>
      <c r="J130" s="22"/>
      <c r="M130" s="22"/>
      <c r="S130" s="151"/>
    </row>
    <row r="131" ht="15.75" customHeight="1">
      <c r="C131" s="151"/>
      <c r="D131" s="22"/>
      <c r="H131" s="22"/>
      <c r="I131" s="22"/>
      <c r="J131" s="22"/>
      <c r="M131" s="22"/>
      <c r="S131" s="151"/>
    </row>
    <row r="132" ht="15.75" customHeight="1">
      <c r="C132" s="151"/>
      <c r="D132" s="22"/>
      <c r="H132" s="22"/>
      <c r="I132" s="22"/>
      <c r="J132" s="22"/>
      <c r="M132" s="22"/>
      <c r="S132" s="151"/>
    </row>
    <row r="133" ht="15.75" customHeight="1">
      <c r="C133" s="151"/>
      <c r="D133" s="22"/>
      <c r="H133" s="22"/>
      <c r="I133" s="22"/>
      <c r="J133" s="22"/>
      <c r="M133" s="22"/>
      <c r="S133" s="151"/>
    </row>
    <row r="134" ht="15.75" customHeight="1">
      <c r="C134" s="151"/>
      <c r="D134" s="22"/>
      <c r="H134" s="22"/>
      <c r="I134" s="22"/>
      <c r="J134" s="22"/>
      <c r="M134" s="22"/>
      <c r="S134" s="151"/>
    </row>
    <row r="135" ht="15.75" customHeight="1">
      <c r="C135" s="151"/>
      <c r="D135" s="22"/>
      <c r="H135" s="22"/>
      <c r="I135" s="22"/>
      <c r="J135" s="22"/>
      <c r="M135" s="22"/>
      <c r="S135" s="151"/>
    </row>
    <row r="136" ht="15.75" customHeight="1">
      <c r="C136" s="151"/>
      <c r="D136" s="22"/>
      <c r="H136" s="22"/>
      <c r="I136" s="22"/>
      <c r="J136" s="22"/>
      <c r="M136" s="22"/>
      <c r="S136" s="151"/>
    </row>
    <row r="137" ht="15.75" customHeight="1">
      <c r="C137" s="151"/>
      <c r="D137" s="22"/>
      <c r="H137" s="22"/>
      <c r="I137" s="22"/>
      <c r="J137" s="22"/>
      <c r="M137" s="22"/>
      <c r="S137" s="151"/>
    </row>
    <row r="138" ht="15.75" customHeight="1">
      <c r="C138" s="151"/>
      <c r="D138" s="22"/>
      <c r="H138" s="22"/>
      <c r="I138" s="22"/>
      <c r="J138" s="22"/>
      <c r="M138" s="22"/>
      <c r="S138" s="151"/>
    </row>
    <row r="139" ht="15.75" customHeight="1">
      <c r="C139" s="151"/>
      <c r="D139" s="22"/>
      <c r="H139" s="22"/>
      <c r="I139" s="22"/>
      <c r="J139" s="22"/>
      <c r="M139" s="22"/>
      <c r="S139" s="151"/>
    </row>
    <row r="140" ht="15.75" customHeight="1">
      <c r="C140" s="151"/>
      <c r="D140" s="22"/>
      <c r="H140" s="22"/>
      <c r="I140" s="22"/>
      <c r="J140" s="22"/>
      <c r="M140" s="22"/>
      <c r="S140" s="151"/>
    </row>
    <row r="141" ht="15.75" customHeight="1">
      <c r="C141" s="151"/>
      <c r="D141" s="22"/>
      <c r="H141" s="22"/>
      <c r="I141" s="22"/>
      <c r="J141" s="22"/>
      <c r="M141" s="22"/>
      <c r="S141" s="151"/>
    </row>
    <row r="142" ht="15.75" customHeight="1">
      <c r="C142" s="151"/>
      <c r="D142" s="22"/>
      <c r="H142" s="22"/>
      <c r="I142" s="22"/>
      <c r="J142" s="22"/>
      <c r="M142" s="22"/>
      <c r="S142" s="151"/>
    </row>
    <row r="143" ht="15.75" customHeight="1">
      <c r="C143" s="151"/>
      <c r="D143" s="22"/>
      <c r="H143" s="22"/>
      <c r="I143" s="22"/>
      <c r="J143" s="22"/>
      <c r="M143" s="22"/>
      <c r="S143" s="151"/>
    </row>
    <row r="144" ht="15.75" customHeight="1">
      <c r="C144" s="151"/>
      <c r="D144" s="22"/>
      <c r="H144" s="22"/>
      <c r="I144" s="22"/>
      <c r="J144" s="22"/>
      <c r="M144" s="22"/>
      <c r="S144" s="151"/>
    </row>
    <row r="145" ht="15.75" customHeight="1">
      <c r="C145" s="151"/>
      <c r="D145" s="22"/>
      <c r="H145" s="22"/>
      <c r="I145" s="22"/>
      <c r="J145" s="22"/>
      <c r="M145" s="22"/>
      <c r="S145" s="151"/>
    </row>
    <row r="146" ht="15.75" customHeight="1">
      <c r="C146" s="151"/>
      <c r="D146" s="22"/>
      <c r="H146" s="22"/>
      <c r="I146" s="22"/>
      <c r="J146" s="22"/>
      <c r="M146" s="22"/>
      <c r="S146" s="151"/>
    </row>
    <row r="147" ht="15.75" customHeight="1">
      <c r="C147" s="151"/>
      <c r="D147" s="22"/>
      <c r="H147" s="22"/>
      <c r="I147" s="22"/>
      <c r="J147" s="22"/>
      <c r="M147" s="22"/>
      <c r="S147" s="151"/>
    </row>
    <row r="148" ht="15.75" customHeight="1">
      <c r="C148" s="151"/>
      <c r="D148" s="22"/>
      <c r="H148" s="22"/>
      <c r="I148" s="22"/>
      <c r="J148" s="22"/>
      <c r="M148" s="22"/>
      <c r="S148" s="151"/>
    </row>
    <row r="149" ht="15.75" customHeight="1">
      <c r="C149" s="151"/>
      <c r="D149" s="22"/>
      <c r="H149" s="22"/>
      <c r="I149" s="22"/>
      <c r="J149" s="22"/>
      <c r="M149" s="22"/>
      <c r="S149" s="151"/>
    </row>
    <row r="150" ht="15.75" customHeight="1">
      <c r="C150" s="151"/>
      <c r="D150" s="22"/>
      <c r="H150" s="22"/>
      <c r="I150" s="22"/>
      <c r="J150" s="22"/>
      <c r="M150" s="22"/>
      <c r="S150" s="151"/>
    </row>
    <row r="151" ht="15.75" customHeight="1">
      <c r="C151" s="151"/>
      <c r="D151" s="22"/>
      <c r="H151" s="22"/>
      <c r="I151" s="22"/>
      <c r="J151" s="22"/>
      <c r="M151" s="22"/>
      <c r="S151" s="151"/>
    </row>
    <row r="152" ht="15.75" customHeight="1">
      <c r="C152" s="151"/>
      <c r="D152" s="22"/>
      <c r="H152" s="22"/>
      <c r="I152" s="22"/>
      <c r="J152" s="22"/>
      <c r="M152" s="22"/>
      <c r="S152" s="151"/>
    </row>
    <row r="153" ht="15.75" customHeight="1">
      <c r="C153" s="151"/>
      <c r="D153" s="22"/>
      <c r="H153" s="22"/>
      <c r="I153" s="22"/>
      <c r="J153" s="22"/>
      <c r="M153" s="22"/>
      <c r="S153" s="151"/>
    </row>
    <row r="154" ht="15.75" customHeight="1">
      <c r="C154" s="151"/>
      <c r="D154" s="22"/>
      <c r="H154" s="22"/>
      <c r="I154" s="22"/>
      <c r="J154" s="22"/>
      <c r="M154" s="22"/>
      <c r="S154" s="151"/>
    </row>
    <row r="155" ht="15.75" customHeight="1">
      <c r="C155" s="151"/>
      <c r="D155" s="22"/>
      <c r="H155" s="22"/>
      <c r="I155" s="22"/>
      <c r="J155" s="22"/>
      <c r="M155" s="22"/>
      <c r="S155" s="151"/>
    </row>
    <row r="156" ht="15.75" customHeight="1">
      <c r="C156" s="151"/>
      <c r="D156" s="22"/>
      <c r="H156" s="22"/>
      <c r="I156" s="22"/>
      <c r="J156" s="22"/>
      <c r="M156" s="22"/>
      <c r="S156" s="151"/>
    </row>
    <row r="157" ht="15.75" customHeight="1">
      <c r="C157" s="151"/>
      <c r="D157" s="22"/>
      <c r="H157" s="22"/>
      <c r="I157" s="22"/>
      <c r="J157" s="22"/>
      <c r="M157" s="22"/>
      <c r="S157" s="151"/>
    </row>
    <row r="158" ht="15.75" customHeight="1">
      <c r="C158" s="151"/>
      <c r="D158" s="22"/>
      <c r="H158" s="22"/>
      <c r="I158" s="22"/>
      <c r="J158" s="22"/>
      <c r="M158" s="22"/>
      <c r="S158" s="151"/>
    </row>
    <row r="159" ht="15.75" customHeight="1">
      <c r="C159" s="151"/>
      <c r="D159" s="22"/>
      <c r="H159" s="22"/>
      <c r="I159" s="22"/>
      <c r="J159" s="22"/>
      <c r="M159" s="22"/>
      <c r="S159" s="151"/>
    </row>
    <row r="160" ht="15.75" customHeight="1">
      <c r="C160" s="151"/>
      <c r="D160" s="22"/>
      <c r="H160" s="22"/>
      <c r="I160" s="22"/>
      <c r="J160" s="22"/>
      <c r="M160" s="22"/>
      <c r="S160" s="151"/>
    </row>
    <row r="161" ht="15.75" customHeight="1">
      <c r="C161" s="151"/>
      <c r="D161" s="22"/>
      <c r="H161" s="22"/>
      <c r="I161" s="22"/>
      <c r="J161" s="22"/>
      <c r="M161" s="22"/>
      <c r="S161" s="151"/>
    </row>
    <row r="162" ht="15.75" customHeight="1">
      <c r="C162" s="151"/>
      <c r="D162" s="22"/>
      <c r="H162" s="22"/>
      <c r="I162" s="22"/>
      <c r="J162" s="22"/>
      <c r="M162" s="22"/>
      <c r="S162" s="151"/>
    </row>
    <row r="163" ht="15.75" customHeight="1">
      <c r="C163" s="151"/>
      <c r="D163" s="22"/>
      <c r="H163" s="22"/>
      <c r="I163" s="22"/>
      <c r="J163" s="22"/>
      <c r="M163" s="22"/>
      <c r="S163" s="151"/>
    </row>
    <row r="164" ht="15.75" customHeight="1">
      <c r="C164" s="151"/>
      <c r="D164" s="22"/>
      <c r="H164" s="22"/>
      <c r="I164" s="22"/>
      <c r="J164" s="22"/>
      <c r="M164" s="22"/>
      <c r="S164" s="151"/>
    </row>
    <row r="165" ht="15.75" customHeight="1">
      <c r="C165" s="151"/>
      <c r="D165" s="22"/>
      <c r="H165" s="22"/>
      <c r="I165" s="22"/>
      <c r="J165" s="22"/>
      <c r="M165" s="22"/>
      <c r="S165" s="151"/>
    </row>
    <row r="166" ht="15.75" customHeight="1">
      <c r="C166" s="151"/>
      <c r="D166" s="22"/>
      <c r="H166" s="22"/>
      <c r="I166" s="22"/>
      <c r="J166" s="22"/>
      <c r="M166" s="22"/>
      <c r="S166" s="151"/>
    </row>
    <row r="167" ht="15.75" customHeight="1">
      <c r="C167" s="151"/>
      <c r="D167" s="22"/>
      <c r="H167" s="22"/>
      <c r="I167" s="22"/>
      <c r="J167" s="22"/>
      <c r="M167" s="22"/>
      <c r="S167" s="151"/>
    </row>
    <row r="168" ht="15.75" customHeight="1">
      <c r="C168" s="151"/>
      <c r="D168" s="22"/>
      <c r="H168" s="22"/>
      <c r="I168" s="22"/>
      <c r="J168" s="22"/>
      <c r="M168" s="22"/>
      <c r="S168" s="151"/>
    </row>
    <row r="169" ht="15.75" customHeight="1">
      <c r="C169" s="151"/>
      <c r="D169" s="22"/>
      <c r="H169" s="22"/>
      <c r="I169" s="22"/>
      <c r="J169" s="22"/>
      <c r="M169" s="22"/>
      <c r="S169" s="151"/>
    </row>
    <row r="170" ht="15.75" customHeight="1">
      <c r="C170" s="151"/>
      <c r="D170" s="22"/>
      <c r="H170" s="22"/>
      <c r="I170" s="22"/>
      <c r="J170" s="22"/>
      <c r="M170" s="22"/>
      <c r="S170" s="151"/>
    </row>
    <row r="171" ht="15.75" customHeight="1">
      <c r="C171" s="151"/>
      <c r="D171" s="22"/>
      <c r="H171" s="22"/>
      <c r="I171" s="22"/>
      <c r="J171" s="22"/>
      <c r="M171" s="22"/>
      <c r="S171" s="151"/>
    </row>
    <row r="172" ht="15.75" customHeight="1">
      <c r="C172" s="151"/>
      <c r="D172" s="22"/>
      <c r="H172" s="22"/>
      <c r="I172" s="22"/>
      <c r="J172" s="22"/>
      <c r="M172" s="22"/>
      <c r="S172" s="151"/>
    </row>
    <row r="173" ht="15.75" customHeight="1">
      <c r="C173" s="151"/>
      <c r="D173" s="22"/>
      <c r="H173" s="22"/>
      <c r="I173" s="22"/>
      <c r="J173" s="22"/>
      <c r="M173" s="22"/>
      <c r="S173" s="151"/>
    </row>
    <row r="174" ht="15.75" customHeight="1">
      <c r="C174" s="151"/>
      <c r="D174" s="22"/>
      <c r="H174" s="22"/>
      <c r="I174" s="22"/>
      <c r="J174" s="22"/>
      <c r="M174" s="22"/>
      <c r="S174" s="151"/>
    </row>
    <row r="175" ht="15.75" customHeight="1">
      <c r="C175" s="151"/>
      <c r="D175" s="22"/>
      <c r="H175" s="22"/>
      <c r="I175" s="22"/>
      <c r="J175" s="22"/>
      <c r="M175" s="22"/>
      <c r="S175" s="151"/>
    </row>
    <row r="176" ht="15.75" customHeight="1">
      <c r="C176" s="151"/>
      <c r="D176" s="22"/>
      <c r="H176" s="22"/>
      <c r="I176" s="22"/>
      <c r="J176" s="22"/>
      <c r="M176" s="22"/>
      <c r="S176" s="151"/>
    </row>
    <row r="177" ht="15.75" customHeight="1">
      <c r="C177" s="151"/>
      <c r="D177" s="22"/>
      <c r="H177" s="22"/>
      <c r="I177" s="22"/>
      <c r="J177" s="22"/>
      <c r="M177" s="22"/>
      <c r="S177" s="151"/>
    </row>
    <row r="178" ht="15.75" customHeight="1">
      <c r="C178" s="151"/>
      <c r="D178" s="22"/>
      <c r="H178" s="22"/>
      <c r="I178" s="22"/>
      <c r="J178" s="22"/>
      <c r="M178" s="22"/>
      <c r="S178" s="151"/>
    </row>
    <row r="179" ht="15.75" customHeight="1">
      <c r="C179" s="151"/>
      <c r="D179" s="22"/>
      <c r="H179" s="22"/>
      <c r="I179" s="22"/>
      <c r="J179" s="22"/>
      <c r="M179" s="22"/>
      <c r="S179" s="151"/>
    </row>
    <row r="180" ht="15.75" customHeight="1">
      <c r="C180" s="151"/>
      <c r="D180" s="22"/>
      <c r="H180" s="22"/>
      <c r="I180" s="22"/>
      <c r="J180" s="22"/>
      <c r="M180" s="22"/>
      <c r="S180" s="151"/>
    </row>
    <row r="181" ht="15.75" customHeight="1">
      <c r="C181" s="151"/>
      <c r="D181" s="22"/>
      <c r="H181" s="22"/>
      <c r="I181" s="22"/>
      <c r="J181" s="22"/>
      <c r="M181" s="22"/>
      <c r="S181" s="151"/>
    </row>
    <row r="182" ht="15.75" customHeight="1">
      <c r="C182" s="151"/>
      <c r="D182" s="22"/>
      <c r="H182" s="22"/>
      <c r="I182" s="22"/>
      <c r="J182" s="22"/>
      <c r="M182" s="22"/>
      <c r="S182" s="151"/>
    </row>
    <row r="183" ht="15.75" customHeight="1">
      <c r="C183" s="151"/>
      <c r="D183" s="22"/>
      <c r="H183" s="22"/>
      <c r="I183" s="22"/>
      <c r="J183" s="22"/>
      <c r="M183" s="22"/>
      <c r="S183" s="151"/>
    </row>
    <row r="184" ht="15.75" customHeight="1">
      <c r="C184" s="151"/>
      <c r="D184" s="22"/>
      <c r="H184" s="22"/>
      <c r="I184" s="22"/>
      <c r="J184" s="22"/>
      <c r="M184" s="22"/>
      <c r="S184" s="151"/>
    </row>
    <row r="185" ht="15.75" customHeight="1">
      <c r="C185" s="151"/>
      <c r="D185" s="22"/>
      <c r="H185" s="22"/>
      <c r="I185" s="22"/>
      <c r="J185" s="22"/>
      <c r="M185" s="22"/>
      <c r="S185" s="151"/>
    </row>
    <row r="186" ht="15.75" customHeight="1">
      <c r="C186" s="151"/>
      <c r="D186" s="22"/>
      <c r="H186" s="22"/>
      <c r="I186" s="22"/>
      <c r="J186" s="22"/>
      <c r="M186" s="22"/>
      <c r="S186" s="151"/>
    </row>
    <row r="187" ht="15.75" customHeight="1">
      <c r="C187" s="151"/>
      <c r="D187" s="22"/>
      <c r="H187" s="22"/>
      <c r="I187" s="22"/>
      <c r="J187" s="22"/>
      <c r="M187" s="22"/>
      <c r="S187" s="151"/>
    </row>
    <row r="188" ht="15.75" customHeight="1">
      <c r="C188" s="151"/>
      <c r="D188" s="22"/>
      <c r="H188" s="22"/>
      <c r="I188" s="22"/>
      <c r="J188" s="22"/>
      <c r="M188" s="22"/>
      <c r="S188" s="151"/>
    </row>
    <row r="189" ht="15.75" customHeight="1">
      <c r="C189" s="151"/>
      <c r="D189" s="22"/>
      <c r="H189" s="22"/>
      <c r="I189" s="22"/>
      <c r="J189" s="22"/>
      <c r="M189" s="22"/>
      <c r="S189" s="151"/>
    </row>
    <row r="190" ht="15.75" customHeight="1">
      <c r="C190" s="151"/>
      <c r="D190" s="22"/>
      <c r="H190" s="22"/>
      <c r="I190" s="22"/>
      <c r="J190" s="22"/>
      <c r="M190" s="22"/>
      <c r="S190" s="151"/>
    </row>
    <row r="191" ht="15.75" customHeight="1">
      <c r="C191" s="151"/>
      <c r="D191" s="22"/>
      <c r="H191" s="22"/>
      <c r="I191" s="22"/>
      <c r="J191" s="22"/>
      <c r="M191" s="22"/>
      <c r="S191" s="151"/>
    </row>
    <row r="192" ht="15.75" customHeight="1">
      <c r="C192" s="151"/>
      <c r="D192" s="22"/>
      <c r="H192" s="22"/>
      <c r="I192" s="22"/>
      <c r="J192" s="22"/>
      <c r="M192" s="22"/>
      <c r="S192" s="151"/>
    </row>
    <row r="193" ht="15.75" customHeight="1">
      <c r="C193" s="151"/>
      <c r="D193" s="22"/>
      <c r="H193" s="22"/>
      <c r="I193" s="22"/>
      <c r="J193" s="22"/>
      <c r="M193" s="22"/>
      <c r="S193" s="151"/>
    </row>
    <row r="194" ht="15.75" customHeight="1">
      <c r="C194" s="151"/>
      <c r="D194" s="22"/>
      <c r="H194" s="22"/>
      <c r="I194" s="22"/>
      <c r="J194" s="22"/>
      <c r="M194" s="22"/>
      <c r="S194" s="151"/>
    </row>
    <row r="195" ht="15.75" customHeight="1">
      <c r="C195" s="151"/>
      <c r="D195" s="22"/>
      <c r="H195" s="22"/>
      <c r="I195" s="22"/>
      <c r="J195" s="22"/>
      <c r="M195" s="22"/>
      <c r="S195" s="151"/>
    </row>
    <row r="196" ht="15.75" customHeight="1">
      <c r="C196" s="151"/>
      <c r="D196" s="22"/>
      <c r="H196" s="22"/>
      <c r="I196" s="22"/>
      <c r="J196" s="22"/>
      <c r="M196" s="22"/>
      <c r="S196" s="151"/>
    </row>
    <row r="197" ht="15.75" customHeight="1">
      <c r="C197" s="151"/>
      <c r="D197" s="22"/>
      <c r="H197" s="22"/>
      <c r="I197" s="22"/>
      <c r="J197" s="22"/>
      <c r="M197" s="22"/>
      <c r="S197" s="151"/>
    </row>
    <row r="198" ht="15.75" customHeight="1">
      <c r="C198" s="151"/>
      <c r="D198" s="22"/>
      <c r="H198" s="22"/>
      <c r="I198" s="22"/>
      <c r="J198" s="22"/>
      <c r="M198" s="22"/>
      <c r="S198" s="151"/>
    </row>
    <row r="199" ht="15.75" customHeight="1">
      <c r="C199" s="151"/>
      <c r="D199" s="22"/>
      <c r="H199" s="22"/>
      <c r="I199" s="22"/>
      <c r="J199" s="22"/>
      <c r="M199" s="22"/>
      <c r="S199" s="151"/>
    </row>
    <row r="200" ht="15.75" customHeight="1">
      <c r="C200" s="151"/>
      <c r="D200" s="22"/>
      <c r="H200" s="22"/>
      <c r="I200" s="22"/>
      <c r="J200" s="22"/>
      <c r="M200" s="22"/>
      <c r="S200" s="151"/>
    </row>
    <row r="201" ht="15.75" customHeight="1">
      <c r="C201" s="151"/>
      <c r="D201" s="22"/>
      <c r="H201" s="22"/>
      <c r="I201" s="22"/>
      <c r="J201" s="22"/>
      <c r="M201" s="22"/>
      <c r="S201" s="151"/>
    </row>
    <row r="202" ht="15.75" customHeight="1">
      <c r="C202" s="151"/>
      <c r="D202" s="22"/>
      <c r="H202" s="22"/>
      <c r="I202" s="22"/>
      <c r="J202" s="22"/>
      <c r="M202" s="22"/>
      <c r="S202" s="151"/>
    </row>
    <row r="203" ht="15.75" customHeight="1">
      <c r="C203" s="151"/>
      <c r="D203" s="22"/>
      <c r="H203" s="22"/>
      <c r="I203" s="22"/>
      <c r="J203" s="22"/>
      <c r="M203" s="22"/>
      <c r="S203" s="151"/>
    </row>
    <row r="204" ht="15.75" customHeight="1">
      <c r="C204" s="151"/>
      <c r="D204" s="22"/>
      <c r="H204" s="22"/>
      <c r="I204" s="22"/>
      <c r="J204" s="22"/>
      <c r="M204" s="22"/>
      <c r="S204" s="151"/>
    </row>
    <row r="205" ht="15.75" customHeight="1">
      <c r="C205" s="151"/>
      <c r="D205" s="22"/>
      <c r="H205" s="22"/>
      <c r="I205" s="22"/>
      <c r="J205" s="22"/>
      <c r="M205" s="22"/>
      <c r="S205" s="151"/>
    </row>
    <row r="206" ht="15.75" customHeight="1">
      <c r="C206" s="151"/>
      <c r="D206" s="22"/>
      <c r="H206" s="22"/>
      <c r="I206" s="22"/>
      <c r="J206" s="22"/>
      <c r="M206" s="22"/>
      <c r="S206" s="151"/>
    </row>
    <row r="207" ht="15.75" customHeight="1">
      <c r="C207" s="151"/>
      <c r="D207" s="22"/>
      <c r="H207" s="22"/>
      <c r="I207" s="22"/>
      <c r="J207" s="22"/>
      <c r="M207" s="22"/>
      <c r="S207" s="151"/>
    </row>
    <row r="208" ht="15.75" customHeight="1">
      <c r="C208" s="151"/>
      <c r="D208" s="22"/>
      <c r="H208" s="22"/>
      <c r="I208" s="22"/>
      <c r="J208" s="22"/>
      <c r="M208" s="22"/>
      <c r="S208" s="151"/>
    </row>
    <row r="209" ht="15.75" customHeight="1">
      <c r="C209" s="151"/>
      <c r="D209" s="22"/>
      <c r="H209" s="22"/>
      <c r="I209" s="22"/>
      <c r="J209" s="22"/>
      <c r="M209" s="22"/>
      <c r="S209" s="151"/>
    </row>
    <row r="210" ht="15.75" customHeight="1">
      <c r="C210" s="151"/>
      <c r="D210" s="22"/>
      <c r="H210" s="22"/>
      <c r="I210" s="22"/>
      <c r="J210" s="22"/>
      <c r="M210" s="22"/>
      <c r="S210" s="151"/>
    </row>
    <row r="211" ht="15.75" customHeight="1">
      <c r="C211" s="151"/>
      <c r="D211" s="22"/>
      <c r="H211" s="22"/>
      <c r="I211" s="22"/>
      <c r="J211" s="22"/>
      <c r="M211" s="22"/>
      <c r="S211" s="151"/>
    </row>
    <row r="212" ht="15.75" customHeight="1">
      <c r="C212" s="151"/>
      <c r="D212" s="22"/>
      <c r="H212" s="22"/>
      <c r="I212" s="22"/>
      <c r="J212" s="22"/>
      <c r="M212" s="22"/>
      <c r="S212" s="151"/>
    </row>
    <row r="213" ht="15.75" customHeight="1">
      <c r="C213" s="151"/>
      <c r="D213" s="22"/>
      <c r="H213" s="22"/>
      <c r="I213" s="22"/>
      <c r="J213" s="22"/>
      <c r="M213" s="22"/>
      <c r="S213" s="151"/>
    </row>
    <row r="214" ht="15.75" customHeight="1">
      <c r="C214" s="151"/>
      <c r="D214" s="22"/>
      <c r="H214" s="22"/>
      <c r="I214" s="22"/>
      <c r="J214" s="22"/>
      <c r="M214" s="22"/>
      <c r="S214" s="151"/>
    </row>
    <row r="215" ht="15.75" customHeight="1">
      <c r="C215" s="151"/>
      <c r="D215" s="22"/>
      <c r="H215" s="22"/>
      <c r="I215" s="22"/>
      <c r="J215" s="22"/>
      <c r="M215" s="22"/>
      <c r="S215" s="151"/>
    </row>
    <row r="216" ht="15.75" customHeight="1">
      <c r="C216" s="151"/>
      <c r="D216" s="22"/>
      <c r="H216" s="22"/>
      <c r="I216" s="22"/>
      <c r="J216" s="22"/>
      <c r="M216" s="22"/>
      <c r="S216" s="151"/>
    </row>
    <row r="217" ht="15.75" customHeight="1">
      <c r="C217" s="151"/>
      <c r="D217" s="22"/>
      <c r="H217" s="22"/>
      <c r="I217" s="22"/>
      <c r="J217" s="22"/>
      <c r="M217" s="22"/>
      <c r="S217" s="151"/>
    </row>
    <row r="218" ht="15.75" customHeight="1">
      <c r="C218" s="151"/>
      <c r="D218" s="22"/>
      <c r="H218" s="22"/>
      <c r="I218" s="22"/>
      <c r="J218" s="22"/>
      <c r="M218" s="22"/>
      <c r="S218" s="151"/>
    </row>
    <row r="219" ht="15.75" customHeight="1">
      <c r="C219" s="151"/>
      <c r="D219" s="22"/>
      <c r="H219" s="22"/>
      <c r="I219" s="22"/>
      <c r="J219" s="22"/>
      <c r="M219" s="22"/>
      <c r="S219" s="151"/>
    </row>
    <row r="220" ht="15.75" customHeight="1">
      <c r="C220" s="151"/>
      <c r="D220" s="22"/>
      <c r="H220" s="22"/>
      <c r="I220" s="22"/>
      <c r="J220" s="22"/>
      <c r="M220" s="22"/>
      <c r="S220" s="151"/>
    </row>
    <row r="221" ht="15.75" customHeight="1">
      <c r="D221" s="200"/>
      <c r="H221" s="200"/>
      <c r="I221" s="200"/>
      <c r="J221" s="200"/>
      <c r="M221" s="200"/>
    </row>
    <row r="222" ht="15.75" customHeight="1">
      <c r="D222" s="200"/>
      <c r="H222" s="200"/>
      <c r="I222" s="200"/>
      <c r="J222" s="200"/>
      <c r="M222" s="200"/>
    </row>
    <row r="223" ht="15.75" customHeight="1">
      <c r="D223" s="200"/>
      <c r="H223" s="200"/>
      <c r="I223" s="200"/>
      <c r="J223" s="200"/>
      <c r="M223" s="200"/>
    </row>
    <row r="224" ht="15.75" customHeight="1">
      <c r="D224" s="200"/>
      <c r="H224" s="200"/>
      <c r="I224" s="200"/>
      <c r="J224" s="200"/>
      <c r="M224" s="200"/>
    </row>
    <row r="225" ht="15.75" customHeight="1">
      <c r="D225" s="200"/>
      <c r="H225" s="200"/>
      <c r="I225" s="200"/>
      <c r="J225" s="200"/>
      <c r="M225" s="200"/>
    </row>
    <row r="226" ht="15.75" customHeight="1">
      <c r="D226" s="200"/>
      <c r="H226" s="200"/>
      <c r="I226" s="200"/>
      <c r="J226" s="200"/>
      <c r="M226" s="200"/>
    </row>
    <row r="227" ht="15.75" customHeight="1">
      <c r="D227" s="200"/>
      <c r="H227" s="200"/>
      <c r="I227" s="200"/>
      <c r="J227" s="200"/>
      <c r="M227" s="200"/>
    </row>
    <row r="228" ht="15.75" customHeight="1">
      <c r="D228" s="200"/>
      <c r="H228" s="200"/>
      <c r="I228" s="200"/>
      <c r="J228" s="200"/>
      <c r="M228" s="200"/>
    </row>
    <row r="229" ht="15.75" customHeight="1">
      <c r="D229" s="200"/>
      <c r="H229" s="200"/>
      <c r="I229" s="200"/>
      <c r="J229" s="200"/>
      <c r="M229" s="200"/>
    </row>
    <row r="230" ht="15.75" customHeight="1">
      <c r="D230" s="200"/>
      <c r="H230" s="200"/>
      <c r="I230" s="200"/>
      <c r="J230" s="200"/>
      <c r="M230" s="200"/>
    </row>
    <row r="231" ht="15.75" customHeight="1">
      <c r="D231" s="200"/>
      <c r="H231" s="200"/>
      <c r="I231" s="200"/>
      <c r="J231" s="200"/>
      <c r="M231" s="200"/>
    </row>
    <row r="232" ht="15.75" customHeight="1">
      <c r="D232" s="200"/>
      <c r="H232" s="200"/>
      <c r="I232" s="200"/>
      <c r="J232" s="200"/>
      <c r="M232" s="200"/>
    </row>
    <row r="233" ht="15.75" customHeight="1">
      <c r="D233" s="200"/>
      <c r="H233" s="200"/>
      <c r="I233" s="200"/>
      <c r="J233" s="200"/>
      <c r="M233" s="200"/>
    </row>
    <row r="234" ht="15.75" customHeight="1">
      <c r="D234" s="200"/>
      <c r="H234" s="200"/>
      <c r="I234" s="200"/>
      <c r="J234" s="200"/>
      <c r="M234" s="200"/>
    </row>
    <row r="235" ht="15.75" customHeight="1">
      <c r="D235" s="200"/>
      <c r="H235" s="200"/>
      <c r="I235" s="200"/>
      <c r="J235" s="200"/>
      <c r="M235" s="200"/>
    </row>
    <row r="236" ht="15.75" customHeight="1">
      <c r="D236" s="200"/>
      <c r="H236" s="200"/>
      <c r="I236" s="200"/>
      <c r="J236" s="200"/>
      <c r="M236" s="200"/>
    </row>
    <row r="237" ht="15.75" customHeight="1">
      <c r="D237" s="200"/>
      <c r="H237" s="200"/>
      <c r="I237" s="200"/>
      <c r="J237" s="200"/>
      <c r="M237" s="200"/>
    </row>
    <row r="238" ht="15.75" customHeight="1">
      <c r="D238" s="200"/>
      <c r="H238" s="200"/>
      <c r="I238" s="200"/>
      <c r="J238" s="200"/>
      <c r="M238" s="200"/>
    </row>
    <row r="239" ht="15.75" customHeight="1">
      <c r="D239" s="200"/>
      <c r="H239" s="200"/>
      <c r="I239" s="200"/>
      <c r="J239" s="200"/>
      <c r="M239" s="200"/>
    </row>
    <row r="240" ht="15.75" customHeight="1">
      <c r="D240" s="200"/>
      <c r="H240" s="200"/>
      <c r="I240" s="200"/>
      <c r="J240" s="200"/>
      <c r="M240" s="200"/>
    </row>
    <row r="241" ht="15.75" customHeight="1">
      <c r="D241" s="200"/>
      <c r="H241" s="200"/>
      <c r="I241" s="200"/>
      <c r="J241" s="200"/>
      <c r="M241" s="200"/>
    </row>
    <row r="242" ht="15.75" customHeight="1">
      <c r="D242" s="200"/>
      <c r="H242" s="200"/>
      <c r="I242" s="200"/>
      <c r="J242" s="200"/>
      <c r="M242" s="200"/>
    </row>
    <row r="243" ht="15.75" customHeight="1">
      <c r="D243" s="200"/>
      <c r="H243" s="200"/>
      <c r="I243" s="200"/>
      <c r="J243" s="200"/>
      <c r="M243" s="200"/>
    </row>
    <row r="244" ht="15.75" customHeight="1">
      <c r="D244" s="200"/>
      <c r="H244" s="200"/>
      <c r="I244" s="200"/>
      <c r="J244" s="200"/>
      <c r="M244" s="200"/>
    </row>
    <row r="245" ht="15.75" customHeight="1">
      <c r="D245" s="200"/>
      <c r="H245" s="200"/>
      <c r="I245" s="200"/>
      <c r="J245" s="200"/>
      <c r="M245" s="200"/>
    </row>
    <row r="246" ht="15.75" customHeight="1">
      <c r="D246" s="200"/>
      <c r="H246" s="200"/>
      <c r="I246" s="200"/>
      <c r="J246" s="200"/>
      <c r="M246" s="200"/>
    </row>
    <row r="247" ht="15.75" customHeight="1">
      <c r="D247" s="200"/>
      <c r="H247" s="200"/>
      <c r="I247" s="200"/>
      <c r="J247" s="200"/>
      <c r="M247" s="200"/>
    </row>
    <row r="248" ht="15.75" customHeight="1">
      <c r="D248" s="200"/>
      <c r="H248" s="200"/>
      <c r="I248" s="200"/>
      <c r="J248" s="200"/>
      <c r="M248" s="200"/>
    </row>
    <row r="249" ht="15.75" customHeight="1">
      <c r="D249" s="200"/>
      <c r="H249" s="200"/>
      <c r="I249" s="200"/>
      <c r="J249" s="200"/>
      <c r="M249" s="200"/>
    </row>
    <row r="250" ht="15.75" customHeight="1">
      <c r="D250" s="200"/>
      <c r="H250" s="200"/>
      <c r="I250" s="200"/>
      <c r="J250" s="200"/>
      <c r="M250" s="200"/>
    </row>
    <row r="251" ht="15.75" customHeight="1">
      <c r="D251" s="200"/>
      <c r="H251" s="200"/>
      <c r="I251" s="200"/>
      <c r="J251" s="200"/>
      <c r="M251" s="200"/>
    </row>
    <row r="252" ht="15.75" customHeight="1">
      <c r="D252" s="200"/>
      <c r="H252" s="200"/>
      <c r="I252" s="200"/>
      <c r="J252" s="200"/>
      <c r="M252" s="200"/>
    </row>
    <row r="253" ht="15.75" customHeight="1">
      <c r="D253" s="200"/>
      <c r="H253" s="200"/>
      <c r="I253" s="200"/>
      <c r="J253" s="200"/>
      <c r="M253" s="200"/>
    </row>
    <row r="254" ht="15.75" customHeight="1">
      <c r="D254" s="200"/>
      <c r="H254" s="200"/>
      <c r="I254" s="200"/>
      <c r="J254" s="200"/>
      <c r="M254" s="200"/>
    </row>
    <row r="255" ht="15.75" customHeight="1">
      <c r="D255" s="200"/>
      <c r="H255" s="200"/>
      <c r="I255" s="200"/>
      <c r="J255" s="200"/>
      <c r="M255" s="200"/>
    </row>
    <row r="256" ht="15.75" customHeight="1">
      <c r="D256" s="200"/>
      <c r="H256" s="200"/>
      <c r="I256" s="200"/>
      <c r="J256" s="200"/>
      <c r="M256" s="200"/>
    </row>
    <row r="257" ht="15.75" customHeight="1">
      <c r="D257" s="200"/>
      <c r="H257" s="200"/>
      <c r="I257" s="200"/>
      <c r="J257" s="200"/>
      <c r="M257" s="200"/>
    </row>
    <row r="258" ht="15.75" customHeight="1">
      <c r="D258" s="200"/>
      <c r="H258" s="200"/>
      <c r="I258" s="200"/>
      <c r="J258" s="200"/>
      <c r="M258" s="200"/>
    </row>
    <row r="259" ht="15.75" customHeight="1">
      <c r="D259" s="200"/>
      <c r="H259" s="200"/>
      <c r="I259" s="200"/>
      <c r="J259" s="200"/>
      <c r="M259" s="200"/>
    </row>
    <row r="260" ht="15.75" customHeight="1">
      <c r="D260" s="200"/>
      <c r="H260" s="200"/>
      <c r="I260" s="200"/>
      <c r="J260" s="200"/>
      <c r="M260" s="200"/>
    </row>
    <row r="261" ht="15.75" customHeight="1">
      <c r="D261" s="200"/>
      <c r="H261" s="200"/>
      <c r="I261" s="200"/>
      <c r="J261" s="200"/>
      <c r="M261" s="200"/>
    </row>
    <row r="262" ht="15.75" customHeight="1">
      <c r="D262" s="200"/>
      <c r="H262" s="200"/>
      <c r="I262" s="200"/>
      <c r="J262" s="200"/>
      <c r="M262" s="200"/>
    </row>
    <row r="263" ht="15.75" customHeight="1">
      <c r="D263" s="200"/>
      <c r="H263" s="200"/>
      <c r="I263" s="200"/>
      <c r="J263" s="200"/>
      <c r="M263" s="200"/>
    </row>
    <row r="264" ht="15.75" customHeight="1">
      <c r="D264" s="200"/>
      <c r="H264" s="200"/>
      <c r="I264" s="200"/>
      <c r="J264" s="200"/>
      <c r="M264" s="200"/>
    </row>
    <row r="265" ht="15.75" customHeight="1">
      <c r="D265" s="200"/>
      <c r="H265" s="200"/>
      <c r="I265" s="200"/>
      <c r="J265" s="200"/>
      <c r="M265" s="200"/>
    </row>
    <row r="266" ht="15.75" customHeight="1">
      <c r="D266" s="200"/>
      <c r="H266" s="200"/>
      <c r="I266" s="200"/>
      <c r="J266" s="200"/>
      <c r="M266" s="200"/>
    </row>
    <row r="267" ht="15.75" customHeight="1">
      <c r="D267" s="200"/>
      <c r="H267" s="200"/>
      <c r="I267" s="200"/>
      <c r="J267" s="200"/>
      <c r="M267" s="200"/>
    </row>
    <row r="268" ht="15.75" customHeight="1">
      <c r="D268" s="200"/>
      <c r="H268" s="200"/>
      <c r="I268" s="200"/>
      <c r="J268" s="200"/>
      <c r="M268" s="200"/>
    </row>
    <row r="269" ht="15.75" customHeight="1">
      <c r="D269" s="200"/>
      <c r="H269" s="200"/>
      <c r="I269" s="200"/>
      <c r="J269" s="200"/>
      <c r="M269" s="200"/>
    </row>
    <row r="270" ht="15.75" customHeight="1">
      <c r="D270" s="200"/>
      <c r="H270" s="200"/>
      <c r="I270" s="200"/>
      <c r="J270" s="200"/>
      <c r="M270" s="200"/>
    </row>
    <row r="271" ht="15.75" customHeight="1">
      <c r="D271" s="200"/>
      <c r="H271" s="200"/>
      <c r="I271" s="200"/>
      <c r="J271" s="200"/>
      <c r="M271" s="200"/>
    </row>
    <row r="272" ht="15.75" customHeight="1">
      <c r="D272" s="200"/>
      <c r="H272" s="200"/>
      <c r="I272" s="200"/>
      <c r="J272" s="200"/>
      <c r="M272" s="200"/>
    </row>
    <row r="273" ht="15.75" customHeight="1">
      <c r="D273" s="200"/>
      <c r="H273" s="200"/>
      <c r="I273" s="200"/>
      <c r="J273" s="200"/>
      <c r="M273" s="200"/>
    </row>
    <row r="274" ht="15.75" customHeight="1">
      <c r="D274" s="200"/>
      <c r="H274" s="200"/>
      <c r="I274" s="200"/>
      <c r="J274" s="200"/>
      <c r="M274" s="200"/>
    </row>
    <row r="275" ht="15.75" customHeight="1">
      <c r="D275" s="200"/>
      <c r="H275" s="200"/>
      <c r="I275" s="200"/>
      <c r="J275" s="200"/>
      <c r="M275" s="200"/>
    </row>
    <row r="276" ht="15.75" customHeight="1">
      <c r="D276" s="200"/>
      <c r="H276" s="200"/>
      <c r="I276" s="200"/>
      <c r="J276" s="200"/>
      <c r="M276" s="200"/>
    </row>
    <row r="277" ht="15.75" customHeight="1">
      <c r="D277" s="200"/>
      <c r="H277" s="200"/>
      <c r="I277" s="200"/>
      <c r="J277" s="200"/>
      <c r="M277" s="200"/>
    </row>
    <row r="278" ht="15.75" customHeight="1">
      <c r="D278" s="200"/>
      <c r="H278" s="200"/>
      <c r="I278" s="200"/>
      <c r="J278" s="200"/>
      <c r="M278" s="200"/>
    </row>
    <row r="279" ht="15.75" customHeight="1">
      <c r="D279" s="200"/>
      <c r="H279" s="200"/>
      <c r="I279" s="200"/>
      <c r="J279" s="200"/>
      <c r="M279" s="200"/>
    </row>
    <row r="280" ht="15.75" customHeight="1">
      <c r="D280" s="200"/>
      <c r="H280" s="200"/>
      <c r="I280" s="200"/>
      <c r="J280" s="200"/>
      <c r="M280" s="200"/>
    </row>
    <row r="281" ht="15.75" customHeight="1">
      <c r="D281" s="200"/>
      <c r="H281" s="200"/>
      <c r="I281" s="200"/>
      <c r="J281" s="200"/>
      <c r="M281" s="200"/>
    </row>
    <row r="282" ht="15.75" customHeight="1">
      <c r="D282" s="200"/>
      <c r="H282" s="200"/>
      <c r="I282" s="200"/>
      <c r="J282" s="200"/>
      <c r="M282" s="200"/>
    </row>
    <row r="283" ht="15.75" customHeight="1">
      <c r="D283" s="200"/>
      <c r="H283" s="200"/>
      <c r="I283" s="200"/>
      <c r="J283" s="200"/>
      <c r="M283" s="200"/>
    </row>
    <row r="284" ht="15.75" customHeight="1">
      <c r="D284" s="200"/>
      <c r="H284" s="200"/>
      <c r="I284" s="200"/>
      <c r="J284" s="200"/>
      <c r="M284" s="200"/>
    </row>
    <row r="285" ht="15.75" customHeight="1">
      <c r="D285" s="200"/>
      <c r="H285" s="200"/>
      <c r="I285" s="200"/>
      <c r="J285" s="200"/>
      <c r="M285" s="200"/>
    </row>
    <row r="286" ht="15.75" customHeight="1">
      <c r="D286" s="200"/>
      <c r="H286" s="200"/>
      <c r="I286" s="200"/>
      <c r="J286" s="200"/>
      <c r="M286" s="200"/>
    </row>
    <row r="287" ht="15.75" customHeight="1">
      <c r="D287" s="200"/>
      <c r="H287" s="200"/>
      <c r="I287" s="200"/>
      <c r="J287" s="200"/>
      <c r="M287" s="200"/>
    </row>
    <row r="288" ht="15.75" customHeight="1">
      <c r="D288" s="200"/>
      <c r="H288" s="200"/>
      <c r="I288" s="200"/>
      <c r="J288" s="200"/>
      <c r="M288" s="200"/>
    </row>
    <row r="289" ht="15.75" customHeight="1">
      <c r="D289" s="200"/>
      <c r="H289" s="200"/>
      <c r="I289" s="200"/>
      <c r="J289" s="200"/>
      <c r="M289" s="200"/>
    </row>
    <row r="290" ht="15.75" customHeight="1">
      <c r="D290" s="200"/>
      <c r="H290" s="200"/>
      <c r="I290" s="200"/>
      <c r="J290" s="200"/>
      <c r="M290" s="200"/>
    </row>
    <row r="291" ht="15.75" customHeight="1">
      <c r="D291" s="200"/>
      <c r="H291" s="200"/>
      <c r="I291" s="200"/>
      <c r="J291" s="200"/>
      <c r="M291" s="200"/>
    </row>
    <row r="292" ht="15.75" customHeight="1">
      <c r="D292" s="200"/>
      <c r="H292" s="200"/>
      <c r="I292" s="200"/>
      <c r="J292" s="200"/>
      <c r="M292" s="200"/>
    </row>
    <row r="293" ht="15.75" customHeight="1">
      <c r="D293" s="200"/>
      <c r="H293" s="200"/>
      <c r="I293" s="200"/>
      <c r="J293" s="200"/>
      <c r="M293" s="200"/>
    </row>
    <row r="294" ht="15.75" customHeight="1">
      <c r="D294" s="200"/>
      <c r="H294" s="200"/>
      <c r="I294" s="200"/>
      <c r="J294" s="200"/>
      <c r="M294" s="200"/>
    </row>
    <row r="295" ht="15.75" customHeight="1">
      <c r="D295" s="200"/>
      <c r="H295" s="200"/>
      <c r="I295" s="200"/>
      <c r="J295" s="200"/>
      <c r="M295" s="200"/>
    </row>
    <row r="296" ht="15.75" customHeight="1">
      <c r="D296" s="200"/>
      <c r="H296" s="200"/>
      <c r="I296" s="200"/>
      <c r="J296" s="200"/>
      <c r="M296" s="200"/>
    </row>
    <row r="297" ht="15.75" customHeight="1">
      <c r="D297" s="200"/>
      <c r="H297" s="200"/>
      <c r="I297" s="200"/>
      <c r="J297" s="200"/>
      <c r="M297" s="200"/>
    </row>
    <row r="298" ht="15.75" customHeight="1">
      <c r="D298" s="200"/>
      <c r="H298" s="200"/>
      <c r="I298" s="200"/>
      <c r="J298" s="200"/>
      <c r="M298" s="200"/>
    </row>
    <row r="299" ht="15.75" customHeight="1">
      <c r="D299" s="200"/>
      <c r="H299" s="200"/>
      <c r="I299" s="200"/>
      <c r="J299" s="200"/>
      <c r="M299" s="200"/>
    </row>
    <row r="300" ht="15.75" customHeight="1">
      <c r="D300" s="200"/>
      <c r="H300" s="200"/>
      <c r="I300" s="200"/>
      <c r="J300" s="200"/>
      <c r="M300" s="200"/>
    </row>
    <row r="301" ht="15.75" customHeight="1">
      <c r="D301" s="200"/>
      <c r="H301" s="200"/>
      <c r="I301" s="200"/>
      <c r="J301" s="200"/>
      <c r="M301" s="200"/>
    </row>
    <row r="302" ht="15.75" customHeight="1">
      <c r="D302" s="200"/>
      <c r="H302" s="200"/>
      <c r="I302" s="200"/>
      <c r="J302" s="200"/>
      <c r="M302" s="200"/>
    </row>
    <row r="303" ht="15.75" customHeight="1">
      <c r="D303" s="200"/>
      <c r="H303" s="200"/>
      <c r="I303" s="200"/>
      <c r="J303" s="200"/>
      <c r="M303" s="200"/>
    </row>
    <row r="304" ht="15.75" customHeight="1">
      <c r="D304" s="200"/>
      <c r="H304" s="200"/>
      <c r="I304" s="200"/>
      <c r="J304" s="200"/>
      <c r="M304" s="200"/>
    </row>
    <row r="305" ht="15.75" customHeight="1">
      <c r="D305" s="200"/>
      <c r="H305" s="200"/>
      <c r="I305" s="200"/>
      <c r="J305" s="200"/>
      <c r="M305" s="200"/>
    </row>
    <row r="306" ht="15.75" customHeight="1">
      <c r="D306" s="200"/>
      <c r="H306" s="200"/>
      <c r="I306" s="200"/>
      <c r="J306" s="200"/>
      <c r="M306" s="200"/>
    </row>
    <row r="307" ht="15.75" customHeight="1">
      <c r="D307" s="200"/>
      <c r="H307" s="200"/>
      <c r="I307" s="200"/>
      <c r="J307" s="200"/>
      <c r="M307" s="200"/>
    </row>
    <row r="308" ht="15.75" customHeight="1">
      <c r="D308" s="200"/>
      <c r="H308" s="200"/>
      <c r="I308" s="200"/>
      <c r="J308" s="200"/>
      <c r="M308" s="200"/>
    </row>
    <row r="309" ht="15.75" customHeight="1">
      <c r="D309" s="200"/>
      <c r="H309" s="200"/>
      <c r="I309" s="200"/>
      <c r="J309" s="200"/>
      <c r="M309" s="200"/>
    </row>
    <row r="310" ht="15.75" customHeight="1">
      <c r="D310" s="200"/>
      <c r="H310" s="200"/>
      <c r="I310" s="200"/>
      <c r="J310" s="200"/>
      <c r="M310" s="200"/>
    </row>
    <row r="311" ht="15.75" customHeight="1">
      <c r="D311" s="200"/>
      <c r="H311" s="200"/>
      <c r="I311" s="200"/>
      <c r="J311" s="200"/>
      <c r="M311" s="200"/>
    </row>
    <row r="312" ht="15.75" customHeight="1">
      <c r="D312" s="200"/>
      <c r="H312" s="200"/>
      <c r="I312" s="200"/>
      <c r="J312" s="200"/>
      <c r="M312" s="200"/>
    </row>
    <row r="313" ht="15.75" customHeight="1">
      <c r="D313" s="200"/>
      <c r="H313" s="200"/>
      <c r="I313" s="200"/>
      <c r="J313" s="200"/>
      <c r="M313" s="200"/>
    </row>
    <row r="314" ht="15.75" customHeight="1">
      <c r="D314" s="200"/>
      <c r="H314" s="200"/>
      <c r="I314" s="200"/>
      <c r="J314" s="200"/>
      <c r="M314" s="200"/>
    </row>
    <row r="315" ht="15.75" customHeight="1">
      <c r="D315" s="200"/>
      <c r="H315" s="200"/>
      <c r="I315" s="200"/>
      <c r="J315" s="200"/>
      <c r="M315" s="200"/>
    </row>
    <row r="316" ht="15.75" customHeight="1">
      <c r="D316" s="200"/>
      <c r="H316" s="200"/>
      <c r="I316" s="200"/>
      <c r="J316" s="200"/>
      <c r="M316" s="200"/>
    </row>
    <row r="317" ht="15.75" customHeight="1">
      <c r="D317" s="200"/>
      <c r="H317" s="200"/>
      <c r="I317" s="200"/>
      <c r="J317" s="200"/>
      <c r="M317" s="200"/>
    </row>
    <row r="318" ht="15.75" customHeight="1">
      <c r="D318" s="200"/>
      <c r="H318" s="200"/>
      <c r="I318" s="200"/>
      <c r="J318" s="200"/>
      <c r="M318" s="200"/>
    </row>
    <row r="319" ht="15.75" customHeight="1">
      <c r="D319" s="200"/>
      <c r="H319" s="200"/>
      <c r="I319" s="200"/>
      <c r="J319" s="200"/>
      <c r="M319" s="200"/>
    </row>
    <row r="320" ht="15.75" customHeight="1">
      <c r="D320" s="200"/>
      <c r="H320" s="200"/>
      <c r="I320" s="200"/>
      <c r="J320" s="200"/>
      <c r="M320" s="200"/>
    </row>
    <row r="321" ht="15.75" customHeight="1">
      <c r="D321" s="200"/>
      <c r="H321" s="200"/>
      <c r="I321" s="200"/>
      <c r="J321" s="200"/>
      <c r="M321" s="200"/>
    </row>
    <row r="322" ht="15.75" customHeight="1">
      <c r="D322" s="200"/>
      <c r="H322" s="200"/>
      <c r="I322" s="200"/>
      <c r="J322" s="200"/>
      <c r="M322" s="200"/>
    </row>
    <row r="323" ht="15.75" customHeight="1">
      <c r="D323" s="200"/>
      <c r="H323" s="200"/>
      <c r="I323" s="200"/>
      <c r="J323" s="200"/>
      <c r="M323" s="200"/>
    </row>
    <row r="324" ht="15.75" customHeight="1">
      <c r="D324" s="200"/>
      <c r="H324" s="200"/>
      <c r="I324" s="200"/>
      <c r="J324" s="200"/>
      <c r="M324" s="200"/>
    </row>
    <row r="325" ht="15.75" customHeight="1">
      <c r="D325" s="200"/>
      <c r="H325" s="200"/>
      <c r="I325" s="200"/>
      <c r="J325" s="200"/>
      <c r="M325" s="200"/>
    </row>
    <row r="326" ht="15.75" customHeight="1">
      <c r="D326" s="200"/>
      <c r="H326" s="200"/>
      <c r="I326" s="200"/>
      <c r="J326" s="200"/>
      <c r="M326" s="200"/>
    </row>
    <row r="327" ht="15.75" customHeight="1">
      <c r="D327" s="200"/>
      <c r="H327" s="200"/>
      <c r="I327" s="200"/>
      <c r="J327" s="200"/>
      <c r="M327" s="200"/>
    </row>
    <row r="328" ht="15.75" customHeight="1">
      <c r="D328" s="200"/>
      <c r="H328" s="200"/>
      <c r="I328" s="200"/>
      <c r="J328" s="200"/>
      <c r="M328" s="200"/>
    </row>
    <row r="329" ht="15.75" customHeight="1">
      <c r="D329" s="200"/>
      <c r="H329" s="200"/>
      <c r="I329" s="200"/>
      <c r="J329" s="200"/>
      <c r="M329" s="200"/>
    </row>
    <row r="330" ht="15.75" customHeight="1">
      <c r="D330" s="200"/>
      <c r="H330" s="200"/>
      <c r="I330" s="200"/>
      <c r="J330" s="200"/>
      <c r="M330" s="200"/>
    </row>
    <row r="331" ht="15.75" customHeight="1">
      <c r="D331" s="200"/>
      <c r="H331" s="200"/>
      <c r="I331" s="200"/>
      <c r="J331" s="200"/>
      <c r="M331" s="200"/>
    </row>
    <row r="332" ht="15.75" customHeight="1">
      <c r="D332" s="200"/>
      <c r="H332" s="200"/>
      <c r="I332" s="200"/>
      <c r="J332" s="200"/>
      <c r="M332" s="200"/>
    </row>
    <row r="333" ht="15.75" customHeight="1">
      <c r="D333" s="200"/>
      <c r="H333" s="200"/>
      <c r="I333" s="200"/>
      <c r="J333" s="200"/>
      <c r="M333" s="200"/>
    </row>
    <row r="334" ht="15.75" customHeight="1">
      <c r="D334" s="200"/>
      <c r="H334" s="200"/>
      <c r="I334" s="200"/>
      <c r="J334" s="200"/>
      <c r="M334" s="200"/>
    </row>
    <row r="335" ht="15.75" customHeight="1">
      <c r="D335" s="200"/>
      <c r="H335" s="200"/>
      <c r="I335" s="200"/>
      <c r="J335" s="200"/>
      <c r="M335" s="200"/>
    </row>
    <row r="336" ht="15.75" customHeight="1">
      <c r="D336" s="200"/>
      <c r="H336" s="200"/>
      <c r="I336" s="200"/>
      <c r="J336" s="200"/>
      <c r="M336" s="200"/>
    </row>
    <row r="337" ht="15.75" customHeight="1">
      <c r="D337" s="200"/>
      <c r="H337" s="200"/>
      <c r="I337" s="200"/>
      <c r="J337" s="200"/>
      <c r="M337" s="200"/>
    </row>
    <row r="338" ht="15.75" customHeight="1">
      <c r="D338" s="200"/>
      <c r="H338" s="200"/>
      <c r="I338" s="200"/>
      <c r="J338" s="200"/>
      <c r="M338" s="200"/>
    </row>
    <row r="339" ht="15.75" customHeight="1">
      <c r="D339" s="200"/>
      <c r="H339" s="200"/>
      <c r="I339" s="200"/>
      <c r="J339" s="200"/>
      <c r="M339" s="200"/>
    </row>
    <row r="340" ht="15.75" customHeight="1">
      <c r="D340" s="200"/>
      <c r="H340" s="200"/>
      <c r="I340" s="200"/>
      <c r="J340" s="200"/>
      <c r="M340" s="200"/>
    </row>
    <row r="341" ht="15.75" customHeight="1">
      <c r="D341" s="200"/>
      <c r="H341" s="200"/>
      <c r="I341" s="200"/>
      <c r="J341" s="200"/>
      <c r="M341" s="200"/>
    </row>
    <row r="342" ht="15.75" customHeight="1">
      <c r="D342" s="200"/>
      <c r="H342" s="200"/>
      <c r="I342" s="200"/>
      <c r="J342" s="200"/>
      <c r="M342" s="200"/>
    </row>
    <row r="343" ht="15.75" customHeight="1">
      <c r="D343" s="200"/>
      <c r="H343" s="200"/>
      <c r="I343" s="200"/>
      <c r="J343" s="200"/>
      <c r="M343" s="200"/>
    </row>
    <row r="344" ht="15.75" customHeight="1">
      <c r="D344" s="200"/>
      <c r="H344" s="200"/>
      <c r="I344" s="200"/>
      <c r="J344" s="200"/>
      <c r="M344" s="200"/>
    </row>
    <row r="345" ht="15.75" customHeight="1">
      <c r="D345" s="200"/>
      <c r="H345" s="200"/>
      <c r="I345" s="200"/>
      <c r="J345" s="200"/>
      <c r="M345" s="200"/>
    </row>
    <row r="346" ht="15.75" customHeight="1">
      <c r="D346" s="200"/>
      <c r="H346" s="200"/>
      <c r="I346" s="200"/>
      <c r="J346" s="200"/>
      <c r="M346" s="200"/>
    </row>
    <row r="347" ht="15.75" customHeight="1">
      <c r="D347" s="200"/>
      <c r="H347" s="200"/>
      <c r="I347" s="200"/>
      <c r="J347" s="200"/>
      <c r="M347" s="200"/>
    </row>
    <row r="348" ht="15.75" customHeight="1">
      <c r="D348" s="200"/>
      <c r="H348" s="200"/>
      <c r="I348" s="200"/>
      <c r="J348" s="200"/>
      <c r="M348" s="200"/>
    </row>
    <row r="349" ht="15.75" customHeight="1">
      <c r="D349" s="200"/>
      <c r="H349" s="200"/>
      <c r="I349" s="200"/>
      <c r="J349" s="200"/>
      <c r="M349" s="200"/>
    </row>
    <row r="350" ht="15.75" customHeight="1">
      <c r="D350" s="200"/>
      <c r="H350" s="200"/>
      <c r="I350" s="200"/>
      <c r="J350" s="200"/>
      <c r="M350" s="200"/>
    </row>
    <row r="351" ht="15.75" customHeight="1">
      <c r="D351" s="200"/>
      <c r="H351" s="200"/>
      <c r="I351" s="200"/>
      <c r="J351" s="200"/>
      <c r="M351" s="200"/>
    </row>
    <row r="352" ht="15.75" customHeight="1">
      <c r="D352" s="200"/>
      <c r="H352" s="200"/>
      <c r="I352" s="200"/>
      <c r="J352" s="200"/>
      <c r="M352" s="200"/>
    </row>
    <row r="353" ht="15.75" customHeight="1">
      <c r="D353" s="200"/>
      <c r="H353" s="200"/>
      <c r="I353" s="200"/>
      <c r="J353" s="200"/>
      <c r="M353" s="200"/>
    </row>
    <row r="354" ht="15.75" customHeight="1">
      <c r="D354" s="200"/>
      <c r="H354" s="200"/>
      <c r="I354" s="200"/>
      <c r="J354" s="200"/>
      <c r="M354" s="200"/>
    </row>
    <row r="355" ht="15.75" customHeight="1">
      <c r="D355" s="200"/>
      <c r="H355" s="200"/>
      <c r="I355" s="200"/>
      <c r="J355" s="200"/>
      <c r="M355" s="200"/>
    </row>
    <row r="356" ht="15.75" customHeight="1">
      <c r="D356" s="200"/>
      <c r="H356" s="200"/>
      <c r="I356" s="200"/>
      <c r="J356" s="200"/>
      <c r="M356" s="200"/>
    </row>
    <row r="357" ht="15.75" customHeight="1">
      <c r="D357" s="200"/>
      <c r="H357" s="200"/>
      <c r="I357" s="200"/>
      <c r="J357" s="200"/>
      <c r="M357" s="200"/>
    </row>
    <row r="358" ht="15.75" customHeight="1">
      <c r="D358" s="200"/>
      <c r="H358" s="200"/>
      <c r="I358" s="200"/>
      <c r="J358" s="200"/>
      <c r="M358" s="200"/>
    </row>
    <row r="359" ht="15.75" customHeight="1">
      <c r="D359" s="200"/>
      <c r="H359" s="200"/>
      <c r="I359" s="200"/>
      <c r="J359" s="200"/>
      <c r="M359" s="200"/>
    </row>
    <row r="360" ht="15.75" customHeight="1">
      <c r="D360" s="200"/>
      <c r="H360" s="200"/>
      <c r="I360" s="200"/>
      <c r="J360" s="200"/>
      <c r="M360" s="200"/>
    </row>
    <row r="361" ht="15.75" customHeight="1">
      <c r="D361" s="200"/>
      <c r="H361" s="200"/>
      <c r="I361" s="200"/>
      <c r="J361" s="200"/>
      <c r="M361" s="200"/>
    </row>
    <row r="362" ht="15.75" customHeight="1">
      <c r="D362" s="200"/>
      <c r="H362" s="200"/>
      <c r="I362" s="200"/>
      <c r="J362" s="200"/>
      <c r="M362" s="200"/>
    </row>
    <row r="363" ht="15.75" customHeight="1">
      <c r="D363" s="200"/>
      <c r="H363" s="200"/>
      <c r="I363" s="200"/>
      <c r="J363" s="200"/>
      <c r="M363" s="200"/>
    </row>
    <row r="364" ht="15.75" customHeight="1">
      <c r="D364" s="200"/>
      <c r="H364" s="200"/>
      <c r="I364" s="200"/>
      <c r="J364" s="200"/>
      <c r="M364" s="200"/>
    </row>
    <row r="365" ht="15.75" customHeight="1">
      <c r="D365" s="200"/>
      <c r="H365" s="200"/>
      <c r="I365" s="200"/>
      <c r="J365" s="200"/>
      <c r="M365" s="200"/>
    </row>
    <row r="366" ht="15.75" customHeight="1">
      <c r="D366" s="200"/>
      <c r="H366" s="200"/>
      <c r="I366" s="200"/>
      <c r="J366" s="200"/>
      <c r="M366" s="200"/>
    </row>
    <row r="367" ht="15.75" customHeight="1">
      <c r="D367" s="200"/>
      <c r="H367" s="200"/>
      <c r="I367" s="200"/>
      <c r="J367" s="200"/>
      <c r="M367" s="200"/>
    </row>
    <row r="368" ht="15.75" customHeight="1">
      <c r="D368" s="200"/>
      <c r="H368" s="200"/>
      <c r="I368" s="200"/>
      <c r="J368" s="200"/>
      <c r="M368" s="200"/>
    </row>
    <row r="369" ht="15.75" customHeight="1">
      <c r="D369" s="200"/>
      <c r="H369" s="200"/>
      <c r="I369" s="200"/>
      <c r="J369" s="200"/>
      <c r="M369" s="200"/>
    </row>
    <row r="370" ht="15.75" customHeight="1">
      <c r="D370" s="200"/>
      <c r="H370" s="200"/>
      <c r="I370" s="200"/>
      <c r="J370" s="200"/>
      <c r="M370" s="200"/>
    </row>
    <row r="371" ht="15.75" customHeight="1">
      <c r="D371" s="200"/>
      <c r="H371" s="200"/>
      <c r="I371" s="200"/>
      <c r="J371" s="200"/>
      <c r="M371" s="200"/>
    </row>
    <row r="372" ht="15.75" customHeight="1">
      <c r="D372" s="200"/>
      <c r="H372" s="200"/>
      <c r="I372" s="200"/>
      <c r="J372" s="200"/>
      <c r="M372" s="200"/>
    </row>
    <row r="373" ht="15.75" customHeight="1">
      <c r="D373" s="200"/>
      <c r="H373" s="200"/>
      <c r="I373" s="200"/>
      <c r="J373" s="200"/>
      <c r="M373" s="200"/>
    </row>
    <row r="374" ht="15.75" customHeight="1">
      <c r="D374" s="200"/>
      <c r="H374" s="200"/>
      <c r="I374" s="200"/>
      <c r="J374" s="200"/>
      <c r="M374" s="200"/>
    </row>
    <row r="375" ht="15.75" customHeight="1">
      <c r="D375" s="200"/>
      <c r="H375" s="200"/>
      <c r="I375" s="200"/>
      <c r="J375" s="200"/>
      <c r="M375" s="200"/>
    </row>
    <row r="376" ht="15.75" customHeight="1">
      <c r="D376" s="200"/>
      <c r="H376" s="200"/>
      <c r="I376" s="200"/>
      <c r="J376" s="200"/>
      <c r="M376" s="200"/>
    </row>
    <row r="377" ht="15.75" customHeight="1">
      <c r="D377" s="200"/>
      <c r="H377" s="200"/>
      <c r="I377" s="200"/>
      <c r="J377" s="200"/>
      <c r="M377" s="200"/>
    </row>
    <row r="378" ht="15.75" customHeight="1">
      <c r="D378" s="200"/>
      <c r="H378" s="200"/>
      <c r="I378" s="200"/>
      <c r="J378" s="200"/>
      <c r="M378" s="200"/>
    </row>
    <row r="379" ht="15.75" customHeight="1">
      <c r="D379" s="200"/>
      <c r="H379" s="200"/>
      <c r="I379" s="200"/>
      <c r="J379" s="200"/>
      <c r="M379" s="200"/>
    </row>
    <row r="380" ht="15.75" customHeight="1">
      <c r="D380" s="200"/>
      <c r="H380" s="200"/>
      <c r="I380" s="200"/>
      <c r="J380" s="200"/>
      <c r="M380" s="200"/>
    </row>
    <row r="381" ht="15.75" customHeight="1">
      <c r="D381" s="200"/>
      <c r="H381" s="200"/>
      <c r="I381" s="200"/>
      <c r="J381" s="200"/>
      <c r="M381" s="200"/>
    </row>
    <row r="382" ht="15.75" customHeight="1">
      <c r="D382" s="200"/>
      <c r="H382" s="200"/>
      <c r="I382" s="200"/>
      <c r="J382" s="200"/>
      <c r="M382" s="200"/>
    </row>
    <row r="383" ht="15.75" customHeight="1">
      <c r="D383" s="200"/>
      <c r="H383" s="200"/>
      <c r="I383" s="200"/>
      <c r="J383" s="200"/>
      <c r="M383" s="200"/>
    </row>
    <row r="384" ht="15.75" customHeight="1">
      <c r="D384" s="200"/>
      <c r="H384" s="200"/>
      <c r="I384" s="200"/>
      <c r="J384" s="200"/>
      <c r="M384" s="200"/>
    </row>
    <row r="385" ht="15.75" customHeight="1">
      <c r="D385" s="200"/>
      <c r="H385" s="200"/>
      <c r="I385" s="200"/>
      <c r="J385" s="200"/>
      <c r="M385" s="200"/>
    </row>
    <row r="386" ht="15.75" customHeight="1">
      <c r="D386" s="200"/>
      <c r="H386" s="200"/>
      <c r="I386" s="200"/>
      <c r="J386" s="200"/>
      <c r="M386" s="200"/>
    </row>
    <row r="387" ht="15.75" customHeight="1">
      <c r="D387" s="200"/>
      <c r="H387" s="200"/>
      <c r="I387" s="200"/>
      <c r="J387" s="200"/>
      <c r="M387" s="200"/>
    </row>
    <row r="388" ht="15.75" customHeight="1">
      <c r="D388" s="200"/>
      <c r="H388" s="200"/>
      <c r="I388" s="200"/>
      <c r="J388" s="200"/>
      <c r="M388" s="200"/>
    </row>
    <row r="389" ht="15.75" customHeight="1">
      <c r="D389" s="200"/>
      <c r="H389" s="200"/>
      <c r="I389" s="200"/>
      <c r="J389" s="200"/>
      <c r="M389" s="200"/>
    </row>
    <row r="390" ht="15.75" customHeight="1">
      <c r="D390" s="200"/>
      <c r="H390" s="200"/>
      <c r="I390" s="200"/>
      <c r="J390" s="200"/>
      <c r="M390" s="200"/>
    </row>
    <row r="391" ht="15.75" customHeight="1">
      <c r="D391" s="200"/>
      <c r="H391" s="200"/>
      <c r="I391" s="200"/>
      <c r="J391" s="200"/>
      <c r="M391" s="200"/>
    </row>
    <row r="392" ht="15.75" customHeight="1">
      <c r="D392" s="200"/>
      <c r="H392" s="200"/>
      <c r="I392" s="200"/>
      <c r="J392" s="200"/>
      <c r="M392" s="200"/>
    </row>
    <row r="393" ht="15.75" customHeight="1">
      <c r="D393" s="200"/>
      <c r="H393" s="200"/>
      <c r="I393" s="200"/>
      <c r="J393" s="200"/>
      <c r="M393" s="200"/>
    </row>
    <row r="394" ht="15.75" customHeight="1">
      <c r="D394" s="200"/>
      <c r="H394" s="200"/>
      <c r="I394" s="200"/>
      <c r="J394" s="200"/>
      <c r="M394" s="200"/>
    </row>
    <row r="395" ht="15.75" customHeight="1">
      <c r="D395" s="200"/>
      <c r="H395" s="200"/>
      <c r="I395" s="200"/>
      <c r="J395" s="200"/>
      <c r="M395" s="200"/>
    </row>
    <row r="396" ht="15.75" customHeight="1">
      <c r="D396" s="200"/>
      <c r="H396" s="200"/>
      <c r="I396" s="200"/>
      <c r="J396" s="200"/>
      <c r="M396" s="200"/>
    </row>
    <row r="397" ht="15.75" customHeight="1">
      <c r="D397" s="200"/>
      <c r="H397" s="200"/>
      <c r="I397" s="200"/>
      <c r="J397" s="200"/>
      <c r="M397" s="200"/>
    </row>
    <row r="398" ht="15.75" customHeight="1">
      <c r="D398" s="200"/>
      <c r="H398" s="200"/>
      <c r="I398" s="200"/>
      <c r="J398" s="200"/>
      <c r="M398" s="200"/>
    </row>
    <row r="399" ht="15.75" customHeight="1">
      <c r="D399" s="200"/>
      <c r="H399" s="200"/>
      <c r="I399" s="200"/>
      <c r="J399" s="200"/>
      <c r="M399" s="200"/>
    </row>
    <row r="400" ht="15.75" customHeight="1">
      <c r="D400" s="200"/>
      <c r="H400" s="200"/>
      <c r="I400" s="200"/>
      <c r="J400" s="200"/>
      <c r="M400" s="200"/>
    </row>
    <row r="401" ht="15.75" customHeight="1">
      <c r="D401" s="200"/>
      <c r="H401" s="200"/>
      <c r="I401" s="200"/>
      <c r="J401" s="200"/>
      <c r="M401" s="200"/>
    </row>
    <row r="402" ht="15.75" customHeight="1">
      <c r="D402" s="200"/>
      <c r="H402" s="200"/>
      <c r="I402" s="200"/>
      <c r="J402" s="200"/>
      <c r="M402" s="200"/>
    </row>
    <row r="403" ht="15.75" customHeight="1">
      <c r="D403" s="200"/>
      <c r="H403" s="200"/>
      <c r="I403" s="200"/>
      <c r="J403" s="200"/>
      <c r="M403" s="200"/>
    </row>
    <row r="404" ht="15.75" customHeight="1">
      <c r="D404" s="200"/>
      <c r="H404" s="200"/>
      <c r="I404" s="200"/>
      <c r="J404" s="200"/>
      <c r="M404" s="200"/>
    </row>
    <row r="405" ht="15.75" customHeight="1">
      <c r="D405" s="200"/>
      <c r="H405" s="200"/>
      <c r="I405" s="200"/>
      <c r="J405" s="200"/>
      <c r="M405" s="200"/>
    </row>
    <row r="406" ht="15.75" customHeight="1">
      <c r="D406" s="200"/>
      <c r="H406" s="200"/>
      <c r="I406" s="200"/>
      <c r="J406" s="200"/>
      <c r="M406" s="200"/>
    </row>
    <row r="407" ht="15.75" customHeight="1">
      <c r="D407" s="200"/>
      <c r="H407" s="200"/>
      <c r="I407" s="200"/>
      <c r="J407" s="200"/>
      <c r="M407" s="200"/>
    </row>
    <row r="408" ht="15.75" customHeight="1">
      <c r="D408" s="200"/>
      <c r="H408" s="200"/>
      <c r="I408" s="200"/>
      <c r="J408" s="200"/>
      <c r="M408" s="200"/>
    </row>
    <row r="409" ht="15.75" customHeight="1">
      <c r="D409" s="200"/>
      <c r="H409" s="200"/>
      <c r="I409" s="200"/>
      <c r="J409" s="200"/>
      <c r="M409" s="200"/>
    </row>
    <row r="410" ht="15.75" customHeight="1">
      <c r="D410" s="200"/>
      <c r="H410" s="200"/>
      <c r="I410" s="200"/>
      <c r="J410" s="200"/>
      <c r="M410" s="200"/>
    </row>
    <row r="411" ht="15.75" customHeight="1">
      <c r="D411" s="200"/>
      <c r="H411" s="200"/>
      <c r="I411" s="200"/>
      <c r="J411" s="200"/>
      <c r="M411" s="200"/>
    </row>
    <row r="412" ht="15.75" customHeight="1">
      <c r="D412" s="200"/>
      <c r="H412" s="200"/>
      <c r="I412" s="200"/>
      <c r="J412" s="200"/>
      <c r="M412" s="200"/>
    </row>
    <row r="413" ht="15.75" customHeight="1">
      <c r="D413" s="200"/>
      <c r="H413" s="200"/>
      <c r="I413" s="200"/>
      <c r="J413" s="200"/>
      <c r="M413" s="200"/>
    </row>
    <row r="414" ht="15.75" customHeight="1">
      <c r="D414" s="200"/>
      <c r="H414" s="200"/>
      <c r="I414" s="200"/>
      <c r="J414" s="200"/>
      <c r="M414" s="200"/>
    </row>
    <row r="415" ht="15.75" customHeight="1">
      <c r="D415" s="200"/>
      <c r="H415" s="200"/>
      <c r="I415" s="200"/>
      <c r="J415" s="200"/>
      <c r="M415" s="200"/>
    </row>
    <row r="416" ht="15.75" customHeight="1">
      <c r="D416" s="200"/>
      <c r="H416" s="200"/>
      <c r="I416" s="200"/>
      <c r="J416" s="200"/>
      <c r="M416" s="200"/>
    </row>
    <row r="417" ht="15.75" customHeight="1">
      <c r="D417" s="200"/>
      <c r="H417" s="200"/>
      <c r="I417" s="200"/>
      <c r="J417" s="200"/>
      <c r="M417" s="200"/>
    </row>
    <row r="418" ht="15.75" customHeight="1">
      <c r="D418" s="200"/>
      <c r="H418" s="200"/>
      <c r="I418" s="200"/>
      <c r="J418" s="200"/>
      <c r="M418" s="200"/>
    </row>
    <row r="419" ht="15.75" customHeight="1">
      <c r="D419" s="200"/>
      <c r="H419" s="200"/>
      <c r="I419" s="200"/>
      <c r="J419" s="200"/>
      <c r="M419" s="200"/>
    </row>
    <row r="420" ht="15.75" customHeight="1">
      <c r="D420" s="200"/>
      <c r="H420" s="200"/>
      <c r="I420" s="200"/>
      <c r="J420" s="200"/>
      <c r="M420" s="200"/>
    </row>
    <row r="421" ht="15.75" customHeight="1">
      <c r="D421" s="200"/>
      <c r="H421" s="200"/>
      <c r="I421" s="200"/>
      <c r="J421" s="200"/>
      <c r="M421" s="200"/>
    </row>
    <row r="422" ht="15.75" customHeight="1">
      <c r="D422" s="200"/>
      <c r="H422" s="200"/>
      <c r="I422" s="200"/>
      <c r="J422" s="200"/>
      <c r="M422" s="200"/>
    </row>
    <row r="423" ht="15.75" customHeight="1">
      <c r="D423" s="200"/>
      <c r="H423" s="200"/>
      <c r="I423" s="200"/>
      <c r="J423" s="200"/>
      <c r="M423" s="200"/>
    </row>
    <row r="424" ht="15.75" customHeight="1">
      <c r="D424" s="200"/>
      <c r="H424" s="200"/>
      <c r="I424" s="200"/>
      <c r="J424" s="200"/>
      <c r="M424" s="200"/>
    </row>
    <row r="425" ht="15.75" customHeight="1">
      <c r="D425" s="200"/>
      <c r="H425" s="200"/>
      <c r="I425" s="200"/>
      <c r="J425" s="200"/>
      <c r="M425" s="200"/>
    </row>
    <row r="426" ht="15.75" customHeight="1">
      <c r="D426" s="200"/>
      <c r="H426" s="200"/>
      <c r="I426" s="200"/>
      <c r="J426" s="200"/>
      <c r="M426" s="200"/>
    </row>
    <row r="427" ht="15.75" customHeight="1">
      <c r="D427" s="200"/>
      <c r="H427" s="200"/>
      <c r="I427" s="200"/>
      <c r="J427" s="200"/>
      <c r="M427" s="200"/>
    </row>
    <row r="428" ht="15.75" customHeight="1">
      <c r="D428" s="200"/>
      <c r="H428" s="200"/>
      <c r="I428" s="200"/>
      <c r="J428" s="200"/>
      <c r="M428" s="200"/>
    </row>
    <row r="429" ht="15.75" customHeight="1">
      <c r="D429" s="200"/>
      <c r="H429" s="200"/>
      <c r="I429" s="200"/>
      <c r="J429" s="200"/>
      <c r="M429" s="200"/>
    </row>
    <row r="430" ht="15.75" customHeight="1">
      <c r="D430" s="200"/>
      <c r="H430" s="200"/>
      <c r="I430" s="200"/>
      <c r="J430" s="200"/>
      <c r="M430" s="200"/>
    </row>
    <row r="431" ht="15.75" customHeight="1">
      <c r="D431" s="200"/>
      <c r="H431" s="200"/>
      <c r="I431" s="200"/>
      <c r="J431" s="200"/>
      <c r="M431" s="200"/>
    </row>
    <row r="432" ht="15.75" customHeight="1">
      <c r="D432" s="200"/>
      <c r="H432" s="200"/>
      <c r="I432" s="200"/>
      <c r="J432" s="200"/>
      <c r="M432" s="200"/>
    </row>
    <row r="433" ht="15.75" customHeight="1">
      <c r="D433" s="200"/>
      <c r="H433" s="200"/>
      <c r="I433" s="200"/>
      <c r="J433" s="200"/>
      <c r="M433" s="200"/>
    </row>
    <row r="434" ht="15.75" customHeight="1">
      <c r="D434" s="200"/>
      <c r="H434" s="200"/>
      <c r="I434" s="200"/>
      <c r="J434" s="200"/>
      <c r="M434" s="200"/>
    </row>
    <row r="435" ht="15.75" customHeight="1">
      <c r="D435" s="200"/>
      <c r="H435" s="200"/>
      <c r="I435" s="200"/>
      <c r="J435" s="200"/>
      <c r="M435" s="200"/>
    </row>
    <row r="436" ht="15.75" customHeight="1">
      <c r="D436" s="200"/>
      <c r="H436" s="200"/>
      <c r="I436" s="200"/>
      <c r="J436" s="200"/>
      <c r="M436" s="200"/>
    </row>
    <row r="437" ht="15.75" customHeight="1">
      <c r="D437" s="200"/>
      <c r="H437" s="200"/>
      <c r="I437" s="200"/>
      <c r="J437" s="200"/>
      <c r="M437" s="200"/>
    </row>
    <row r="438" ht="15.75" customHeight="1">
      <c r="D438" s="200"/>
      <c r="H438" s="200"/>
      <c r="I438" s="200"/>
      <c r="J438" s="200"/>
      <c r="M438" s="200"/>
    </row>
    <row r="439" ht="15.75" customHeight="1">
      <c r="D439" s="200"/>
      <c r="H439" s="200"/>
      <c r="I439" s="200"/>
      <c r="J439" s="200"/>
      <c r="M439" s="200"/>
    </row>
    <row r="440" ht="15.75" customHeight="1">
      <c r="D440" s="200"/>
      <c r="H440" s="200"/>
      <c r="I440" s="200"/>
      <c r="J440" s="200"/>
      <c r="M440" s="200"/>
    </row>
    <row r="441" ht="15.75" customHeight="1">
      <c r="D441" s="200"/>
      <c r="H441" s="200"/>
      <c r="I441" s="200"/>
      <c r="J441" s="200"/>
      <c r="M441" s="200"/>
    </row>
    <row r="442" ht="15.75" customHeight="1">
      <c r="D442" s="200"/>
      <c r="H442" s="200"/>
      <c r="I442" s="200"/>
      <c r="J442" s="200"/>
      <c r="M442" s="200"/>
    </row>
    <row r="443" ht="15.75" customHeight="1">
      <c r="D443" s="200"/>
      <c r="H443" s="200"/>
      <c r="I443" s="200"/>
      <c r="J443" s="200"/>
      <c r="M443" s="200"/>
    </row>
    <row r="444" ht="15.75" customHeight="1">
      <c r="D444" s="200"/>
      <c r="H444" s="200"/>
      <c r="I444" s="200"/>
      <c r="J444" s="200"/>
      <c r="M444" s="200"/>
    </row>
    <row r="445" ht="15.75" customHeight="1">
      <c r="D445" s="200"/>
      <c r="H445" s="200"/>
      <c r="I445" s="200"/>
      <c r="J445" s="200"/>
      <c r="M445" s="200"/>
    </row>
    <row r="446" ht="15.75" customHeight="1">
      <c r="D446" s="200"/>
      <c r="H446" s="200"/>
      <c r="I446" s="200"/>
      <c r="J446" s="200"/>
      <c r="M446" s="200"/>
    </row>
    <row r="447" ht="15.75" customHeight="1">
      <c r="D447" s="200"/>
      <c r="H447" s="200"/>
      <c r="I447" s="200"/>
      <c r="J447" s="200"/>
      <c r="M447" s="200"/>
    </row>
    <row r="448" ht="15.75" customHeight="1">
      <c r="D448" s="200"/>
      <c r="H448" s="200"/>
      <c r="I448" s="200"/>
      <c r="J448" s="200"/>
      <c r="M448" s="200"/>
    </row>
    <row r="449" ht="15.75" customHeight="1">
      <c r="D449" s="200"/>
      <c r="H449" s="200"/>
      <c r="I449" s="200"/>
      <c r="J449" s="200"/>
      <c r="M449" s="200"/>
    </row>
    <row r="450" ht="15.75" customHeight="1">
      <c r="D450" s="200"/>
      <c r="H450" s="200"/>
      <c r="I450" s="200"/>
      <c r="J450" s="200"/>
      <c r="M450" s="200"/>
    </row>
    <row r="451" ht="15.75" customHeight="1">
      <c r="D451" s="200"/>
      <c r="H451" s="200"/>
      <c r="I451" s="200"/>
      <c r="J451" s="200"/>
      <c r="M451" s="200"/>
    </row>
    <row r="452" ht="15.75" customHeight="1">
      <c r="D452" s="200"/>
      <c r="H452" s="200"/>
      <c r="I452" s="200"/>
      <c r="J452" s="200"/>
      <c r="M452" s="200"/>
    </row>
    <row r="453" ht="15.75" customHeight="1">
      <c r="D453" s="200"/>
      <c r="H453" s="200"/>
      <c r="I453" s="200"/>
      <c r="J453" s="200"/>
      <c r="M453" s="200"/>
    </row>
    <row r="454" ht="15.75" customHeight="1">
      <c r="D454" s="200"/>
      <c r="H454" s="200"/>
      <c r="I454" s="200"/>
      <c r="J454" s="200"/>
      <c r="M454" s="200"/>
    </row>
    <row r="455" ht="15.75" customHeight="1">
      <c r="D455" s="200"/>
      <c r="H455" s="200"/>
      <c r="I455" s="200"/>
      <c r="J455" s="200"/>
      <c r="M455" s="200"/>
    </row>
    <row r="456" ht="15.75" customHeight="1">
      <c r="D456" s="200"/>
      <c r="H456" s="200"/>
      <c r="I456" s="200"/>
      <c r="J456" s="200"/>
      <c r="M456" s="200"/>
    </row>
    <row r="457" ht="15.75" customHeight="1">
      <c r="D457" s="200"/>
      <c r="H457" s="200"/>
      <c r="I457" s="200"/>
      <c r="J457" s="200"/>
      <c r="M457" s="200"/>
    </row>
    <row r="458" ht="15.75" customHeight="1">
      <c r="D458" s="200"/>
      <c r="H458" s="200"/>
      <c r="I458" s="200"/>
      <c r="J458" s="200"/>
      <c r="M458" s="200"/>
    </row>
    <row r="459" ht="15.75" customHeight="1">
      <c r="D459" s="200"/>
      <c r="H459" s="200"/>
      <c r="I459" s="200"/>
      <c r="J459" s="200"/>
      <c r="M459" s="200"/>
    </row>
    <row r="460" ht="15.75" customHeight="1">
      <c r="D460" s="200"/>
      <c r="H460" s="200"/>
      <c r="I460" s="200"/>
      <c r="J460" s="200"/>
      <c r="M460" s="200"/>
    </row>
    <row r="461" ht="15.75" customHeight="1">
      <c r="D461" s="200"/>
      <c r="H461" s="200"/>
      <c r="I461" s="200"/>
      <c r="J461" s="200"/>
      <c r="M461" s="200"/>
    </row>
    <row r="462" ht="15.75" customHeight="1">
      <c r="D462" s="200"/>
      <c r="H462" s="200"/>
      <c r="I462" s="200"/>
      <c r="J462" s="200"/>
      <c r="M462" s="200"/>
    </row>
    <row r="463" ht="15.75" customHeight="1">
      <c r="D463" s="200"/>
      <c r="H463" s="200"/>
      <c r="I463" s="200"/>
      <c r="J463" s="200"/>
      <c r="M463" s="200"/>
    </row>
    <row r="464" ht="15.75" customHeight="1">
      <c r="D464" s="200"/>
      <c r="H464" s="200"/>
      <c r="I464" s="200"/>
      <c r="J464" s="200"/>
      <c r="M464" s="200"/>
    </row>
    <row r="465" ht="15.75" customHeight="1">
      <c r="D465" s="200"/>
      <c r="H465" s="200"/>
      <c r="I465" s="200"/>
      <c r="J465" s="200"/>
      <c r="M465" s="200"/>
    </row>
    <row r="466" ht="15.75" customHeight="1">
      <c r="D466" s="200"/>
      <c r="H466" s="200"/>
      <c r="I466" s="200"/>
      <c r="J466" s="200"/>
      <c r="M466" s="200"/>
    </row>
    <row r="467" ht="15.75" customHeight="1">
      <c r="D467" s="200"/>
      <c r="H467" s="200"/>
      <c r="I467" s="200"/>
      <c r="J467" s="200"/>
      <c r="M467" s="200"/>
    </row>
    <row r="468" ht="15.75" customHeight="1">
      <c r="D468" s="200"/>
      <c r="H468" s="200"/>
      <c r="I468" s="200"/>
      <c r="J468" s="200"/>
      <c r="M468" s="200"/>
    </row>
    <row r="469" ht="15.75" customHeight="1">
      <c r="D469" s="200"/>
      <c r="H469" s="200"/>
      <c r="I469" s="200"/>
      <c r="J469" s="200"/>
      <c r="M469" s="200"/>
    </row>
    <row r="470" ht="15.75" customHeight="1">
      <c r="D470" s="200"/>
      <c r="H470" s="200"/>
      <c r="I470" s="200"/>
      <c r="J470" s="200"/>
      <c r="M470" s="200"/>
    </row>
    <row r="471" ht="15.75" customHeight="1">
      <c r="D471" s="200"/>
      <c r="H471" s="200"/>
      <c r="I471" s="200"/>
      <c r="J471" s="200"/>
      <c r="M471" s="200"/>
    </row>
    <row r="472" ht="15.75" customHeight="1">
      <c r="D472" s="200"/>
      <c r="H472" s="200"/>
      <c r="I472" s="200"/>
      <c r="J472" s="200"/>
      <c r="M472" s="200"/>
    </row>
    <row r="473" ht="15.75" customHeight="1">
      <c r="D473" s="200"/>
      <c r="H473" s="200"/>
      <c r="I473" s="200"/>
      <c r="J473" s="200"/>
      <c r="M473" s="200"/>
    </row>
    <row r="474" ht="15.75" customHeight="1">
      <c r="D474" s="200"/>
      <c r="H474" s="200"/>
      <c r="I474" s="200"/>
      <c r="J474" s="200"/>
      <c r="M474" s="200"/>
    </row>
    <row r="475" ht="15.75" customHeight="1">
      <c r="D475" s="200"/>
      <c r="H475" s="200"/>
      <c r="I475" s="200"/>
      <c r="J475" s="200"/>
      <c r="M475" s="200"/>
    </row>
    <row r="476" ht="15.75" customHeight="1">
      <c r="D476" s="200"/>
      <c r="H476" s="200"/>
      <c r="I476" s="200"/>
      <c r="J476" s="200"/>
      <c r="M476" s="200"/>
    </row>
    <row r="477" ht="15.75" customHeight="1">
      <c r="D477" s="200"/>
      <c r="H477" s="200"/>
      <c r="I477" s="200"/>
      <c r="J477" s="200"/>
      <c r="M477" s="200"/>
    </row>
    <row r="478" ht="15.75" customHeight="1">
      <c r="D478" s="200"/>
      <c r="H478" s="200"/>
      <c r="I478" s="200"/>
      <c r="J478" s="200"/>
      <c r="M478" s="200"/>
    </row>
    <row r="479" ht="15.75" customHeight="1">
      <c r="D479" s="200"/>
      <c r="H479" s="200"/>
      <c r="I479" s="200"/>
      <c r="J479" s="200"/>
      <c r="M479" s="200"/>
    </row>
    <row r="480" ht="15.75" customHeight="1">
      <c r="D480" s="200"/>
      <c r="H480" s="200"/>
      <c r="I480" s="200"/>
      <c r="J480" s="200"/>
      <c r="M480" s="200"/>
    </row>
    <row r="481" ht="15.75" customHeight="1">
      <c r="D481" s="200"/>
      <c r="H481" s="200"/>
      <c r="I481" s="200"/>
      <c r="J481" s="200"/>
      <c r="M481" s="200"/>
    </row>
    <row r="482" ht="15.75" customHeight="1">
      <c r="D482" s="200"/>
      <c r="H482" s="200"/>
      <c r="I482" s="200"/>
      <c r="J482" s="200"/>
      <c r="M482" s="200"/>
    </row>
    <row r="483" ht="15.75" customHeight="1">
      <c r="D483" s="200"/>
      <c r="H483" s="200"/>
      <c r="I483" s="200"/>
      <c r="J483" s="200"/>
      <c r="M483" s="200"/>
    </row>
    <row r="484" ht="15.75" customHeight="1">
      <c r="D484" s="200"/>
      <c r="H484" s="200"/>
      <c r="I484" s="200"/>
      <c r="J484" s="200"/>
      <c r="M484" s="200"/>
    </row>
    <row r="485" ht="15.75" customHeight="1">
      <c r="D485" s="200"/>
      <c r="H485" s="200"/>
      <c r="I485" s="200"/>
      <c r="J485" s="200"/>
      <c r="M485" s="200"/>
    </row>
    <row r="486" ht="15.75" customHeight="1">
      <c r="D486" s="200"/>
      <c r="H486" s="200"/>
      <c r="I486" s="200"/>
      <c r="J486" s="200"/>
      <c r="M486" s="200"/>
    </row>
    <row r="487" ht="15.75" customHeight="1">
      <c r="D487" s="200"/>
      <c r="H487" s="200"/>
      <c r="I487" s="200"/>
      <c r="J487" s="200"/>
      <c r="M487" s="200"/>
    </row>
    <row r="488" ht="15.75" customHeight="1">
      <c r="D488" s="200"/>
      <c r="H488" s="200"/>
      <c r="I488" s="200"/>
      <c r="J488" s="200"/>
      <c r="M488" s="200"/>
    </row>
    <row r="489" ht="15.75" customHeight="1">
      <c r="D489" s="200"/>
      <c r="H489" s="200"/>
      <c r="I489" s="200"/>
      <c r="J489" s="200"/>
      <c r="M489" s="200"/>
    </row>
    <row r="490" ht="15.75" customHeight="1">
      <c r="D490" s="200"/>
      <c r="H490" s="200"/>
      <c r="I490" s="200"/>
      <c r="J490" s="200"/>
      <c r="M490" s="200"/>
    </row>
    <row r="491" ht="15.75" customHeight="1">
      <c r="D491" s="200"/>
      <c r="H491" s="200"/>
      <c r="I491" s="200"/>
      <c r="J491" s="200"/>
      <c r="M491" s="200"/>
    </row>
    <row r="492" ht="15.75" customHeight="1">
      <c r="D492" s="200"/>
      <c r="H492" s="200"/>
      <c r="I492" s="200"/>
      <c r="J492" s="200"/>
      <c r="M492" s="200"/>
    </row>
    <row r="493" ht="15.75" customHeight="1">
      <c r="D493" s="200"/>
      <c r="H493" s="200"/>
      <c r="I493" s="200"/>
      <c r="J493" s="200"/>
      <c r="M493" s="200"/>
    </row>
    <row r="494" ht="15.75" customHeight="1">
      <c r="D494" s="200"/>
      <c r="H494" s="200"/>
      <c r="I494" s="200"/>
      <c r="J494" s="200"/>
      <c r="M494" s="200"/>
    </row>
    <row r="495" ht="15.75" customHeight="1">
      <c r="D495" s="200"/>
      <c r="H495" s="200"/>
      <c r="I495" s="200"/>
      <c r="J495" s="200"/>
      <c r="M495" s="200"/>
    </row>
    <row r="496" ht="15.75" customHeight="1">
      <c r="D496" s="200"/>
      <c r="H496" s="200"/>
      <c r="I496" s="200"/>
      <c r="J496" s="200"/>
      <c r="M496" s="200"/>
    </row>
    <row r="497" ht="15.75" customHeight="1">
      <c r="D497" s="200"/>
      <c r="H497" s="200"/>
      <c r="I497" s="200"/>
      <c r="J497" s="200"/>
      <c r="M497" s="200"/>
    </row>
    <row r="498" ht="15.75" customHeight="1">
      <c r="D498" s="200"/>
      <c r="H498" s="200"/>
      <c r="I498" s="200"/>
      <c r="J498" s="200"/>
      <c r="M498" s="200"/>
    </row>
    <row r="499" ht="15.75" customHeight="1">
      <c r="D499" s="200"/>
      <c r="H499" s="200"/>
      <c r="I499" s="200"/>
      <c r="J499" s="200"/>
      <c r="M499" s="200"/>
    </row>
    <row r="500" ht="15.75" customHeight="1">
      <c r="D500" s="200"/>
      <c r="H500" s="200"/>
      <c r="I500" s="200"/>
      <c r="J500" s="200"/>
      <c r="M500" s="200"/>
    </row>
    <row r="501" ht="15.75" customHeight="1">
      <c r="D501" s="200"/>
      <c r="H501" s="200"/>
      <c r="I501" s="200"/>
      <c r="J501" s="200"/>
      <c r="M501" s="200"/>
    </row>
    <row r="502" ht="15.75" customHeight="1">
      <c r="D502" s="200"/>
      <c r="H502" s="200"/>
      <c r="I502" s="200"/>
      <c r="J502" s="200"/>
      <c r="M502" s="200"/>
    </row>
    <row r="503" ht="15.75" customHeight="1">
      <c r="D503" s="200"/>
      <c r="H503" s="200"/>
      <c r="I503" s="200"/>
      <c r="J503" s="200"/>
      <c r="M503" s="200"/>
    </row>
    <row r="504" ht="15.75" customHeight="1">
      <c r="D504" s="200"/>
      <c r="H504" s="200"/>
      <c r="I504" s="200"/>
      <c r="J504" s="200"/>
      <c r="M504" s="200"/>
    </row>
    <row r="505" ht="15.75" customHeight="1">
      <c r="D505" s="200"/>
      <c r="H505" s="200"/>
      <c r="I505" s="200"/>
      <c r="J505" s="200"/>
      <c r="M505" s="200"/>
    </row>
    <row r="506" ht="15.75" customHeight="1">
      <c r="D506" s="200"/>
      <c r="H506" s="200"/>
      <c r="I506" s="200"/>
      <c r="J506" s="200"/>
      <c r="M506" s="200"/>
    </row>
    <row r="507" ht="15.75" customHeight="1">
      <c r="D507" s="200"/>
      <c r="H507" s="200"/>
      <c r="I507" s="200"/>
      <c r="J507" s="200"/>
      <c r="M507" s="200"/>
    </row>
    <row r="508" ht="15.75" customHeight="1">
      <c r="D508" s="200"/>
      <c r="H508" s="200"/>
      <c r="I508" s="200"/>
      <c r="J508" s="200"/>
      <c r="M508" s="200"/>
    </row>
    <row r="509" ht="15.75" customHeight="1">
      <c r="D509" s="200"/>
      <c r="H509" s="200"/>
      <c r="I509" s="200"/>
      <c r="J509" s="200"/>
      <c r="M509" s="200"/>
    </row>
    <row r="510" ht="15.75" customHeight="1">
      <c r="D510" s="200"/>
      <c r="H510" s="200"/>
      <c r="I510" s="200"/>
      <c r="J510" s="200"/>
      <c r="M510" s="200"/>
    </row>
    <row r="511" ht="15.75" customHeight="1">
      <c r="D511" s="200"/>
      <c r="H511" s="200"/>
      <c r="I511" s="200"/>
      <c r="J511" s="200"/>
      <c r="M511" s="200"/>
    </row>
    <row r="512" ht="15.75" customHeight="1">
      <c r="D512" s="200"/>
      <c r="H512" s="200"/>
      <c r="I512" s="200"/>
      <c r="J512" s="200"/>
      <c r="M512" s="200"/>
    </row>
    <row r="513" ht="15.75" customHeight="1">
      <c r="D513" s="200"/>
      <c r="H513" s="200"/>
      <c r="I513" s="200"/>
      <c r="J513" s="200"/>
      <c r="M513" s="200"/>
    </row>
    <row r="514" ht="15.75" customHeight="1">
      <c r="D514" s="200"/>
      <c r="H514" s="200"/>
      <c r="I514" s="200"/>
      <c r="J514" s="200"/>
      <c r="M514" s="200"/>
    </row>
    <row r="515" ht="15.75" customHeight="1">
      <c r="D515" s="200"/>
      <c r="H515" s="200"/>
      <c r="I515" s="200"/>
      <c r="J515" s="200"/>
      <c r="M515" s="200"/>
    </row>
    <row r="516" ht="15.75" customHeight="1">
      <c r="D516" s="200"/>
      <c r="H516" s="200"/>
      <c r="I516" s="200"/>
      <c r="J516" s="200"/>
      <c r="M516" s="200"/>
    </row>
    <row r="517" ht="15.75" customHeight="1">
      <c r="D517" s="200"/>
      <c r="H517" s="200"/>
      <c r="I517" s="200"/>
      <c r="J517" s="200"/>
      <c r="M517" s="200"/>
    </row>
    <row r="518" ht="15.75" customHeight="1">
      <c r="D518" s="200"/>
      <c r="H518" s="200"/>
      <c r="I518" s="200"/>
      <c r="J518" s="200"/>
      <c r="M518" s="200"/>
    </row>
    <row r="519" ht="15.75" customHeight="1">
      <c r="D519" s="200"/>
      <c r="H519" s="200"/>
      <c r="I519" s="200"/>
      <c r="J519" s="200"/>
      <c r="M519" s="200"/>
    </row>
    <row r="520" ht="15.75" customHeight="1">
      <c r="D520" s="200"/>
      <c r="H520" s="200"/>
      <c r="I520" s="200"/>
      <c r="J520" s="200"/>
      <c r="M520" s="200"/>
    </row>
    <row r="521" ht="15.75" customHeight="1">
      <c r="D521" s="200"/>
      <c r="H521" s="200"/>
      <c r="I521" s="200"/>
      <c r="J521" s="200"/>
      <c r="M521" s="200"/>
    </row>
    <row r="522" ht="15.75" customHeight="1">
      <c r="D522" s="200"/>
      <c r="H522" s="200"/>
      <c r="I522" s="200"/>
      <c r="J522" s="200"/>
      <c r="M522" s="200"/>
    </row>
    <row r="523" ht="15.75" customHeight="1">
      <c r="D523" s="200"/>
      <c r="H523" s="200"/>
      <c r="I523" s="200"/>
      <c r="J523" s="200"/>
      <c r="M523" s="200"/>
    </row>
    <row r="524" ht="15.75" customHeight="1">
      <c r="D524" s="200"/>
      <c r="H524" s="200"/>
      <c r="I524" s="200"/>
      <c r="J524" s="200"/>
      <c r="M524" s="200"/>
    </row>
    <row r="525" ht="15.75" customHeight="1">
      <c r="D525" s="200"/>
      <c r="H525" s="200"/>
      <c r="I525" s="200"/>
      <c r="J525" s="200"/>
      <c r="M525" s="200"/>
    </row>
    <row r="526" ht="15.75" customHeight="1">
      <c r="D526" s="200"/>
      <c r="H526" s="200"/>
      <c r="I526" s="200"/>
      <c r="J526" s="200"/>
      <c r="M526" s="200"/>
    </row>
    <row r="527" ht="15.75" customHeight="1">
      <c r="D527" s="200"/>
      <c r="H527" s="200"/>
      <c r="I527" s="200"/>
      <c r="J527" s="200"/>
      <c r="M527" s="200"/>
    </row>
    <row r="528" ht="15.75" customHeight="1">
      <c r="D528" s="200"/>
      <c r="H528" s="200"/>
      <c r="I528" s="200"/>
      <c r="J528" s="200"/>
      <c r="M528" s="200"/>
    </row>
    <row r="529" ht="15.75" customHeight="1">
      <c r="D529" s="200"/>
      <c r="H529" s="200"/>
      <c r="I529" s="200"/>
      <c r="J529" s="200"/>
      <c r="M529" s="200"/>
    </row>
    <row r="530" ht="15.75" customHeight="1">
      <c r="D530" s="200"/>
      <c r="H530" s="200"/>
      <c r="I530" s="200"/>
      <c r="J530" s="200"/>
      <c r="M530" s="200"/>
    </row>
    <row r="531" ht="15.75" customHeight="1">
      <c r="D531" s="200"/>
      <c r="H531" s="200"/>
      <c r="I531" s="200"/>
      <c r="J531" s="200"/>
      <c r="M531" s="200"/>
    </row>
    <row r="532" ht="15.75" customHeight="1">
      <c r="D532" s="200"/>
      <c r="H532" s="200"/>
      <c r="I532" s="200"/>
      <c r="J532" s="200"/>
      <c r="M532" s="200"/>
    </row>
    <row r="533" ht="15.75" customHeight="1">
      <c r="D533" s="200"/>
      <c r="H533" s="200"/>
      <c r="I533" s="200"/>
      <c r="J533" s="200"/>
      <c r="M533" s="200"/>
    </row>
    <row r="534" ht="15.75" customHeight="1">
      <c r="D534" s="200"/>
      <c r="H534" s="200"/>
      <c r="I534" s="200"/>
      <c r="J534" s="200"/>
      <c r="M534" s="200"/>
    </row>
    <row r="535" ht="15.75" customHeight="1">
      <c r="D535" s="200"/>
      <c r="H535" s="200"/>
      <c r="I535" s="200"/>
      <c r="J535" s="200"/>
      <c r="M535" s="200"/>
    </row>
    <row r="536" ht="15.75" customHeight="1">
      <c r="D536" s="200"/>
      <c r="H536" s="200"/>
      <c r="I536" s="200"/>
      <c r="J536" s="200"/>
      <c r="M536" s="200"/>
    </row>
    <row r="537" ht="15.75" customHeight="1">
      <c r="D537" s="200"/>
      <c r="H537" s="200"/>
      <c r="I537" s="200"/>
      <c r="J537" s="200"/>
      <c r="M537" s="200"/>
    </row>
    <row r="538" ht="15.75" customHeight="1">
      <c r="D538" s="200"/>
      <c r="H538" s="200"/>
      <c r="I538" s="200"/>
      <c r="J538" s="200"/>
      <c r="M538" s="200"/>
    </row>
    <row r="539" ht="15.75" customHeight="1">
      <c r="D539" s="200"/>
      <c r="H539" s="200"/>
      <c r="I539" s="200"/>
      <c r="J539" s="200"/>
      <c r="M539" s="200"/>
    </row>
    <row r="540" ht="15.75" customHeight="1">
      <c r="D540" s="200"/>
      <c r="H540" s="200"/>
      <c r="I540" s="200"/>
      <c r="J540" s="200"/>
      <c r="M540" s="200"/>
    </row>
    <row r="541" ht="15.75" customHeight="1">
      <c r="D541" s="200"/>
      <c r="H541" s="200"/>
      <c r="I541" s="200"/>
      <c r="J541" s="200"/>
      <c r="M541" s="200"/>
    </row>
    <row r="542" ht="15.75" customHeight="1">
      <c r="D542" s="200"/>
      <c r="H542" s="200"/>
      <c r="I542" s="200"/>
      <c r="J542" s="200"/>
      <c r="M542" s="200"/>
    </row>
    <row r="543" ht="15.75" customHeight="1">
      <c r="D543" s="200"/>
      <c r="H543" s="200"/>
      <c r="I543" s="200"/>
      <c r="J543" s="200"/>
      <c r="M543" s="200"/>
    </row>
    <row r="544" ht="15.75" customHeight="1">
      <c r="D544" s="200"/>
      <c r="H544" s="200"/>
      <c r="I544" s="200"/>
      <c r="J544" s="200"/>
      <c r="M544" s="200"/>
    </row>
    <row r="545" ht="15.75" customHeight="1">
      <c r="D545" s="200"/>
      <c r="H545" s="200"/>
      <c r="I545" s="200"/>
      <c r="J545" s="200"/>
      <c r="M545" s="200"/>
    </row>
    <row r="546" ht="15.75" customHeight="1">
      <c r="D546" s="200"/>
      <c r="H546" s="200"/>
      <c r="I546" s="200"/>
      <c r="J546" s="200"/>
      <c r="M546" s="200"/>
    </row>
    <row r="547" ht="15.75" customHeight="1">
      <c r="D547" s="200"/>
      <c r="H547" s="200"/>
      <c r="I547" s="200"/>
      <c r="J547" s="200"/>
      <c r="M547" s="200"/>
    </row>
    <row r="548" ht="15.75" customHeight="1">
      <c r="D548" s="200"/>
      <c r="H548" s="200"/>
      <c r="I548" s="200"/>
      <c r="J548" s="200"/>
      <c r="M548" s="200"/>
    </row>
    <row r="549" ht="15.75" customHeight="1">
      <c r="D549" s="200"/>
      <c r="H549" s="200"/>
      <c r="I549" s="200"/>
      <c r="J549" s="200"/>
      <c r="M549" s="200"/>
    </row>
    <row r="550" ht="15.75" customHeight="1">
      <c r="D550" s="200"/>
      <c r="H550" s="200"/>
      <c r="I550" s="200"/>
      <c r="J550" s="200"/>
      <c r="M550" s="200"/>
    </row>
    <row r="551" ht="15.75" customHeight="1">
      <c r="D551" s="200"/>
      <c r="H551" s="200"/>
      <c r="I551" s="200"/>
      <c r="J551" s="200"/>
      <c r="M551" s="200"/>
    </row>
    <row r="552" ht="15.75" customHeight="1">
      <c r="D552" s="200"/>
      <c r="H552" s="200"/>
      <c r="I552" s="200"/>
      <c r="J552" s="200"/>
      <c r="M552" s="200"/>
    </row>
    <row r="553" ht="15.75" customHeight="1">
      <c r="D553" s="200"/>
      <c r="H553" s="200"/>
      <c r="I553" s="200"/>
      <c r="J553" s="200"/>
      <c r="M553" s="200"/>
    </row>
    <row r="554" ht="15.75" customHeight="1">
      <c r="D554" s="200"/>
      <c r="H554" s="200"/>
      <c r="I554" s="200"/>
      <c r="J554" s="200"/>
      <c r="M554" s="200"/>
    </row>
    <row r="555" ht="15.75" customHeight="1">
      <c r="D555" s="200"/>
      <c r="H555" s="200"/>
      <c r="I555" s="200"/>
      <c r="J555" s="200"/>
      <c r="M555" s="200"/>
    </row>
    <row r="556" ht="15.75" customHeight="1">
      <c r="D556" s="200"/>
      <c r="H556" s="200"/>
      <c r="I556" s="200"/>
      <c r="J556" s="200"/>
      <c r="M556" s="200"/>
    </row>
    <row r="557" ht="15.75" customHeight="1">
      <c r="D557" s="200"/>
      <c r="H557" s="200"/>
      <c r="I557" s="200"/>
      <c r="J557" s="200"/>
      <c r="M557" s="200"/>
    </row>
    <row r="558" ht="15.75" customHeight="1">
      <c r="D558" s="200"/>
      <c r="H558" s="200"/>
      <c r="I558" s="200"/>
      <c r="J558" s="200"/>
      <c r="M558" s="200"/>
    </row>
    <row r="559" ht="15.75" customHeight="1">
      <c r="D559" s="200"/>
      <c r="H559" s="200"/>
      <c r="I559" s="200"/>
      <c r="J559" s="200"/>
      <c r="M559" s="200"/>
    </row>
    <row r="560" ht="15.75" customHeight="1">
      <c r="D560" s="200"/>
      <c r="H560" s="200"/>
      <c r="I560" s="200"/>
      <c r="J560" s="200"/>
      <c r="M560" s="200"/>
    </row>
    <row r="561" ht="15.75" customHeight="1">
      <c r="D561" s="200"/>
      <c r="H561" s="200"/>
      <c r="I561" s="200"/>
      <c r="J561" s="200"/>
      <c r="M561" s="200"/>
    </row>
    <row r="562" ht="15.75" customHeight="1">
      <c r="D562" s="200"/>
      <c r="H562" s="200"/>
      <c r="I562" s="200"/>
      <c r="J562" s="200"/>
      <c r="M562" s="200"/>
    </row>
    <row r="563" ht="15.75" customHeight="1">
      <c r="D563" s="200"/>
      <c r="H563" s="200"/>
      <c r="I563" s="200"/>
      <c r="J563" s="200"/>
      <c r="M563" s="200"/>
    </row>
    <row r="564" ht="15.75" customHeight="1">
      <c r="D564" s="200"/>
      <c r="H564" s="200"/>
      <c r="I564" s="200"/>
      <c r="J564" s="200"/>
      <c r="M564" s="200"/>
    </row>
    <row r="565" ht="15.75" customHeight="1">
      <c r="D565" s="200"/>
      <c r="H565" s="200"/>
      <c r="I565" s="200"/>
      <c r="J565" s="200"/>
      <c r="M565" s="200"/>
    </row>
    <row r="566" ht="15.75" customHeight="1">
      <c r="D566" s="200"/>
      <c r="H566" s="200"/>
      <c r="I566" s="200"/>
      <c r="J566" s="200"/>
      <c r="M566" s="200"/>
    </row>
    <row r="567" ht="15.75" customHeight="1">
      <c r="D567" s="200"/>
      <c r="H567" s="200"/>
      <c r="I567" s="200"/>
      <c r="J567" s="200"/>
      <c r="M567" s="200"/>
    </row>
    <row r="568" ht="15.75" customHeight="1">
      <c r="D568" s="200"/>
      <c r="H568" s="200"/>
      <c r="I568" s="200"/>
      <c r="J568" s="200"/>
      <c r="M568" s="200"/>
    </row>
    <row r="569" ht="15.75" customHeight="1">
      <c r="D569" s="200"/>
      <c r="H569" s="200"/>
      <c r="I569" s="200"/>
      <c r="J569" s="200"/>
      <c r="M569" s="200"/>
    </row>
    <row r="570" ht="15.75" customHeight="1">
      <c r="D570" s="200"/>
      <c r="H570" s="200"/>
      <c r="I570" s="200"/>
      <c r="J570" s="200"/>
      <c r="M570" s="200"/>
    </row>
    <row r="571" ht="15.75" customHeight="1">
      <c r="D571" s="200"/>
      <c r="H571" s="200"/>
      <c r="I571" s="200"/>
      <c r="J571" s="200"/>
      <c r="M571" s="200"/>
    </row>
    <row r="572" ht="15.75" customHeight="1">
      <c r="D572" s="200"/>
      <c r="H572" s="200"/>
      <c r="I572" s="200"/>
      <c r="J572" s="200"/>
      <c r="M572" s="200"/>
    </row>
    <row r="573" ht="15.75" customHeight="1">
      <c r="D573" s="200"/>
      <c r="H573" s="200"/>
      <c r="I573" s="200"/>
      <c r="J573" s="200"/>
      <c r="M573" s="200"/>
    </row>
    <row r="574" ht="15.75" customHeight="1">
      <c r="D574" s="200"/>
      <c r="H574" s="200"/>
      <c r="I574" s="200"/>
      <c r="J574" s="200"/>
      <c r="M574" s="200"/>
    </row>
    <row r="575" ht="15.75" customHeight="1">
      <c r="D575" s="200"/>
      <c r="H575" s="200"/>
      <c r="I575" s="200"/>
      <c r="J575" s="200"/>
      <c r="M575" s="200"/>
    </row>
    <row r="576" ht="15.75" customHeight="1">
      <c r="D576" s="200"/>
      <c r="H576" s="200"/>
      <c r="I576" s="200"/>
      <c r="J576" s="200"/>
      <c r="M576" s="200"/>
    </row>
    <row r="577" ht="15.75" customHeight="1">
      <c r="D577" s="200"/>
      <c r="H577" s="200"/>
      <c r="I577" s="200"/>
      <c r="J577" s="200"/>
      <c r="M577" s="200"/>
    </row>
    <row r="578" ht="15.75" customHeight="1">
      <c r="D578" s="200"/>
      <c r="H578" s="200"/>
      <c r="I578" s="200"/>
      <c r="J578" s="200"/>
      <c r="M578" s="200"/>
    </row>
    <row r="579" ht="15.75" customHeight="1">
      <c r="D579" s="200"/>
      <c r="H579" s="200"/>
      <c r="I579" s="200"/>
      <c r="J579" s="200"/>
      <c r="M579" s="200"/>
    </row>
    <row r="580" ht="15.75" customHeight="1">
      <c r="D580" s="200"/>
      <c r="H580" s="200"/>
      <c r="I580" s="200"/>
      <c r="J580" s="200"/>
      <c r="M580" s="200"/>
    </row>
    <row r="581" ht="15.75" customHeight="1">
      <c r="D581" s="200"/>
      <c r="H581" s="200"/>
      <c r="I581" s="200"/>
      <c r="J581" s="200"/>
      <c r="M581" s="200"/>
    </row>
    <row r="582" ht="15.75" customHeight="1">
      <c r="D582" s="200"/>
      <c r="H582" s="200"/>
      <c r="I582" s="200"/>
      <c r="J582" s="200"/>
      <c r="M582" s="200"/>
    </row>
    <row r="583" ht="15.75" customHeight="1">
      <c r="D583" s="200"/>
      <c r="H583" s="200"/>
      <c r="I583" s="200"/>
      <c r="J583" s="200"/>
      <c r="M583" s="200"/>
    </row>
    <row r="584" ht="15.75" customHeight="1">
      <c r="D584" s="200"/>
      <c r="H584" s="200"/>
      <c r="I584" s="200"/>
      <c r="J584" s="200"/>
      <c r="M584" s="200"/>
    </row>
    <row r="585" ht="15.75" customHeight="1">
      <c r="D585" s="200"/>
      <c r="H585" s="200"/>
      <c r="I585" s="200"/>
      <c r="J585" s="200"/>
      <c r="M585" s="200"/>
    </row>
    <row r="586" ht="15.75" customHeight="1">
      <c r="D586" s="200"/>
      <c r="H586" s="200"/>
      <c r="I586" s="200"/>
      <c r="J586" s="200"/>
      <c r="M586" s="200"/>
    </row>
    <row r="587" ht="15.75" customHeight="1">
      <c r="D587" s="200"/>
      <c r="H587" s="200"/>
      <c r="I587" s="200"/>
      <c r="J587" s="200"/>
      <c r="M587" s="200"/>
    </row>
    <row r="588" ht="15.75" customHeight="1">
      <c r="D588" s="200"/>
      <c r="H588" s="200"/>
      <c r="I588" s="200"/>
      <c r="J588" s="200"/>
      <c r="M588" s="200"/>
    </row>
    <row r="589" ht="15.75" customHeight="1">
      <c r="D589" s="200"/>
      <c r="H589" s="200"/>
      <c r="I589" s="200"/>
      <c r="J589" s="200"/>
      <c r="M589" s="200"/>
    </row>
    <row r="590" ht="15.75" customHeight="1">
      <c r="D590" s="200"/>
      <c r="H590" s="200"/>
      <c r="I590" s="200"/>
      <c r="J590" s="200"/>
      <c r="M590" s="200"/>
    </row>
    <row r="591" ht="15.75" customHeight="1">
      <c r="D591" s="200"/>
      <c r="H591" s="200"/>
      <c r="I591" s="200"/>
      <c r="J591" s="200"/>
      <c r="M591" s="200"/>
    </row>
    <row r="592" ht="15.75" customHeight="1">
      <c r="D592" s="200"/>
      <c r="H592" s="200"/>
      <c r="I592" s="200"/>
      <c r="J592" s="200"/>
      <c r="M592" s="200"/>
    </row>
    <row r="593" ht="15.75" customHeight="1">
      <c r="D593" s="200"/>
      <c r="H593" s="200"/>
      <c r="I593" s="200"/>
      <c r="J593" s="200"/>
      <c r="M593" s="200"/>
    </row>
    <row r="594" ht="15.75" customHeight="1">
      <c r="D594" s="200"/>
      <c r="H594" s="200"/>
      <c r="I594" s="200"/>
      <c r="J594" s="200"/>
      <c r="M594" s="200"/>
    </row>
    <row r="595" ht="15.75" customHeight="1">
      <c r="D595" s="200"/>
      <c r="H595" s="200"/>
      <c r="I595" s="200"/>
      <c r="J595" s="200"/>
      <c r="M595" s="200"/>
    </row>
    <row r="596" ht="15.75" customHeight="1">
      <c r="D596" s="200"/>
      <c r="H596" s="200"/>
      <c r="I596" s="200"/>
      <c r="J596" s="200"/>
      <c r="M596" s="200"/>
    </row>
    <row r="597" ht="15.75" customHeight="1">
      <c r="D597" s="200"/>
      <c r="H597" s="200"/>
      <c r="I597" s="200"/>
      <c r="J597" s="200"/>
      <c r="M597" s="200"/>
    </row>
    <row r="598" ht="15.75" customHeight="1">
      <c r="D598" s="200"/>
      <c r="H598" s="200"/>
      <c r="I598" s="200"/>
      <c r="J598" s="200"/>
      <c r="M598" s="200"/>
    </row>
    <row r="599" ht="15.75" customHeight="1">
      <c r="D599" s="200"/>
      <c r="H599" s="200"/>
      <c r="I599" s="200"/>
      <c r="J599" s="200"/>
      <c r="M599" s="200"/>
    </row>
    <row r="600" ht="15.75" customHeight="1">
      <c r="D600" s="200"/>
      <c r="H600" s="200"/>
      <c r="I600" s="200"/>
      <c r="J600" s="200"/>
      <c r="M600" s="200"/>
    </row>
    <row r="601" ht="15.75" customHeight="1">
      <c r="D601" s="200"/>
      <c r="H601" s="200"/>
      <c r="I601" s="200"/>
      <c r="J601" s="200"/>
      <c r="M601" s="200"/>
    </row>
    <row r="602" ht="15.75" customHeight="1">
      <c r="D602" s="200"/>
      <c r="H602" s="200"/>
      <c r="I602" s="200"/>
      <c r="J602" s="200"/>
      <c r="M602" s="200"/>
    </row>
    <row r="603" ht="15.75" customHeight="1">
      <c r="D603" s="200"/>
      <c r="H603" s="200"/>
      <c r="I603" s="200"/>
      <c r="J603" s="200"/>
      <c r="M603" s="200"/>
    </row>
    <row r="604" ht="15.75" customHeight="1">
      <c r="D604" s="200"/>
      <c r="H604" s="200"/>
      <c r="I604" s="200"/>
      <c r="J604" s="200"/>
      <c r="M604" s="200"/>
    </row>
    <row r="605" ht="15.75" customHeight="1">
      <c r="D605" s="200"/>
      <c r="H605" s="200"/>
      <c r="I605" s="200"/>
      <c r="J605" s="200"/>
      <c r="M605" s="200"/>
    </row>
    <row r="606" ht="15.75" customHeight="1">
      <c r="D606" s="200"/>
      <c r="H606" s="200"/>
      <c r="I606" s="200"/>
      <c r="J606" s="200"/>
      <c r="M606" s="200"/>
    </row>
    <row r="607" ht="15.75" customHeight="1">
      <c r="D607" s="200"/>
      <c r="H607" s="200"/>
      <c r="I607" s="200"/>
      <c r="J607" s="200"/>
      <c r="M607" s="200"/>
    </row>
    <row r="608" ht="15.75" customHeight="1">
      <c r="D608" s="200"/>
      <c r="H608" s="200"/>
      <c r="I608" s="200"/>
      <c r="J608" s="200"/>
      <c r="M608" s="200"/>
    </row>
    <row r="609" ht="15.75" customHeight="1">
      <c r="D609" s="200"/>
      <c r="H609" s="200"/>
      <c r="I609" s="200"/>
      <c r="J609" s="200"/>
      <c r="M609" s="200"/>
    </row>
    <row r="610" ht="15.75" customHeight="1">
      <c r="D610" s="200"/>
      <c r="H610" s="200"/>
      <c r="I610" s="200"/>
      <c r="J610" s="200"/>
      <c r="M610" s="200"/>
    </row>
    <row r="611" ht="15.75" customHeight="1">
      <c r="D611" s="200"/>
      <c r="H611" s="200"/>
      <c r="I611" s="200"/>
      <c r="J611" s="200"/>
      <c r="M611" s="200"/>
    </row>
    <row r="612" ht="15.75" customHeight="1">
      <c r="D612" s="200"/>
      <c r="H612" s="200"/>
      <c r="I612" s="200"/>
      <c r="J612" s="200"/>
      <c r="M612" s="200"/>
    </row>
    <row r="613" ht="15.75" customHeight="1">
      <c r="D613" s="200"/>
      <c r="H613" s="200"/>
      <c r="I613" s="200"/>
      <c r="J613" s="200"/>
      <c r="M613" s="200"/>
    </row>
    <row r="614" ht="15.75" customHeight="1">
      <c r="D614" s="200"/>
      <c r="H614" s="200"/>
      <c r="I614" s="200"/>
      <c r="J614" s="200"/>
      <c r="M614" s="200"/>
    </row>
    <row r="615" ht="15.75" customHeight="1">
      <c r="D615" s="200"/>
      <c r="H615" s="200"/>
      <c r="I615" s="200"/>
      <c r="J615" s="200"/>
      <c r="M615" s="200"/>
    </row>
    <row r="616" ht="15.75" customHeight="1">
      <c r="D616" s="200"/>
      <c r="H616" s="200"/>
      <c r="I616" s="200"/>
      <c r="J616" s="200"/>
      <c r="M616" s="200"/>
    </row>
    <row r="617" ht="15.75" customHeight="1">
      <c r="D617" s="200"/>
      <c r="H617" s="200"/>
      <c r="I617" s="200"/>
      <c r="J617" s="200"/>
      <c r="M617" s="200"/>
    </row>
    <row r="618" ht="15.75" customHeight="1">
      <c r="D618" s="200"/>
      <c r="H618" s="200"/>
      <c r="I618" s="200"/>
      <c r="J618" s="200"/>
      <c r="M618" s="200"/>
    </row>
    <row r="619" ht="15.75" customHeight="1">
      <c r="D619" s="200"/>
      <c r="H619" s="200"/>
      <c r="I619" s="200"/>
      <c r="J619" s="200"/>
      <c r="M619" s="200"/>
    </row>
    <row r="620" ht="15.75" customHeight="1">
      <c r="D620" s="200"/>
      <c r="H620" s="200"/>
      <c r="I620" s="200"/>
      <c r="J620" s="200"/>
      <c r="M620" s="200"/>
    </row>
    <row r="621" ht="15.75" customHeight="1">
      <c r="D621" s="200"/>
      <c r="H621" s="200"/>
      <c r="I621" s="200"/>
      <c r="J621" s="200"/>
      <c r="M621" s="200"/>
    </row>
    <row r="622" ht="15.75" customHeight="1">
      <c r="D622" s="200"/>
      <c r="H622" s="200"/>
      <c r="I622" s="200"/>
      <c r="J622" s="200"/>
      <c r="M622" s="200"/>
    </row>
    <row r="623" ht="15.75" customHeight="1">
      <c r="D623" s="200"/>
      <c r="H623" s="200"/>
      <c r="I623" s="200"/>
      <c r="J623" s="200"/>
      <c r="M623" s="200"/>
    </row>
    <row r="624" ht="15.75" customHeight="1">
      <c r="D624" s="200"/>
      <c r="H624" s="200"/>
      <c r="I624" s="200"/>
      <c r="J624" s="200"/>
      <c r="M624" s="200"/>
    </row>
    <row r="625" ht="15.75" customHeight="1">
      <c r="D625" s="200"/>
      <c r="H625" s="200"/>
      <c r="I625" s="200"/>
      <c r="J625" s="200"/>
      <c r="M625" s="200"/>
    </row>
    <row r="626" ht="15.75" customHeight="1">
      <c r="D626" s="200"/>
      <c r="H626" s="200"/>
      <c r="I626" s="200"/>
      <c r="J626" s="200"/>
      <c r="M626" s="200"/>
    </row>
    <row r="627" ht="15.75" customHeight="1">
      <c r="D627" s="200"/>
      <c r="H627" s="200"/>
      <c r="I627" s="200"/>
      <c r="J627" s="200"/>
      <c r="M627" s="200"/>
    </row>
    <row r="628" ht="15.75" customHeight="1">
      <c r="D628" s="200"/>
      <c r="H628" s="200"/>
      <c r="I628" s="200"/>
      <c r="J628" s="200"/>
      <c r="M628" s="200"/>
    </row>
    <row r="629" ht="15.75" customHeight="1">
      <c r="D629" s="200"/>
      <c r="H629" s="200"/>
      <c r="I629" s="200"/>
      <c r="J629" s="200"/>
      <c r="M629" s="200"/>
    </row>
    <row r="630" ht="15.75" customHeight="1">
      <c r="D630" s="200"/>
      <c r="H630" s="200"/>
      <c r="I630" s="200"/>
      <c r="J630" s="200"/>
      <c r="M630" s="200"/>
    </row>
    <row r="631" ht="15.75" customHeight="1">
      <c r="D631" s="200"/>
      <c r="H631" s="200"/>
      <c r="I631" s="200"/>
      <c r="J631" s="200"/>
      <c r="M631" s="200"/>
    </row>
    <row r="632" ht="15.75" customHeight="1">
      <c r="D632" s="200"/>
      <c r="H632" s="200"/>
      <c r="I632" s="200"/>
      <c r="J632" s="200"/>
      <c r="M632" s="200"/>
    </row>
    <row r="633" ht="15.75" customHeight="1">
      <c r="D633" s="200"/>
      <c r="H633" s="200"/>
      <c r="I633" s="200"/>
      <c r="J633" s="200"/>
      <c r="M633" s="200"/>
    </row>
    <row r="634" ht="15.75" customHeight="1">
      <c r="D634" s="200"/>
      <c r="H634" s="200"/>
      <c r="I634" s="200"/>
      <c r="J634" s="200"/>
      <c r="M634" s="200"/>
    </row>
    <row r="635" ht="15.75" customHeight="1">
      <c r="D635" s="200"/>
      <c r="H635" s="200"/>
      <c r="I635" s="200"/>
      <c r="J635" s="200"/>
      <c r="M635" s="200"/>
    </row>
    <row r="636" ht="15.75" customHeight="1">
      <c r="D636" s="200"/>
      <c r="H636" s="200"/>
      <c r="I636" s="200"/>
      <c r="J636" s="200"/>
      <c r="M636" s="200"/>
    </row>
    <row r="637" ht="15.75" customHeight="1">
      <c r="D637" s="200"/>
      <c r="H637" s="200"/>
      <c r="I637" s="200"/>
      <c r="J637" s="200"/>
      <c r="M637" s="200"/>
    </row>
    <row r="638" ht="15.75" customHeight="1">
      <c r="D638" s="200"/>
      <c r="H638" s="200"/>
      <c r="I638" s="200"/>
      <c r="J638" s="200"/>
      <c r="M638" s="200"/>
    </row>
    <row r="639" ht="15.75" customHeight="1">
      <c r="D639" s="200"/>
      <c r="H639" s="200"/>
      <c r="I639" s="200"/>
      <c r="J639" s="200"/>
      <c r="M639" s="200"/>
    </row>
    <row r="640" ht="15.75" customHeight="1">
      <c r="D640" s="200"/>
      <c r="H640" s="200"/>
      <c r="I640" s="200"/>
      <c r="J640" s="200"/>
      <c r="M640" s="200"/>
    </row>
    <row r="641" ht="15.75" customHeight="1">
      <c r="D641" s="200"/>
      <c r="H641" s="200"/>
      <c r="I641" s="200"/>
      <c r="J641" s="200"/>
      <c r="M641" s="200"/>
    </row>
    <row r="642" ht="15.75" customHeight="1">
      <c r="D642" s="200"/>
      <c r="H642" s="200"/>
      <c r="I642" s="200"/>
      <c r="J642" s="200"/>
      <c r="M642" s="200"/>
    </row>
    <row r="643" ht="15.75" customHeight="1">
      <c r="D643" s="200"/>
      <c r="H643" s="200"/>
      <c r="I643" s="200"/>
      <c r="J643" s="200"/>
      <c r="M643" s="200"/>
    </row>
    <row r="644" ht="15.75" customHeight="1">
      <c r="D644" s="200"/>
      <c r="H644" s="200"/>
      <c r="I644" s="200"/>
      <c r="J644" s="200"/>
      <c r="M644" s="200"/>
    </row>
    <row r="645" ht="15.75" customHeight="1">
      <c r="D645" s="200"/>
      <c r="H645" s="200"/>
      <c r="I645" s="200"/>
      <c r="J645" s="200"/>
      <c r="M645" s="200"/>
    </row>
    <row r="646" ht="15.75" customHeight="1">
      <c r="D646" s="200"/>
      <c r="H646" s="200"/>
      <c r="I646" s="200"/>
      <c r="J646" s="200"/>
      <c r="M646" s="200"/>
    </row>
    <row r="647" ht="15.75" customHeight="1">
      <c r="D647" s="200"/>
      <c r="H647" s="200"/>
      <c r="I647" s="200"/>
      <c r="J647" s="200"/>
      <c r="M647" s="200"/>
    </row>
    <row r="648" ht="15.75" customHeight="1">
      <c r="D648" s="200"/>
      <c r="H648" s="200"/>
      <c r="I648" s="200"/>
      <c r="J648" s="200"/>
      <c r="M648" s="200"/>
    </row>
    <row r="649" ht="15.75" customHeight="1">
      <c r="D649" s="200"/>
      <c r="H649" s="200"/>
      <c r="I649" s="200"/>
      <c r="J649" s="200"/>
      <c r="M649" s="200"/>
    </row>
    <row r="650" ht="15.75" customHeight="1">
      <c r="D650" s="200"/>
      <c r="H650" s="200"/>
      <c r="I650" s="200"/>
      <c r="J650" s="200"/>
      <c r="M650" s="200"/>
    </row>
    <row r="651" ht="15.75" customHeight="1">
      <c r="D651" s="200"/>
      <c r="H651" s="200"/>
      <c r="I651" s="200"/>
      <c r="J651" s="200"/>
      <c r="M651" s="200"/>
    </row>
    <row r="652" ht="15.75" customHeight="1">
      <c r="D652" s="200"/>
      <c r="H652" s="200"/>
      <c r="I652" s="200"/>
      <c r="J652" s="200"/>
      <c r="M652" s="200"/>
    </row>
    <row r="653" ht="15.75" customHeight="1">
      <c r="D653" s="200"/>
      <c r="H653" s="200"/>
      <c r="I653" s="200"/>
      <c r="J653" s="200"/>
      <c r="M653" s="200"/>
    </row>
    <row r="654" ht="15.75" customHeight="1">
      <c r="D654" s="200"/>
      <c r="H654" s="200"/>
      <c r="I654" s="200"/>
      <c r="J654" s="200"/>
      <c r="M654" s="200"/>
    </row>
    <row r="655" ht="15.75" customHeight="1">
      <c r="D655" s="200"/>
      <c r="H655" s="200"/>
      <c r="I655" s="200"/>
      <c r="J655" s="200"/>
      <c r="M655" s="200"/>
    </row>
    <row r="656" ht="15.75" customHeight="1">
      <c r="D656" s="200"/>
      <c r="H656" s="200"/>
      <c r="I656" s="200"/>
      <c r="J656" s="200"/>
      <c r="M656" s="200"/>
    </row>
    <row r="657" ht="15.75" customHeight="1">
      <c r="D657" s="200"/>
      <c r="H657" s="200"/>
      <c r="I657" s="200"/>
      <c r="J657" s="200"/>
      <c r="M657" s="200"/>
    </row>
    <row r="658" ht="15.75" customHeight="1">
      <c r="D658" s="200"/>
      <c r="H658" s="200"/>
      <c r="I658" s="200"/>
      <c r="J658" s="200"/>
      <c r="M658" s="200"/>
    </row>
    <row r="659" ht="15.75" customHeight="1">
      <c r="D659" s="200"/>
      <c r="H659" s="200"/>
      <c r="I659" s="200"/>
      <c r="J659" s="200"/>
      <c r="M659" s="200"/>
    </row>
    <row r="660" ht="15.75" customHeight="1">
      <c r="D660" s="200"/>
      <c r="H660" s="200"/>
      <c r="I660" s="200"/>
      <c r="J660" s="200"/>
      <c r="M660" s="200"/>
    </row>
    <row r="661" ht="15.75" customHeight="1">
      <c r="D661" s="200"/>
      <c r="H661" s="200"/>
      <c r="I661" s="200"/>
      <c r="J661" s="200"/>
      <c r="M661" s="200"/>
    </row>
    <row r="662" ht="15.75" customHeight="1">
      <c r="D662" s="200"/>
      <c r="H662" s="200"/>
      <c r="I662" s="200"/>
      <c r="J662" s="200"/>
      <c r="M662" s="200"/>
    </row>
    <row r="663" ht="15.75" customHeight="1">
      <c r="D663" s="200"/>
      <c r="H663" s="200"/>
      <c r="I663" s="200"/>
      <c r="J663" s="200"/>
      <c r="M663" s="200"/>
    </row>
    <row r="664" ht="15.75" customHeight="1">
      <c r="D664" s="200"/>
      <c r="H664" s="200"/>
      <c r="I664" s="200"/>
      <c r="J664" s="200"/>
      <c r="M664" s="200"/>
    </row>
    <row r="665" ht="15.75" customHeight="1">
      <c r="D665" s="200"/>
      <c r="H665" s="200"/>
      <c r="I665" s="200"/>
      <c r="J665" s="200"/>
      <c r="M665" s="200"/>
    </row>
    <row r="666" ht="15.75" customHeight="1">
      <c r="D666" s="200"/>
      <c r="H666" s="200"/>
      <c r="I666" s="200"/>
      <c r="J666" s="200"/>
      <c r="M666" s="200"/>
    </row>
    <row r="667" ht="15.75" customHeight="1">
      <c r="D667" s="200"/>
      <c r="H667" s="200"/>
      <c r="I667" s="200"/>
      <c r="J667" s="200"/>
      <c r="M667" s="200"/>
    </row>
    <row r="668" ht="15.75" customHeight="1">
      <c r="D668" s="200"/>
      <c r="H668" s="200"/>
      <c r="I668" s="200"/>
      <c r="J668" s="200"/>
      <c r="M668" s="200"/>
    </row>
    <row r="669" ht="15.75" customHeight="1">
      <c r="D669" s="200"/>
      <c r="H669" s="200"/>
      <c r="I669" s="200"/>
      <c r="J669" s="200"/>
      <c r="M669" s="200"/>
    </row>
    <row r="670" ht="15.75" customHeight="1">
      <c r="D670" s="200"/>
      <c r="H670" s="200"/>
      <c r="I670" s="200"/>
      <c r="J670" s="200"/>
      <c r="M670" s="200"/>
    </row>
    <row r="671" ht="15.75" customHeight="1">
      <c r="D671" s="200"/>
      <c r="H671" s="200"/>
      <c r="I671" s="200"/>
      <c r="J671" s="200"/>
      <c r="M671" s="200"/>
    </row>
    <row r="672" ht="15.75" customHeight="1">
      <c r="D672" s="200"/>
      <c r="H672" s="200"/>
      <c r="I672" s="200"/>
      <c r="J672" s="200"/>
      <c r="M672" s="200"/>
    </row>
    <row r="673" ht="15.75" customHeight="1">
      <c r="D673" s="200"/>
      <c r="H673" s="200"/>
      <c r="I673" s="200"/>
      <c r="J673" s="200"/>
      <c r="M673" s="200"/>
    </row>
    <row r="674" ht="15.75" customHeight="1">
      <c r="D674" s="200"/>
      <c r="H674" s="200"/>
      <c r="I674" s="200"/>
      <c r="J674" s="200"/>
      <c r="M674" s="200"/>
    </row>
    <row r="675" ht="15.75" customHeight="1">
      <c r="D675" s="200"/>
      <c r="H675" s="200"/>
      <c r="I675" s="200"/>
      <c r="J675" s="200"/>
      <c r="M675" s="200"/>
    </row>
    <row r="676" ht="15.75" customHeight="1">
      <c r="D676" s="200"/>
      <c r="H676" s="200"/>
      <c r="I676" s="200"/>
      <c r="J676" s="200"/>
      <c r="M676" s="200"/>
    </row>
    <row r="677" ht="15.75" customHeight="1">
      <c r="D677" s="200"/>
      <c r="H677" s="200"/>
      <c r="I677" s="200"/>
      <c r="J677" s="200"/>
      <c r="M677" s="200"/>
    </row>
    <row r="678" ht="15.75" customHeight="1">
      <c r="D678" s="200"/>
      <c r="H678" s="200"/>
      <c r="I678" s="200"/>
      <c r="J678" s="200"/>
      <c r="M678" s="200"/>
    </row>
    <row r="679" ht="15.75" customHeight="1">
      <c r="D679" s="200"/>
      <c r="H679" s="200"/>
      <c r="I679" s="200"/>
      <c r="J679" s="200"/>
      <c r="M679" s="200"/>
    </row>
    <row r="680" ht="15.75" customHeight="1">
      <c r="D680" s="200"/>
      <c r="H680" s="200"/>
      <c r="I680" s="200"/>
      <c r="J680" s="200"/>
      <c r="M680" s="200"/>
    </row>
    <row r="681" ht="15.75" customHeight="1">
      <c r="D681" s="200"/>
      <c r="H681" s="200"/>
      <c r="I681" s="200"/>
      <c r="J681" s="200"/>
      <c r="M681" s="200"/>
    </row>
    <row r="682" ht="15.75" customHeight="1">
      <c r="D682" s="200"/>
      <c r="H682" s="200"/>
      <c r="I682" s="200"/>
      <c r="J682" s="200"/>
      <c r="M682" s="200"/>
    </row>
    <row r="683" ht="15.75" customHeight="1">
      <c r="D683" s="200"/>
      <c r="H683" s="200"/>
      <c r="I683" s="200"/>
      <c r="J683" s="200"/>
      <c r="M683" s="200"/>
    </row>
    <row r="684" ht="15.75" customHeight="1">
      <c r="D684" s="200"/>
      <c r="H684" s="200"/>
      <c r="I684" s="200"/>
      <c r="J684" s="200"/>
      <c r="M684" s="200"/>
    </row>
    <row r="685" ht="15.75" customHeight="1">
      <c r="D685" s="200"/>
      <c r="H685" s="200"/>
      <c r="I685" s="200"/>
      <c r="J685" s="200"/>
      <c r="M685" s="200"/>
    </row>
    <row r="686" ht="15.75" customHeight="1">
      <c r="D686" s="200"/>
      <c r="H686" s="200"/>
      <c r="I686" s="200"/>
      <c r="J686" s="200"/>
      <c r="M686" s="200"/>
    </row>
    <row r="687" ht="15.75" customHeight="1">
      <c r="D687" s="200"/>
      <c r="H687" s="200"/>
      <c r="I687" s="200"/>
      <c r="J687" s="200"/>
      <c r="M687" s="200"/>
    </row>
    <row r="688" ht="15.75" customHeight="1">
      <c r="D688" s="200"/>
      <c r="H688" s="200"/>
      <c r="I688" s="200"/>
      <c r="J688" s="200"/>
      <c r="M688" s="200"/>
    </row>
    <row r="689" ht="15.75" customHeight="1">
      <c r="D689" s="200"/>
      <c r="H689" s="200"/>
      <c r="I689" s="200"/>
      <c r="J689" s="200"/>
      <c r="M689" s="200"/>
    </row>
    <row r="690" ht="15.75" customHeight="1">
      <c r="D690" s="200"/>
      <c r="H690" s="200"/>
      <c r="I690" s="200"/>
      <c r="J690" s="200"/>
      <c r="M690" s="200"/>
    </row>
    <row r="691" ht="15.75" customHeight="1">
      <c r="D691" s="200"/>
      <c r="H691" s="200"/>
      <c r="I691" s="200"/>
      <c r="J691" s="200"/>
      <c r="M691" s="200"/>
    </row>
    <row r="692" ht="15.75" customHeight="1">
      <c r="D692" s="200"/>
      <c r="H692" s="200"/>
      <c r="I692" s="200"/>
      <c r="J692" s="200"/>
      <c r="M692" s="200"/>
    </row>
    <row r="693" ht="15.75" customHeight="1">
      <c r="D693" s="200"/>
      <c r="H693" s="200"/>
      <c r="I693" s="200"/>
      <c r="J693" s="200"/>
      <c r="M693" s="200"/>
    </row>
    <row r="694" ht="15.75" customHeight="1">
      <c r="D694" s="200"/>
      <c r="H694" s="200"/>
      <c r="I694" s="200"/>
      <c r="J694" s="200"/>
      <c r="M694" s="200"/>
    </row>
    <row r="695" ht="15.75" customHeight="1">
      <c r="D695" s="200"/>
      <c r="H695" s="200"/>
      <c r="I695" s="200"/>
      <c r="J695" s="200"/>
      <c r="M695" s="200"/>
    </row>
    <row r="696" ht="15.75" customHeight="1">
      <c r="D696" s="200"/>
      <c r="H696" s="200"/>
      <c r="I696" s="200"/>
      <c r="J696" s="200"/>
      <c r="M696" s="200"/>
    </row>
    <row r="697" ht="15.75" customHeight="1">
      <c r="D697" s="200"/>
      <c r="H697" s="200"/>
      <c r="I697" s="200"/>
      <c r="J697" s="200"/>
      <c r="M697" s="200"/>
    </row>
    <row r="698" ht="15.75" customHeight="1">
      <c r="D698" s="200"/>
      <c r="H698" s="200"/>
      <c r="I698" s="200"/>
      <c r="J698" s="200"/>
      <c r="M698" s="200"/>
    </row>
    <row r="699" ht="15.75" customHeight="1">
      <c r="D699" s="200"/>
      <c r="H699" s="200"/>
      <c r="I699" s="200"/>
      <c r="J699" s="200"/>
      <c r="M699" s="200"/>
    </row>
    <row r="700" ht="15.75" customHeight="1">
      <c r="D700" s="200"/>
      <c r="H700" s="200"/>
      <c r="I700" s="200"/>
      <c r="J700" s="200"/>
      <c r="M700" s="200"/>
    </row>
    <row r="701" ht="15.75" customHeight="1">
      <c r="D701" s="200"/>
      <c r="H701" s="200"/>
      <c r="I701" s="200"/>
      <c r="J701" s="200"/>
      <c r="M701" s="200"/>
    </row>
    <row r="702" ht="15.75" customHeight="1">
      <c r="D702" s="200"/>
      <c r="H702" s="200"/>
      <c r="I702" s="200"/>
      <c r="J702" s="200"/>
      <c r="M702" s="200"/>
    </row>
    <row r="703" ht="15.75" customHeight="1">
      <c r="D703" s="200"/>
      <c r="H703" s="200"/>
      <c r="I703" s="200"/>
      <c r="J703" s="200"/>
      <c r="M703" s="200"/>
    </row>
    <row r="704" ht="15.75" customHeight="1">
      <c r="D704" s="200"/>
      <c r="H704" s="200"/>
      <c r="I704" s="200"/>
      <c r="J704" s="200"/>
      <c r="M704" s="200"/>
    </row>
    <row r="705" ht="15.75" customHeight="1">
      <c r="D705" s="200"/>
      <c r="H705" s="200"/>
      <c r="I705" s="200"/>
      <c r="J705" s="200"/>
      <c r="M705" s="200"/>
    </row>
    <row r="706" ht="15.75" customHeight="1">
      <c r="D706" s="200"/>
      <c r="H706" s="200"/>
      <c r="I706" s="200"/>
      <c r="J706" s="200"/>
      <c r="M706" s="200"/>
    </row>
    <row r="707" ht="15.75" customHeight="1">
      <c r="D707" s="200"/>
      <c r="H707" s="200"/>
      <c r="I707" s="200"/>
      <c r="J707" s="200"/>
      <c r="M707" s="200"/>
    </row>
    <row r="708" ht="15.75" customHeight="1">
      <c r="D708" s="200"/>
      <c r="H708" s="200"/>
      <c r="I708" s="200"/>
      <c r="J708" s="200"/>
      <c r="M708" s="200"/>
    </row>
    <row r="709" ht="15.75" customHeight="1">
      <c r="D709" s="200"/>
      <c r="H709" s="200"/>
      <c r="I709" s="200"/>
      <c r="J709" s="200"/>
      <c r="M709" s="200"/>
    </row>
    <row r="710" ht="15.75" customHeight="1">
      <c r="D710" s="200"/>
      <c r="H710" s="200"/>
      <c r="I710" s="200"/>
      <c r="J710" s="200"/>
      <c r="M710" s="200"/>
    </row>
    <row r="711" ht="15.75" customHeight="1">
      <c r="D711" s="200"/>
      <c r="H711" s="200"/>
      <c r="I711" s="200"/>
      <c r="J711" s="200"/>
      <c r="M711" s="200"/>
    </row>
    <row r="712" ht="15.75" customHeight="1">
      <c r="D712" s="200"/>
      <c r="H712" s="200"/>
      <c r="I712" s="200"/>
      <c r="J712" s="200"/>
      <c r="M712" s="200"/>
    </row>
    <row r="713" ht="15.75" customHeight="1">
      <c r="D713" s="200"/>
      <c r="H713" s="200"/>
      <c r="I713" s="200"/>
      <c r="J713" s="200"/>
      <c r="M713" s="200"/>
    </row>
    <row r="714" ht="15.75" customHeight="1">
      <c r="D714" s="200"/>
      <c r="H714" s="200"/>
      <c r="I714" s="200"/>
      <c r="J714" s="200"/>
      <c r="M714" s="200"/>
    </row>
    <row r="715" ht="15.75" customHeight="1">
      <c r="D715" s="200"/>
      <c r="H715" s="200"/>
      <c r="I715" s="200"/>
      <c r="J715" s="200"/>
      <c r="M715" s="200"/>
    </row>
    <row r="716" ht="15.75" customHeight="1">
      <c r="D716" s="200"/>
      <c r="H716" s="200"/>
      <c r="I716" s="200"/>
      <c r="J716" s="200"/>
      <c r="M716" s="200"/>
    </row>
    <row r="717" ht="15.75" customHeight="1">
      <c r="D717" s="200"/>
      <c r="H717" s="200"/>
      <c r="I717" s="200"/>
      <c r="J717" s="200"/>
      <c r="M717" s="200"/>
    </row>
    <row r="718" ht="15.75" customHeight="1">
      <c r="D718" s="200"/>
      <c r="H718" s="200"/>
      <c r="I718" s="200"/>
      <c r="J718" s="200"/>
      <c r="M718" s="200"/>
    </row>
    <row r="719" ht="15.75" customHeight="1">
      <c r="D719" s="200"/>
      <c r="H719" s="200"/>
      <c r="I719" s="200"/>
      <c r="J719" s="200"/>
      <c r="M719" s="200"/>
    </row>
    <row r="720" ht="15.75" customHeight="1">
      <c r="D720" s="200"/>
      <c r="H720" s="200"/>
      <c r="I720" s="200"/>
      <c r="J720" s="200"/>
      <c r="M720" s="200"/>
    </row>
    <row r="721" ht="15.75" customHeight="1">
      <c r="D721" s="200"/>
      <c r="H721" s="200"/>
      <c r="I721" s="200"/>
      <c r="J721" s="200"/>
      <c r="M721" s="200"/>
    </row>
    <row r="722" ht="15.75" customHeight="1">
      <c r="D722" s="200"/>
      <c r="H722" s="200"/>
      <c r="I722" s="200"/>
      <c r="J722" s="200"/>
      <c r="M722" s="200"/>
    </row>
    <row r="723" ht="15.75" customHeight="1">
      <c r="D723" s="200"/>
      <c r="H723" s="200"/>
      <c r="I723" s="200"/>
      <c r="J723" s="200"/>
      <c r="M723" s="200"/>
    </row>
    <row r="724" ht="15.75" customHeight="1">
      <c r="D724" s="200"/>
      <c r="H724" s="200"/>
      <c r="I724" s="200"/>
      <c r="J724" s="200"/>
      <c r="M724" s="200"/>
    </row>
    <row r="725" ht="15.75" customHeight="1">
      <c r="D725" s="200"/>
      <c r="H725" s="200"/>
      <c r="I725" s="200"/>
      <c r="J725" s="200"/>
      <c r="M725" s="200"/>
    </row>
    <row r="726" ht="15.75" customHeight="1">
      <c r="D726" s="200"/>
      <c r="H726" s="200"/>
      <c r="I726" s="200"/>
      <c r="J726" s="200"/>
      <c r="M726" s="200"/>
    </row>
    <row r="727" ht="15.75" customHeight="1">
      <c r="D727" s="200"/>
      <c r="H727" s="200"/>
      <c r="I727" s="200"/>
      <c r="J727" s="200"/>
      <c r="M727" s="200"/>
    </row>
    <row r="728" ht="15.75" customHeight="1">
      <c r="D728" s="200"/>
      <c r="H728" s="200"/>
      <c r="I728" s="200"/>
      <c r="J728" s="200"/>
      <c r="M728" s="200"/>
    </row>
    <row r="729" ht="15.75" customHeight="1">
      <c r="D729" s="200"/>
      <c r="H729" s="200"/>
      <c r="I729" s="200"/>
      <c r="J729" s="200"/>
      <c r="M729" s="200"/>
    </row>
    <row r="730" ht="15.75" customHeight="1">
      <c r="D730" s="200"/>
      <c r="H730" s="200"/>
      <c r="I730" s="200"/>
      <c r="J730" s="200"/>
      <c r="M730" s="200"/>
    </row>
    <row r="731" ht="15.75" customHeight="1">
      <c r="D731" s="200"/>
      <c r="H731" s="200"/>
      <c r="I731" s="200"/>
      <c r="J731" s="200"/>
      <c r="M731" s="200"/>
    </row>
    <row r="732" ht="15.75" customHeight="1">
      <c r="D732" s="200"/>
      <c r="H732" s="200"/>
      <c r="I732" s="200"/>
      <c r="J732" s="200"/>
      <c r="M732" s="200"/>
    </row>
    <row r="733" ht="15.75" customHeight="1">
      <c r="D733" s="200"/>
      <c r="H733" s="200"/>
      <c r="I733" s="200"/>
      <c r="J733" s="200"/>
      <c r="M733" s="200"/>
    </row>
    <row r="734" ht="15.75" customHeight="1">
      <c r="D734" s="200"/>
      <c r="H734" s="200"/>
      <c r="I734" s="200"/>
      <c r="J734" s="200"/>
      <c r="M734" s="200"/>
    </row>
    <row r="735" ht="15.75" customHeight="1">
      <c r="D735" s="200"/>
      <c r="H735" s="200"/>
      <c r="I735" s="200"/>
      <c r="J735" s="200"/>
      <c r="M735" s="200"/>
    </row>
    <row r="736" ht="15.75" customHeight="1">
      <c r="D736" s="200"/>
      <c r="H736" s="200"/>
      <c r="I736" s="200"/>
      <c r="J736" s="200"/>
      <c r="M736" s="200"/>
    </row>
    <row r="737" ht="15.75" customHeight="1">
      <c r="D737" s="200"/>
      <c r="H737" s="200"/>
      <c r="I737" s="200"/>
      <c r="J737" s="200"/>
      <c r="M737" s="200"/>
    </row>
    <row r="738" ht="15.75" customHeight="1">
      <c r="D738" s="200"/>
      <c r="H738" s="200"/>
      <c r="I738" s="200"/>
      <c r="J738" s="200"/>
      <c r="M738" s="200"/>
    </row>
    <row r="739" ht="15.75" customHeight="1">
      <c r="D739" s="200"/>
      <c r="H739" s="200"/>
      <c r="I739" s="200"/>
      <c r="J739" s="200"/>
      <c r="M739" s="200"/>
    </row>
    <row r="740" ht="15.75" customHeight="1">
      <c r="D740" s="200"/>
      <c r="H740" s="200"/>
      <c r="I740" s="200"/>
      <c r="J740" s="200"/>
      <c r="M740" s="200"/>
    </row>
    <row r="741" ht="15.75" customHeight="1">
      <c r="D741" s="200"/>
      <c r="H741" s="200"/>
      <c r="I741" s="200"/>
      <c r="J741" s="200"/>
      <c r="M741" s="200"/>
    </row>
    <row r="742" ht="15.75" customHeight="1">
      <c r="D742" s="200"/>
      <c r="H742" s="200"/>
      <c r="I742" s="200"/>
      <c r="J742" s="200"/>
      <c r="M742" s="200"/>
    </row>
    <row r="743" ht="15.75" customHeight="1">
      <c r="D743" s="200"/>
      <c r="H743" s="200"/>
      <c r="I743" s="200"/>
      <c r="J743" s="200"/>
      <c r="M743" s="200"/>
    </row>
    <row r="744" ht="15.75" customHeight="1">
      <c r="D744" s="200"/>
      <c r="H744" s="200"/>
      <c r="I744" s="200"/>
      <c r="J744" s="200"/>
      <c r="M744" s="200"/>
    </row>
    <row r="745" ht="15.75" customHeight="1">
      <c r="D745" s="200"/>
      <c r="H745" s="200"/>
      <c r="I745" s="200"/>
      <c r="J745" s="200"/>
      <c r="M745" s="200"/>
    </row>
    <row r="746" ht="15.75" customHeight="1">
      <c r="D746" s="200"/>
      <c r="H746" s="200"/>
      <c r="I746" s="200"/>
      <c r="J746" s="200"/>
      <c r="M746" s="200"/>
    </row>
    <row r="747" ht="15.75" customHeight="1">
      <c r="D747" s="200"/>
      <c r="H747" s="200"/>
      <c r="I747" s="200"/>
      <c r="J747" s="200"/>
      <c r="M747" s="200"/>
    </row>
    <row r="748" ht="15.75" customHeight="1">
      <c r="D748" s="200"/>
      <c r="H748" s="200"/>
      <c r="I748" s="200"/>
      <c r="J748" s="200"/>
      <c r="M748" s="200"/>
    </row>
    <row r="749" ht="15.75" customHeight="1">
      <c r="D749" s="200"/>
      <c r="H749" s="200"/>
      <c r="I749" s="200"/>
      <c r="J749" s="200"/>
      <c r="M749" s="200"/>
    </row>
    <row r="750" ht="15.75" customHeight="1">
      <c r="D750" s="200"/>
      <c r="H750" s="200"/>
      <c r="I750" s="200"/>
      <c r="J750" s="200"/>
      <c r="M750" s="200"/>
    </row>
    <row r="751" ht="15.75" customHeight="1">
      <c r="D751" s="200"/>
      <c r="H751" s="200"/>
      <c r="I751" s="200"/>
      <c r="J751" s="200"/>
      <c r="M751" s="200"/>
    </row>
    <row r="752" ht="15.75" customHeight="1">
      <c r="D752" s="200"/>
      <c r="H752" s="200"/>
      <c r="I752" s="200"/>
      <c r="J752" s="200"/>
      <c r="M752" s="200"/>
    </row>
    <row r="753" ht="15.75" customHeight="1">
      <c r="D753" s="200"/>
      <c r="H753" s="200"/>
      <c r="I753" s="200"/>
      <c r="J753" s="200"/>
      <c r="M753" s="200"/>
    </row>
    <row r="754" ht="15.75" customHeight="1">
      <c r="D754" s="200"/>
      <c r="H754" s="200"/>
      <c r="I754" s="200"/>
      <c r="J754" s="200"/>
      <c r="M754" s="200"/>
    </row>
    <row r="755" ht="15.75" customHeight="1">
      <c r="D755" s="200"/>
      <c r="H755" s="200"/>
      <c r="I755" s="200"/>
      <c r="J755" s="200"/>
      <c r="M755" s="200"/>
    </row>
    <row r="756" ht="15.75" customHeight="1">
      <c r="D756" s="200"/>
      <c r="H756" s="200"/>
      <c r="I756" s="200"/>
      <c r="J756" s="200"/>
      <c r="M756" s="200"/>
    </row>
    <row r="757" ht="15.75" customHeight="1">
      <c r="D757" s="200"/>
      <c r="H757" s="200"/>
      <c r="I757" s="200"/>
      <c r="J757" s="200"/>
      <c r="M757" s="200"/>
    </row>
    <row r="758" ht="15.75" customHeight="1">
      <c r="D758" s="200"/>
      <c r="H758" s="200"/>
      <c r="I758" s="200"/>
      <c r="J758" s="200"/>
      <c r="M758" s="200"/>
    </row>
    <row r="759" ht="15.75" customHeight="1">
      <c r="D759" s="200"/>
      <c r="H759" s="200"/>
      <c r="I759" s="200"/>
      <c r="J759" s="200"/>
      <c r="M759" s="200"/>
    </row>
    <row r="760" ht="15.75" customHeight="1">
      <c r="D760" s="200"/>
      <c r="H760" s="200"/>
      <c r="I760" s="200"/>
      <c r="J760" s="200"/>
      <c r="M760" s="200"/>
    </row>
    <row r="761" ht="15.75" customHeight="1">
      <c r="D761" s="200"/>
      <c r="H761" s="200"/>
      <c r="I761" s="200"/>
      <c r="J761" s="200"/>
      <c r="M761" s="200"/>
    </row>
    <row r="762" ht="15.75" customHeight="1">
      <c r="D762" s="200"/>
      <c r="H762" s="200"/>
      <c r="I762" s="200"/>
      <c r="J762" s="200"/>
      <c r="M762" s="200"/>
    </row>
    <row r="763" ht="15.75" customHeight="1">
      <c r="D763" s="200"/>
      <c r="H763" s="200"/>
      <c r="I763" s="200"/>
      <c r="J763" s="200"/>
      <c r="M763" s="200"/>
    </row>
    <row r="764" ht="15.75" customHeight="1">
      <c r="D764" s="200"/>
      <c r="H764" s="200"/>
      <c r="I764" s="200"/>
      <c r="J764" s="200"/>
      <c r="M764" s="200"/>
    </row>
    <row r="765" ht="15.75" customHeight="1">
      <c r="D765" s="200"/>
      <c r="H765" s="200"/>
      <c r="I765" s="200"/>
      <c r="J765" s="200"/>
      <c r="M765" s="200"/>
    </row>
    <row r="766" ht="15.75" customHeight="1">
      <c r="D766" s="200"/>
      <c r="H766" s="200"/>
      <c r="I766" s="200"/>
      <c r="J766" s="200"/>
      <c r="M766" s="200"/>
    </row>
    <row r="767" ht="15.75" customHeight="1">
      <c r="D767" s="200"/>
      <c r="H767" s="200"/>
      <c r="I767" s="200"/>
      <c r="J767" s="200"/>
      <c r="M767" s="200"/>
    </row>
    <row r="768" ht="15.75" customHeight="1">
      <c r="D768" s="200"/>
      <c r="H768" s="200"/>
      <c r="I768" s="200"/>
      <c r="J768" s="200"/>
      <c r="M768" s="200"/>
    </row>
    <row r="769" ht="15.75" customHeight="1">
      <c r="D769" s="200"/>
      <c r="H769" s="200"/>
      <c r="I769" s="200"/>
      <c r="J769" s="200"/>
      <c r="M769" s="200"/>
    </row>
    <row r="770" ht="15.75" customHeight="1">
      <c r="D770" s="200"/>
      <c r="H770" s="200"/>
      <c r="I770" s="200"/>
      <c r="J770" s="200"/>
      <c r="M770" s="200"/>
    </row>
    <row r="771" ht="15.75" customHeight="1">
      <c r="D771" s="200"/>
      <c r="H771" s="200"/>
      <c r="I771" s="200"/>
      <c r="J771" s="200"/>
      <c r="M771" s="200"/>
    </row>
    <row r="772" ht="15.75" customHeight="1">
      <c r="D772" s="200"/>
      <c r="H772" s="200"/>
      <c r="I772" s="200"/>
      <c r="J772" s="200"/>
      <c r="M772" s="200"/>
    </row>
    <row r="773" ht="15.75" customHeight="1">
      <c r="D773" s="200"/>
      <c r="H773" s="200"/>
      <c r="I773" s="200"/>
      <c r="J773" s="200"/>
      <c r="M773" s="200"/>
    </row>
    <row r="774" ht="15.75" customHeight="1">
      <c r="D774" s="200"/>
      <c r="H774" s="200"/>
      <c r="I774" s="200"/>
      <c r="J774" s="200"/>
      <c r="M774" s="200"/>
    </row>
    <row r="775" ht="15.75" customHeight="1">
      <c r="D775" s="200"/>
      <c r="H775" s="200"/>
      <c r="I775" s="200"/>
      <c r="J775" s="200"/>
      <c r="M775" s="200"/>
    </row>
    <row r="776" ht="15.75" customHeight="1">
      <c r="D776" s="200"/>
      <c r="H776" s="200"/>
      <c r="I776" s="200"/>
      <c r="J776" s="200"/>
      <c r="M776" s="200"/>
    </row>
    <row r="777" ht="15.75" customHeight="1">
      <c r="D777" s="200"/>
      <c r="H777" s="200"/>
      <c r="I777" s="200"/>
      <c r="J777" s="200"/>
      <c r="M777" s="200"/>
    </row>
    <row r="778" ht="15.75" customHeight="1">
      <c r="D778" s="200"/>
      <c r="H778" s="200"/>
      <c r="I778" s="200"/>
      <c r="J778" s="200"/>
      <c r="M778" s="200"/>
    </row>
    <row r="779" ht="15.75" customHeight="1">
      <c r="D779" s="200"/>
      <c r="H779" s="200"/>
      <c r="I779" s="200"/>
      <c r="J779" s="200"/>
      <c r="M779" s="200"/>
    </row>
    <row r="780" ht="15.75" customHeight="1">
      <c r="D780" s="200"/>
      <c r="H780" s="200"/>
      <c r="I780" s="200"/>
      <c r="J780" s="200"/>
      <c r="M780" s="200"/>
    </row>
    <row r="781" ht="15.75" customHeight="1">
      <c r="D781" s="200"/>
      <c r="H781" s="200"/>
      <c r="I781" s="200"/>
      <c r="J781" s="200"/>
      <c r="M781" s="200"/>
    </row>
    <row r="782" ht="15.75" customHeight="1">
      <c r="D782" s="200"/>
      <c r="H782" s="200"/>
      <c r="I782" s="200"/>
      <c r="J782" s="200"/>
      <c r="M782" s="200"/>
    </row>
    <row r="783" ht="15.75" customHeight="1">
      <c r="D783" s="200"/>
      <c r="H783" s="200"/>
      <c r="I783" s="200"/>
      <c r="J783" s="200"/>
      <c r="M783" s="200"/>
    </row>
    <row r="784" ht="15.75" customHeight="1">
      <c r="D784" s="200"/>
      <c r="H784" s="200"/>
      <c r="I784" s="200"/>
      <c r="J784" s="200"/>
      <c r="M784" s="200"/>
    </row>
    <row r="785" ht="15.75" customHeight="1">
      <c r="D785" s="200"/>
      <c r="H785" s="200"/>
      <c r="I785" s="200"/>
      <c r="J785" s="200"/>
      <c r="M785" s="200"/>
    </row>
    <row r="786" ht="15.75" customHeight="1">
      <c r="D786" s="200"/>
      <c r="H786" s="200"/>
      <c r="I786" s="200"/>
      <c r="J786" s="200"/>
      <c r="M786" s="200"/>
    </row>
    <row r="787" ht="15.75" customHeight="1">
      <c r="D787" s="200"/>
      <c r="H787" s="200"/>
      <c r="I787" s="200"/>
      <c r="J787" s="200"/>
      <c r="M787" s="200"/>
    </row>
    <row r="788" ht="15.75" customHeight="1">
      <c r="D788" s="200"/>
      <c r="H788" s="200"/>
      <c r="I788" s="200"/>
      <c r="J788" s="200"/>
      <c r="M788" s="200"/>
    </row>
    <row r="789" ht="15.75" customHeight="1">
      <c r="D789" s="200"/>
      <c r="H789" s="200"/>
      <c r="I789" s="200"/>
      <c r="J789" s="200"/>
      <c r="M789" s="200"/>
    </row>
    <row r="790" ht="15.75" customHeight="1">
      <c r="D790" s="200"/>
      <c r="H790" s="200"/>
      <c r="I790" s="200"/>
      <c r="J790" s="200"/>
      <c r="M790" s="200"/>
    </row>
    <row r="791" ht="15.75" customHeight="1">
      <c r="D791" s="200"/>
      <c r="H791" s="200"/>
      <c r="I791" s="200"/>
      <c r="J791" s="200"/>
      <c r="M791" s="200"/>
    </row>
    <row r="792" ht="15.75" customHeight="1">
      <c r="D792" s="200"/>
      <c r="H792" s="200"/>
      <c r="I792" s="200"/>
      <c r="J792" s="200"/>
      <c r="M792" s="200"/>
    </row>
    <row r="793" ht="15.75" customHeight="1">
      <c r="D793" s="200"/>
      <c r="H793" s="200"/>
      <c r="I793" s="200"/>
      <c r="J793" s="200"/>
      <c r="M793" s="200"/>
    </row>
    <row r="794" ht="15.75" customHeight="1">
      <c r="D794" s="200"/>
      <c r="H794" s="200"/>
      <c r="I794" s="200"/>
      <c r="J794" s="200"/>
      <c r="M794" s="200"/>
    </row>
    <row r="795" ht="15.75" customHeight="1">
      <c r="D795" s="200"/>
      <c r="H795" s="200"/>
      <c r="I795" s="200"/>
      <c r="J795" s="200"/>
      <c r="M795" s="200"/>
    </row>
    <row r="796" ht="15.75" customHeight="1">
      <c r="D796" s="200"/>
      <c r="H796" s="200"/>
      <c r="I796" s="200"/>
      <c r="J796" s="200"/>
      <c r="M796" s="200"/>
    </row>
    <row r="797" ht="15.75" customHeight="1">
      <c r="D797" s="200"/>
      <c r="H797" s="200"/>
      <c r="I797" s="200"/>
      <c r="J797" s="200"/>
      <c r="M797" s="200"/>
    </row>
    <row r="798" ht="15.75" customHeight="1">
      <c r="D798" s="200"/>
      <c r="H798" s="200"/>
      <c r="I798" s="200"/>
      <c r="J798" s="200"/>
      <c r="M798" s="200"/>
    </row>
    <row r="799" ht="15.75" customHeight="1">
      <c r="D799" s="200"/>
      <c r="H799" s="200"/>
      <c r="I799" s="200"/>
      <c r="J799" s="200"/>
      <c r="M799" s="200"/>
    </row>
    <row r="800" ht="15.75" customHeight="1">
      <c r="D800" s="200"/>
      <c r="H800" s="200"/>
      <c r="I800" s="200"/>
      <c r="J800" s="200"/>
      <c r="M800" s="200"/>
    </row>
    <row r="801" ht="15.75" customHeight="1">
      <c r="D801" s="200"/>
      <c r="H801" s="200"/>
      <c r="I801" s="200"/>
      <c r="J801" s="200"/>
      <c r="M801" s="200"/>
    </row>
    <row r="802" ht="15.75" customHeight="1">
      <c r="D802" s="200"/>
      <c r="H802" s="200"/>
      <c r="I802" s="200"/>
      <c r="J802" s="200"/>
      <c r="M802" s="200"/>
    </row>
    <row r="803" ht="15.75" customHeight="1">
      <c r="D803" s="200"/>
      <c r="H803" s="200"/>
      <c r="I803" s="200"/>
      <c r="J803" s="200"/>
      <c r="M803" s="200"/>
    </row>
    <row r="804" ht="15.75" customHeight="1">
      <c r="D804" s="200"/>
      <c r="H804" s="200"/>
      <c r="I804" s="200"/>
      <c r="J804" s="200"/>
      <c r="M804" s="200"/>
    </row>
    <row r="805" ht="15.75" customHeight="1">
      <c r="D805" s="200"/>
      <c r="H805" s="200"/>
      <c r="I805" s="200"/>
      <c r="J805" s="200"/>
      <c r="M805" s="200"/>
    </row>
    <row r="806" ht="15.75" customHeight="1">
      <c r="D806" s="200"/>
      <c r="H806" s="200"/>
      <c r="I806" s="200"/>
      <c r="J806" s="200"/>
      <c r="M806" s="200"/>
    </row>
    <row r="807" ht="15.75" customHeight="1">
      <c r="D807" s="200"/>
      <c r="H807" s="200"/>
      <c r="I807" s="200"/>
      <c r="J807" s="200"/>
      <c r="M807" s="200"/>
    </row>
    <row r="808" ht="15.75" customHeight="1">
      <c r="D808" s="200"/>
      <c r="H808" s="200"/>
      <c r="I808" s="200"/>
      <c r="J808" s="200"/>
      <c r="M808" s="200"/>
    </row>
    <row r="809" ht="15.75" customHeight="1">
      <c r="D809" s="200"/>
      <c r="H809" s="200"/>
      <c r="I809" s="200"/>
      <c r="J809" s="200"/>
      <c r="M809" s="200"/>
    </row>
    <row r="810" ht="15.75" customHeight="1">
      <c r="D810" s="200"/>
      <c r="H810" s="200"/>
      <c r="I810" s="200"/>
      <c r="J810" s="200"/>
      <c r="M810" s="200"/>
    </row>
    <row r="811" ht="15.75" customHeight="1">
      <c r="D811" s="200"/>
      <c r="H811" s="200"/>
      <c r="I811" s="200"/>
      <c r="J811" s="200"/>
      <c r="M811" s="200"/>
    </row>
    <row r="812" ht="15.75" customHeight="1">
      <c r="D812" s="200"/>
      <c r="H812" s="200"/>
      <c r="I812" s="200"/>
      <c r="J812" s="200"/>
      <c r="M812" s="200"/>
    </row>
    <row r="813" ht="15.75" customHeight="1">
      <c r="D813" s="200"/>
      <c r="H813" s="200"/>
      <c r="I813" s="200"/>
      <c r="J813" s="200"/>
      <c r="M813" s="200"/>
    </row>
    <row r="814" ht="15.75" customHeight="1">
      <c r="D814" s="200"/>
      <c r="H814" s="200"/>
      <c r="I814" s="200"/>
      <c r="J814" s="200"/>
      <c r="M814" s="200"/>
    </row>
    <row r="815" ht="15.75" customHeight="1">
      <c r="D815" s="200"/>
      <c r="H815" s="200"/>
      <c r="I815" s="200"/>
      <c r="J815" s="200"/>
      <c r="M815" s="200"/>
    </row>
    <row r="816" ht="15.75" customHeight="1">
      <c r="D816" s="200"/>
      <c r="H816" s="200"/>
      <c r="I816" s="200"/>
      <c r="J816" s="200"/>
      <c r="M816" s="200"/>
    </row>
    <row r="817" ht="15.75" customHeight="1">
      <c r="D817" s="200"/>
      <c r="H817" s="200"/>
      <c r="I817" s="200"/>
      <c r="J817" s="200"/>
      <c r="M817" s="200"/>
    </row>
    <row r="818" ht="15.75" customHeight="1">
      <c r="D818" s="200"/>
      <c r="H818" s="200"/>
      <c r="I818" s="200"/>
      <c r="J818" s="200"/>
      <c r="M818" s="200"/>
    </row>
    <row r="819" ht="15.75" customHeight="1">
      <c r="D819" s="200"/>
      <c r="H819" s="200"/>
      <c r="I819" s="200"/>
      <c r="J819" s="200"/>
      <c r="M819" s="200"/>
    </row>
    <row r="820" ht="15.75" customHeight="1">
      <c r="D820" s="200"/>
      <c r="H820" s="200"/>
      <c r="I820" s="200"/>
      <c r="J820" s="200"/>
      <c r="M820" s="200"/>
    </row>
    <row r="821" ht="15.75" customHeight="1">
      <c r="D821" s="200"/>
      <c r="H821" s="200"/>
      <c r="I821" s="200"/>
      <c r="J821" s="200"/>
      <c r="M821" s="200"/>
    </row>
    <row r="822" ht="15.75" customHeight="1">
      <c r="D822" s="200"/>
      <c r="H822" s="200"/>
      <c r="I822" s="200"/>
      <c r="J822" s="200"/>
      <c r="M822" s="200"/>
    </row>
    <row r="823" ht="15.75" customHeight="1">
      <c r="D823" s="200"/>
      <c r="H823" s="200"/>
      <c r="I823" s="200"/>
      <c r="J823" s="200"/>
      <c r="M823" s="200"/>
    </row>
    <row r="824" ht="15.75" customHeight="1">
      <c r="D824" s="200"/>
      <c r="H824" s="200"/>
      <c r="I824" s="200"/>
      <c r="J824" s="200"/>
      <c r="M824" s="200"/>
    </row>
    <row r="825" ht="15.75" customHeight="1">
      <c r="D825" s="200"/>
      <c r="H825" s="200"/>
      <c r="I825" s="200"/>
      <c r="J825" s="200"/>
      <c r="M825" s="200"/>
    </row>
    <row r="826" ht="15.75" customHeight="1">
      <c r="D826" s="200"/>
      <c r="H826" s="200"/>
      <c r="I826" s="200"/>
      <c r="J826" s="200"/>
      <c r="M826" s="200"/>
    </row>
    <row r="827" ht="15.75" customHeight="1">
      <c r="D827" s="200"/>
      <c r="H827" s="200"/>
      <c r="I827" s="200"/>
      <c r="J827" s="200"/>
      <c r="M827" s="200"/>
    </row>
    <row r="828" ht="15.75" customHeight="1">
      <c r="D828" s="200"/>
      <c r="H828" s="200"/>
      <c r="I828" s="200"/>
      <c r="J828" s="200"/>
      <c r="M828" s="200"/>
    </row>
    <row r="829" ht="15.75" customHeight="1">
      <c r="D829" s="200"/>
      <c r="H829" s="200"/>
      <c r="I829" s="200"/>
      <c r="J829" s="200"/>
      <c r="M829" s="200"/>
    </row>
    <row r="830" ht="15.75" customHeight="1">
      <c r="D830" s="200"/>
      <c r="H830" s="200"/>
      <c r="I830" s="200"/>
      <c r="J830" s="200"/>
      <c r="M830" s="200"/>
    </row>
    <row r="831" ht="15.75" customHeight="1">
      <c r="D831" s="200"/>
      <c r="H831" s="200"/>
      <c r="I831" s="200"/>
      <c r="J831" s="200"/>
      <c r="M831" s="200"/>
    </row>
    <row r="832" ht="15.75" customHeight="1">
      <c r="D832" s="200"/>
      <c r="H832" s="200"/>
      <c r="I832" s="200"/>
      <c r="J832" s="200"/>
      <c r="M832" s="200"/>
    </row>
    <row r="833" ht="15.75" customHeight="1">
      <c r="D833" s="200"/>
      <c r="H833" s="200"/>
      <c r="I833" s="200"/>
      <c r="J833" s="200"/>
      <c r="M833" s="200"/>
    </row>
    <row r="834" ht="15.75" customHeight="1">
      <c r="D834" s="200"/>
      <c r="H834" s="200"/>
      <c r="I834" s="200"/>
      <c r="J834" s="200"/>
      <c r="M834" s="200"/>
    </row>
    <row r="835" ht="15.75" customHeight="1">
      <c r="D835" s="200"/>
      <c r="H835" s="200"/>
      <c r="I835" s="200"/>
      <c r="J835" s="200"/>
      <c r="M835" s="200"/>
    </row>
    <row r="836" ht="15.75" customHeight="1">
      <c r="D836" s="200"/>
      <c r="H836" s="200"/>
      <c r="I836" s="200"/>
      <c r="J836" s="200"/>
      <c r="M836" s="200"/>
    </row>
    <row r="837" ht="15.75" customHeight="1">
      <c r="D837" s="200"/>
      <c r="H837" s="200"/>
      <c r="I837" s="200"/>
      <c r="J837" s="200"/>
      <c r="M837" s="200"/>
    </row>
    <row r="838" ht="15.75" customHeight="1">
      <c r="D838" s="200"/>
      <c r="H838" s="200"/>
      <c r="I838" s="200"/>
      <c r="J838" s="200"/>
      <c r="M838" s="200"/>
    </row>
    <row r="839" ht="15.75" customHeight="1">
      <c r="D839" s="200"/>
      <c r="H839" s="200"/>
      <c r="I839" s="200"/>
      <c r="J839" s="200"/>
      <c r="M839" s="200"/>
    </row>
    <row r="840" ht="15.75" customHeight="1">
      <c r="D840" s="200"/>
      <c r="H840" s="200"/>
      <c r="I840" s="200"/>
      <c r="J840" s="200"/>
      <c r="M840" s="200"/>
    </row>
    <row r="841" ht="15.75" customHeight="1">
      <c r="D841" s="200"/>
      <c r="H841" s="200"/>
      <c r="I841" s="200"/>
      <c r="J841" s="200"/>
      <c r="M841" s="200"/>
    </row>
    <row r="842" ht="15.75" customHeight="1">
      <c r="D842" s="200"/>
      <c r="H842" s="200"/>
      <c r="I842" s="200"/>
      <c r="J842" s="200"/>
      <c r="M842" s="200"/>
    </row>
    <row r="843" ht="15.75" customHeight="1">
      <c r="D843" s="200"/>
      <c r="H843" s="200"/>
      <c r="I843" s="200"/>
      <c r="J843" s="200"/>
      <c r="M843" s="200"/>
    </row>
    <row r="844" ht="15.75" customHeight="1">
      <c r="D844" s="200"/>
      <c r="H844" s="200"/>
      <c r="I844" s="200"/>
      <c r="J844" s="200"/>
      <c r="M844" s="200"/>
    </row>
    <row r="845" ht="15.75" customHeight="1">
      <c r="D845" s="200"/>
      <c r="H845" s="200"/>
      <c r="I845" s="200"/>
      <c r="J845" s="200"/>
      <c r="M845" s="200"/>
    </row>
    <row r="846" ht="15.75" customHeight="1">
      <c r="D846" s="200"/>
      <c r="H846" s="200"/>
      <c r="I846" s="200"/>
      <c r="J846" s="200"/>
      <c r="M846" s="200"/>
    </row>
    <row r="847" ht="15.75" customHeight="1">
      <c r="D847" s="200"/>
      <c r="H847" s="200"/>
      <c r="I847" s="200"/>
      <c r="J847" s="200"/>
      <c r="M847" s="200"/>
    </row>
    <row r="848" ht="15.75" customHeight="1">
      <c r="D848" s="200"/>
      <c r="H848" s="200"/>
      <c r="I848" s="200"/>
      <c r="J848" s="200"/>
      <c r="M848" s="200"/>
    </row>
    <row r="849" ht="15.75" customHeight="1">
      <c r="D849" s="200"/>
      <c r="H849" s="200"/>
      <c r="I849" s="200"/>
      <c r="J849" s="200"/>
      <c r="M849" s="200"/>
    </row>
    <row r="850" ht="15.75" customHeight="1">
      <c r="D850" s="200"/>
      <c r="H850" s="200"/>
      <c r="I850" s="200"/>
      <c r="J850" s="200"/>
      <c r="M850" s="200"/>
    </row>
    <row r="851" ht="15.75" customHeight="1">
      <c r="D851" s="200"/>
      <c r="H851" s="200"/>
      <c r="I851" s="200"/>
      <c r="J851" s="200"/>
      <c r="M851" s="200"/>
    </row>
    <row r="852" ht="15.75" customHeight="1">
      <c r="D852" s="200"/>
      <c r="H852" s="200"/>
      <c r="I852" s="200"/>
      <c r="J852" s="200"/>
      <c r="M852" s="200"/>
    </row>
    <row r="853" ht="15.75" customHeight="1">
      <c r="D853" s="200"/>
      <c r="H853" s="200"/>
      <c r="I853" s="200"/>
      <c r="J853" s="200"/>
      <c r="M853" s="200"/>
    </row>
    <row r="854" ht="15.75" customHeight="1">
      <c r="D854" s="200"/>
      <c r="H854" s="200"/>
      <c r="I854" s="200"/>
      <c r="J854" s="200"/>
      <c r="M854" s="200"/>
    </row>
    <row r="855" ht="15.75" customHeight="1">
      <c r="D855" s="200"/>
      <c r="H855" s="200"/>
      <c r="I855" s="200"/>
      <c r="J855" s="200"/>
      <c r="M855" s="200"/>
    </row>
    <row r="856" ht="15.75" customHeight="1">
      <c r="D856" s="200"/>
      <c r="H856" s="200"/>
      <c r="I856" s="200"/>
      <c r="J856" s="200"/>
      <c r="M856" s="200"/>
    </row>
    <row r="857" ht="15.75" customHeight="1">
      <c r="D857" s="200"/>
      <c r="H857" s="200"/>
      <c r="I857" s="200"/>
      <c r="J857" s="200"/>
      <c r="M857" s="200"/>
    </row>
    <row r="858" ht="15.75" customHeight="1">
      <c r="D858" s="200"/>
      <c r="H858" s="200"/>
      <c r="I858" s="200"/>
      <c r="J858" s="200"/>
      <c r="M858" s="200"/>
    </row>
    <row r="859" ht="15.75" customHeight="1">
      <c r="D859" s="200"/>
      <c r="H859" s="200"/>
      <c r="I859" s="200"/>
      <c r="J859" s="200"/>
      <c r="M859" s="200"/>
    </row>
    <row r="860" ht="15.75" customHeight="1">
      <c r="D860" s="200"/>
      <c r="H860" s="200"/>
      <c r="I860" s="200"/>
      <c r="J860" s="200"/>
      <c r="M860" s="200"/>
    </row>
    <row r="861" ht="15.75" customHeight="1">
      <c r="D861" s="200"/>
      <c r="H861" s="200"/>
      <c r="I861" s="200"/>
      <c r="J861" s="200"/>
      <c r="M861" s="200"/>
    </row>
    <row r="862" ht="15.75" customHeight="1">
      <c r="D862" s="200"/>
      <c r="H862" s="200"/>
      <c r="I862" s="200"/>
      <c r="J862" s="200"/>
      <c r="M862" s="200"/>
    </row>
    <row r="863" ht="15.75" customHeight="1">
      <c r="D863" s="200"/>
      <c r="H863" s="200"/>
      <c r="I863" s="200"/>
      <c r="J863" s="200"/>
      <c r="M863" s="200"/>
    </row>
    <row r="864" ht="15.75" customHeight="1">
      <c r="D864" s="200"/>
      <c r="H864" s="200"/>
      <c r="I864" s="200"/>
      <c r="J864" s="200"/>
      <c r="M864" s="200"/>
    </row>
    <row r="865" ht="15.75" customHeight="1">
      <c r="D865" s="200"/>
      <c r="H865" s="200"/>
      <c r="I865" s="200"/>
      <c r="J865" s="200"/>
      <c r="M865" s="200"/>
    </row>
    <row r="866" ht="15.75" customHeight="1">
      <c r="D866" s="200"/>
      <c r="H866" s="200"/>
      <c r="I866" s="200"/>
      <c r="J866" s="200"/>
      <c r="M866" s="200"/>
    </row>
    <row r="867" ht="15.75" customHeight="1">
      <c r="D867" s="200"/>
      <c r="H867" s="200"/>
      <c r="I867" s="200"/>
      <c r="J867" s="200"/>
      <c r="M867" s="200"/>
    </row>
    <row r="868" ht="15.75" customHeight="1">
      <c r="D868" s="200"/>
      <c r="H868" s="200"/>
      <c r="I868" s="200"/>
      <c r="J868" s="200"/>
      <c r="M868" s="200"/>
    </row>
    <row r="869" ht="15.75" customHeight="1">
      <c r="D869" s="200"/>
      <c r="H869" s="200"/>
      <c r="I869" s="200"/>
      <c r="J869" s="200"/>
      <c r="M869" s="200"/>
    </row>
    <row r="870" ht="15.75" customHeight="1">
      <c r="D870" s="200"/>
      <c r="H870" s="200"/>
      <c r="I870" s="200"/>
      <c r="J870" s="200"/>
      <c r="M870" s="200"/>
    </row>
    <row r="871" ht="15.75" customHeight="1">
      <c r="D871" s="200"/>
      <c r="H871" s="200"/>
      <c r="I871" s="200"/>
      <c r="J871" s="200"/>
      <c r="M871" s="200"/>
    </row>
    <row r="872" ht="15.75" customHeight="1">
      <c r="D872" s="200"/>
      <c r="H872" s="200"/>
      <c r="I872" s="200"/>
      <c r="J872" s="200"/>
      <c r="M872" s="200"/>
    </row>
    <row r="873" ht="15.75" customHeight="1">
      <c r="D873" s="200"/>
      <c r="H873" s="200"/>
      <c r="I873" s="200"/>
      <c r="J873" s="200"/>
      <c r="M873" s="200"/>
    </row>
    <row r="874" ht="15.75" customHeight="1">
      <c r="D874" s="200"/>
      <c r="H874" s="200"/>
      <c r="I874" s="200"/>
      <c r="J874" s="200"/>
      <c r="M874" s="200"/>
    </row>
    <row r="875" ht="15.75" customHeight="1">
      <c r="D875" s="200"/>
      <c r="H875" s="200"/>
      <c r="I875" s="200"/>
      <c r="J875" s="200"/>
      <c r="M875" s="200"/>
    </row>
    <row r="876" ht="15.75" customHeight="1">
      <c r="D876" s="200"/>
      <c r="H876" s="200"/>
      <c r="I876" s="200"/>
      <c r="J876" s="200"/>
      <c r="M876" s="200"/>
    </row>
    <row r="877" ht="15.75" customHeight="1">
      <c r="D877" s="200"/>
      <c r="H877" s="200"/>
      <c r="I877" s="200"/>
      <c r="J877" s="200"/>
      <c r="M877" s="200"/>
    </row>
    <row r="878" ht="15.75" customHeight="1">
      <c r="D878" s="200"/>
      <c r="H878" s="200"/>
      <c r="I878" s="200"/>
      <c r="J878" s="200"/>
      <c r="M878" s="200"/>
    </row>
    <row r="879" ht="15.75" customHeight="1">
      <c r="D879" s="200"/>
      <c r="H879" s="200"/>
      <c r="I879" s="200"/>
      <c r="J879" s="200"/>
      <c r="M879" s="200"/>
    </row>
    <row r="880" ht="15.75" customHeight="1">
      <c r="D880" s="200"/>
      <c r="H880" s="200"/>
      <c r="I880" s="200"/>
      <c r="J880" s="200"/>
      <c r="M880" s="200"/>
    </row>
    <row r="881" ht="15.75" customHeight="1">
      <c r="D881" s="200"/>
      <c r="H881" s="200"/>
      <c r="I881" s="200"/>
      <c r="J881" s="200"/>
      <c r="M881" s="200"/>
    </row>
    <row r="882" ht="15.75" customHeight="1">
      <c r="D882" s="200"/>
      <c r="H882" s="200"/>
      <c r="I882" s="200"/>
      <c r="J882" s="200"/>
      <c r="M882" s="200"/>
    </row>
    <row r="883" ht="15.75" customHeight="1">
      <c r="D883" s="200"/>
      <c r="H883" s="200"/>
      <c r="I883" s="200"/>
      <c r="J883" s="200"/>
      <c r="M883" s="200"/>
    </row>
    <row r="884" ht="15.75" customHeight="1">
      <c r="D884" s="200"/>
      <c r="H884" s="200"/>
      <c r="I884" s="200"/>
      <c r="J884" s="200"/>
      <c r="M884" s="200"/>
    </row>
    <row r="885" ht="15.75" customHeight="1">
      <c r="D885" s="200"/>
      <c r="H885" s="200"/>
      <c r="I885" s="200"/>
      <c r="J885" s="200"/>
      <c r="M885" s="200"/>
    </row>
    <row r="886" ht="15.75" customHeight="1">
      <c r="D886" s="200"/>
      <c r="H886" s="200"/>
      <c r="I886" s="200"/>
      <c r="J886" s="200"/>
      <c r="M886" s="200"/>
    </row>
    <row r="887" ht="15.75" customHeight="1">
      <c r="D887" s="200"/>
      <c r="H887" s="200"/>
      <c r="I887" s="200"/>
      <c r="J887" s="200"/>
      <c r="M887" s="200"/>
    </row>
    <row r="888" ht="15.75" customHeight="1">
      <c r="D888" s="200"/>
      <c r="H888" s="200"/>
      <c r="I888" s="200"/>
      <c r="J888" s="200"/>
      <c r="M888" s="200"/>
    </row>
    <row r="889" ht="15.75" customHeight="1">
      <c r="D889" s="200"/>
      <c r="H889" s="200"/>
      <c r="I889" s="200"/>
      <c r="J889" s="200"/>
      <c r="M889" s="200"/>
    </row>
    <row r="890" ht="15.75" customHeight="1">
      <c r="D890" s="200"/>
      <c r="H890" s="200"/>
      <c r="I890" s="200"/>
      <c r="J890" s="200"/>
      <c r="M890" s="200"/>
    </row>
    <row r="891" ht="15.75" customHeight="1">
      <c r="D891" s="200"/>
      <c r="H891" s="200"/>
      <c r="I891" s="200"/>
      <c r="J891" s="200"/>
      <c r="M891" s="200"/>
    </row>
    <row r="892" ht="15.75" customHeight="1">
      <c r="D892" s="200"/>
      <c r="H892" s="200"/>
      <c r="I892" s="200"/>
      <c r="J892" s="200"/>
      <c r="M892" s="200"/>
    </row>
    <row r="893" ht="15.75" customHeight="1">
      <c r="D893" s="200"/>
      <c r="H893" s="200"/>
      <c r="I893" s="200"/>
      <c r="J893" s="200"/>
      <c r="M893" s="200"/>
    </row>
    <row r="894" ht="15.75" customHeight="1">
      <c r="D894" s="200"/>
      <c r="H894" s="200"/>
      <c r="I894" s="200"/>
      <c r="J894" s="200"/>
      <c r="M894" s="200"/>
    </row>
    <row r="895" ht="15.75" customHeight="1">
      <c r="D895" s="200"/>
      <c r="H895" s="200"/>
      <c r="I895" s="200"/>
      <c r="J895" s="200"/>
      <c r="M895" s="200"/>
    </row>
    <row r="896" ht="15.75" customHeight="1">
      <c r="D896" s="200"/>
      <c r="H896" s="200"/>
      <c r="I896" s="200"/>
      <c r="J896" s="200"/>
      <c r="M896" s="200"/>
    </row>
    <row r="897" ht="15.75" customHeight="1">
      <c r="D897" s="200"/>
      <c r="H897" s="200"/>
      <c r="I897" s="200"/>
      <c r="J897" s="200"/>
      <c r="M897" s="200"/>
    </row>
    <row r="898" ht="15.75" customHeight="1">
      <c r="D898" s="200"/>
      <c r="H898" s="200"/>
      <c r="I898" s="200"/>
      <c r="J898" s="200"/>
      <c r="M898" s="200"/>
    </row>
    <row r="899" ht="15.75" customHeight="1">
      <c r="D899" s="200"/>
      <c r="H899" s="200"/>
      <c r="I899" s="200"/>
      <c r="J899" s="200"/>
      <c r="M899" s="200"/>
    </row>
    <row r="900" ht="15.75" customHeight="1">
      <c r="D900" s="200"/>
      <c r="H900" s="200"/>
      <c r="I900" s="200"/>
      <c r="J900" s="200"/>
      <c r="M900" s="200"/>
    </row>
    <row r="901" ht="15.75" customHeight="1">
      <c r="D901" s="200"/>
      <c r="H901" s="200"/>
      <c r="I901" s="200"/>
      <c r="J901" s="200"/>
      <c r="M901" s="200"/>
    </row>
    <row r="902" ht="15.75" customHeight="1">
      <c r="D902" s="200"/>
      <c r="H902" s="200"/>
      <c r="I902" s="200"/>
      <c r="J902" s="200"/>
      <c r="M902" s="200"/>
    </row>
    <row r="903" ht="15.75" customHeight="1">
      <c r="D903" s="200"/>
      <c r="H903" s="200"/>
      <c r="I903" s="200"/>
      <c r="J903" s="200"/>
      <c r="M903" s="200"/>
    </row>
    <row r="904" ht="15.75" customHeight="1">
      <c r="D904" s="200"/>
      <c r="H904" s="200"/>
      <c r="I904" s="200"/>
      <c r="J904" s="200"/>
      <c r="M904" s="200"/>
    </row>
    <row r="905" ht="15.75" customHeight="1">
      <c r="D905" s="200"/>
      <c r="H905" s="200"/>
      <c r="I905" s="200"/>
      <c r="J905" s="200"/>
      <c r="M905" s="200"/>
    </row>
    <row r="906" ht="15.75" customHeight="1">
      <c r="D906" s="200"/>
      <c r="H906" s="200"/>
      <c r="I906" s="200"/>
      <c r="J906" s="200"/>
      <c r="M906" s="200"/>
    </row>
    <row r="907" ht="15.75" customHeight="1">
      <c r="D907" s="200"/>
      <c r="H907" s="200"/>
      <c r="I907" s="200"/>
      <c r="J907" s="200"/>
      <c r="M907" s="200"/>
    </row>
    <row r="908" ht="15.75" customHeight="1">
      <c r="D908" s="200"/>
      <c r="H908" s="200"/>
      <c r="I908" s="200"/>
      <c r="J908" s="200"/>
      <c r="M908" s="200"/>
    </row>
    <row r="909" ht="15.75" customHeight="1">
      <c r="D909" s="200"/>
      <c r="H909" s="200"/>
      <c r="I909" s="200"/>
      <c r="J909" s="200"/>
      <c r="M909" s="200"/>
    </row>
    <row r="910" ht="15.75" customHeight="1">
      <c r="D910" s="200"/>
      <c r="H910" s="200"/>
      <c r="I910" s="200"/>
      <c r="J910" s="200"/>
      <c r="M910" s="200"/>
    </row>
    <row r="911" ht="15.75" customHeight="1">
      <c r="D911" s="200"/>
      <c r="H911" s="200"/>
      <c r="I911" s="200"/>
      <c r="J911" s="200"/>
      <c r="M911" s="200"/>
    </row>
    <row r="912" ht="15.75" customHeight="1">
      <c r="D912" s="200"/>
      <c r="H912" s="200"/>
      <c r="I912" s="200"/>
      <c r="J912" s="200"/>
      <c r="M912" s="200"/>
    </row>
    <row r="913" ht="15.75" customHeight="1">
      <c r="D913" s="200"/>
      <c r="H913" s="200"/>
      <c r="I913" s="200"/>
      <c r="J913" s="200"/>
      <c r="M913" s="200"/>
    </row>
    <row r="914" ht="15.75" customHeight="1">
      <c r="D914" s="200"/>
      <c r="H914" s="200"/>
      <c r="I914" s="200"/>
      <c r="J914" s="200"/>
      <c r="M914" s="200"/>
    </row>
    <row r="915" ht="15.75" customHeight="1">
      <c r="D915" s="200"/>
      <c r="H915" s="200"/>
      <c r="I915" s="200"/>
      <c r="J915" s="200"/>
      <c r="M915" s="200"/>
    </row>
    <row r="916" ht="15.75" customHeight="1">
      <c r="D916" s="200"/>
      <c r="H916" s="200"/>
      <c r="I916" s="200"/>
      <c r="J916" s="200"/>
      <c r="M916" s="200"/>
    </row>
    <row r="917" ht="15.75" customHeight="1">
      <c r="D917" s="200"/>
      <c r="H917" s="200"/>
      <c r="I917" s="200"/>
      <c r="J917" s="200"/>
      <c r="M917" s="200"/>
    </row>
    <row r="918" ht="15.75" customHeight="1">
      <c r="D918" s="200"/>
      <c r="H918" s="200"/>
      <c r="I918" s="200"/>
      <c r="J918" s="200"/>
      <c r="M918" s="200"/>
    </row>
    <row r="919" ht="15.75" customHeight="1">
      <c r="D919" s="200"/>
      <c r="H919" s="200"/>
      <c r="I919" s="200"/>
      <c r="J919" s="200"/>
      <c r="M919" s="200"/>
    </row>
    <row r="920" ht="15.75" customHeight="1">
      <c r="D920" s="200"/>
      <c r="H920" s="200"/>
      <c r="I920" s="200"/>
      <c r="J920" s="200"/>
      <c r="M920" s="200"/>
    </row>
    <row r="921" ht="15.75" customHeight="1">
      <c r="D921" s="200"/>
      <c r="H921" s="200"/>
      <c r="I921" s="200"/>
      <c r="J921" s="200"/>
      <c r="M921" s="200"/>
    </row>
    <row r="922" ht="15.75" customHeight="1">
      <c r="D922" s="200"/>
      <c r="H922" s="200"/>
      <c r="I922" s="200"/>
      <c r="J922" s="200"/>
      <c r="M922" s="200"/>
    </row>
    <row r="923" ht="15.75" customHeight="1">
      <c r="D923" s="200"/>
      <c r="H923" s="200"/>
      <c r="I923" s="200"/>
      <c r="J923" s="200"/>
      <c r="M923" s="200"/>
    </row>
    <row r="924" ht="15.75" customHeight="1">
      <c r="D924" s="200"/>
      <c r="H924" s="200"/>
      <c r="I924" s="200"/>
      <c r="J924" s="200"/>
      <c r="M924" s="200"/>
    </row>
    <row r="925" ht="15.75" customHeight="1">
      <c r="D925" s="200"/>
      <c r="H925" s="200"/>
      <c r="I925" s="200"/>
      <c r="J925" s="200"/>
      <c r="M925" s="200"/>
    </row>
    <row r="926" ht="15.75" customHeight="1">
      <c r="D926" s="200"/>
      <c r="H926" s="200"/>
      <c r="I926" s="200"/>
      <c r="J926" s="200"/>
      <c r="M926" s="200"/>
    </row>
    <row r="927" ht="15.75" customHeight="1">
      <c r="D927" s="200"/>
      <c r="H927" s="200"/>
      <c r="I927" s="200"/>
      <c r="J927" s="200"/>
      <c r="M927" s="200"/>
    </row>
    <row r="928" ht="15.75" customHeight="1">
      <c r="D928" s="200"/>
      <c r="H928" s="200"/>
      <c r="I928" s="200"/>
      <c r="J928" s="200"/>
      <c r="M928" s="200"/>
    </row>
    <row r="929" ht="15.75" customHeight="1">
      <c r="D929" s="200"/>
      <c r="H929" s="200"/>
      <c r="I929" s="200"/>
      <c r="J929" s="200"/>
      <c r="M929" s="200"/>
    </row>
    <row r="930" ht="15.75" customHeight="1">
      <c r="D930" s="200"/>
      <c r="H930" s="200"/>
      <c r="I930" s="200"/>
      <c r="J930" s="200"/>
      <c r="M930" s="200"/>
    </row>
    <row r="931" ht="15.75" customHeight="1">
      <c r="D931" s="200"/>
      <c r="H931" s="200"/>
      <c r="I931" s="200"/>
      <c r="J931" s="200"/>
      <c r="M931" s="200"/>
    </row>
    <row r="932" ht="15.75" customHeight="1">
      <c r="D932" s="200"/>
      <c r="H932" s="200"/>
      <c r="I932" s="200"/>
      <c r="J932" s="200"/>
      <c r="M932" s="200"/>
    </row>
    <row r="933" ht="15.75" customHeight="1">
      <c r="D933" s="200"/>
      <c r="H933" s="200"/>
      <c r="I933" s="200"/>
      <c r="J933" s="200"/>
      <c r="M933" s="200"/>
    </row>
    <row r="934" ht="15.75" customHeight="1">
      <c r="D934" s="200"/>
      <c r="H934" s="200"/>
      <c r="I934" s="200"/>
      <c r="J934" s="200"/>
      <c r="M934" s="200"/>
    </row>
    <row r="935" ht="15.75" customHeight="1">
      <c r="D935" s="200"/>
      <c r="H935" s="200"/>
      <c r="I935" s="200"/>
      <c r="J935" s="200"/>
      <c r="M935" s="200"/>
    </row>
    <row r="936" ht="15.75" customHeight="1">
      <c r="D936" s="200"/>
      <c r="H936" s="200"/>
      <c r="I936" s="200"/>
      <c r="J936" s="200"/>
      <c r="M936" s="200"/>
    </row>
    <row r="937" ht="15.75" customHeight="1">
      <c r="D937" s="200"/>
      <c r="H937" s="200"/>
      <c r="I937" s="200"/>
      <c r="J937" s="200"/>
      <c r="M937" s="200"/>
    </row>
    <row r="938" ht="15.75" customHeight="1">
      <c r="D938" s="200"/>
      <c r="H938" s="200"/>
      <c r="I938" s="200"/>
      <c r="J938" s="200"/>
      <c r="M938" s="200"/>
    </row>
    <row r="939" ht="15.75" customHeight="1">
      <c r="D939" s="200"/>
      <c r="H939" s="200"/>
      <c r="I939" s="200"/>
      <c r="J939" s="200"/>
      <c r="M939" s="200"/>
    </row>
    <row r="940" ht="15.75" customHeight="1">
      <c r="D940" s="200"/>
      <c r="H940" s="200"/>
      <c r="I940" s="200"/>
      <c r="J940" s="200"/>
      <c r="M940" s="200"/>
    </row>
    <row r="941" ht="15.75" customHeight="1">
      <c r="D941" s="200"/>
      <c r="H941" s="200"/>
      <c r="I941" s="200"/>
      <c r="J941" s="200"/>
      <c r="M941" s="200"/>
    </row>
    <row r="942" ht="15.75" customHeight="1">
      <c r="D942" s="200"/>
      <c r="H942" s="200"/>
      <c r="I942" s="200"/>
      <c r="J942" s="200"/>
      <c r="M942" s="200"/>
    </row>
    <row r="943" ht="15.75" customHeight="1">
      <c r="D943" s="200"/>
      <c r="H943" s="200"/>
      <c r="I943" s="200"/>
      <c r="J943" s="200"/>
      <c r="M943" s="200"/>
    </row>
    <row r="944" ht="15.75" customHeight="1">
      <c r="D944" s="200"/>
      <c r="H944" s="200"/>
      <c r="I944" s="200"/>
      <c r="J944" s="200"/>
      <c r="M944" s="200"/>
    </row>
    <row r="945" ht="15.75" customHeight="1">
      <c r="D945" s="200"/>
      <c r="H945" s="200"/>
      <c r="I945" s="200"/>
      <c r="J945" s="200"/>
      <c r="M945" s="200"/>
    </row>
    <row r="946" ht="15.75" customHeight="1">
      <c r="D946" s="200"/>
      <c r="H946" s="200"/>
      <c r="I946" s="200"/>
      <c r="J946" s="200"/>
      <c r="M946" s="200"/>
    </row>
    <row r="947" ht="15.75" customHeight="1">
      <c r="D947" s="200"/>
      <c r="H947" s="200"/>
      <c r="I947" s="200"/>
      <c r="J947" s="200"/>
      <c r="M947" s="200"/>
    </row>
    <row r="948" ht="15.75" customHeight="1">
      <c r="D948" s="200"/>
      <c r="H948" s="200"/>
      <c r="I948" s="200"/>
      <c r="J948" s="200"/>
      <c r="M948" s="200"/>
    </row>
    <row r="949" ht="15.75" customHeight="1">
      <c r="D949" s="200"/>
      <c r="H949" s="200"/>
      <c r="I949" s="200"/>
      <c r="J949" s="200"/>
      <c r="M949" s="200"/>
    </row>
    <row r="950" ht="15.75" customHeight="1">
      <c r="D950" s="200"/>
      <c r="H950" s="200"/>
      <c r="I950" s="200"/>
      <c r="J950" s="200"/>
      <c r="M950" s="200"/>
    </row>
    <row r="951" ht="15.75" customHeight="1">
      <c r="D951" s="200"/>
      <c r="H951" s="200"/>
      <c r="I951" s="200"/>
      <c r="J951" s="200"/>
      <c r="M951" s="200"/>
    </row>
    <row r="952" ht="15.75" customHeight="1">
      <c r="D952" s="200"/>
      <c r="H952" s="200"/>
      <c r="I952" s="200"/>
      <c r="J952" s="200"/>
      <c r="M952" s="200"/>
    </row>
    <row r="953" ht="15.75" customHeight="1">
      <c r="D953" s="200"/>
      <c r="H953" s="200"/>
      <c r="I953" s="200"/>
      <c r="J953" s="200"/>
      <c r="M953" s="200"/>
    </row>
    <row r="954" ht="15.75" customHeight="1">
      <c r="D954" s="200"/>
      <c r="H954" s="200"/>
      <c r="I954" s="200"/>
      <c r="J954" s="200"/>
      <c r="M954" s="200"/>
    </row>
    <row r="955" ht="15.75" customHeight="1">
      <c r="D955" s="200"/>
      <c r="H955" s="200"/>
      <c r="I955" s="200"/>
      <c r="J955" s="200"/>
      <c r="M955" s="200"/>
    </row>
    <row r="956" ht="15.75" customHeight="1">
      <c r="D956" s="200"/>
      <c r="H956" s="200"/>
      <c r="I956" s="200"/>
      <c r="J956" s="200"/>
      <c r="M956" s="200"/>
    </row>
    <row r="957" ht="15.75" customHeight="1">
      <c r="D957" s="200"/>
      <c r="H957" s="200"/>
      <c r="I957" s="200"/>
      <c r="J957" s="200"/>
      <c r="M957" s="200"/>
    </row>
    <row r="958" ht="15.75" customHeight="1">
      <c r="D958" s="200"/>
      <c r="H958" s="200"/>
      <c r="I958" s="200"/>
      <c r="J958" s="200"/>
      <c r="M958" s="200"/>
    </row>
    <row r="959" ht="15.75" customHeight="1">
      <c r="D959" s="200"/>
      <c r="H959" s="200"/>
      <c r="I959" s="200"/>
      <c r="J959" s="200"/>
      <c r="M959" s="200"/>
    </row>
    <row r="960" ht="15.75" customHeight="1">
      <c r="D960" s="200"/>
      <c r="H960" s="200"/>
      <c r="I960" s="200"/>
      <c r="J960" s="200"/>
      <c r="M960" s="200"/>
    </row>
    <row r="961" ht="15.75" customHeight="1">
      <c r="D961" s="200"/>
      <c r="H961" s="200"/>
      <c r="I961" s="200"/>
      <c r="J961" s="200"/>
      <c r="M961" s="200"/>
    </row>
    <row r="962" ht="15.75" customHeight="1">
      <c r="D962" s="200"/>
      <c r="H962" s="200"/>
      <c r="I962" s="200"/>
      <c r="J962" s="200"/>
      <c r="M962" s="200"/>
    </row>
    <row r="963" ht="15.75" customHeight="1">
      <c r="D963" s="200"/>
      <c r="H963" s="200"/>
      <c r="I963" s="200"/>
      <c r="J963" s="200"/>
      <c r="M963" s="200"/>
    </row>
    <row r="964" ht="15.75" customHeight="1">
      <c r="D964" s="200"/>
      <c r="H964" s="200"/>
      <c r="I964" s="200"/>
      <c r="J964" s="200"/>
      <c r="M964" s="200"/>
    </row>
    <row r="965" ht="15.75" customHeight="1">
      <c r="D965" s="200"/>
      <c r="H965" s="200"/>
      <c r="I965" s="200"/>
      <c r="J965" s="200"/>
      <c r="M965" s="200"/>
    </row>
    <row r="966" ht="15.75" customHeight="1">
      <c r="D966" s="200"/>
      <c r="H966" s="200"/>
      <c r="I966" s="200"/>
      <c r="J966" s="200"/>
      <c r="M966" s="200"/>
    </row>
    <row r="967" ht="15.75" customHeight="1">
      <c r="D967" s="200"/>
      <c r="H967" s="200"/>
      <c r="I967" s="200"/>
      <c r="J967" s="200"/>
      <c r="M967" s="200"/>
    </row>
    <row r="968" ht="15.75" customHeight="1">
      <c r="D968" s="200"/>
      <c r="H968" s="200"/>
      <c r="I968" s="200"/>
      <c r="J968" s="200"/>
      <c r="M968" s="200"/>
    </row>
    <row r="969" ht="15.75" customHeight="1">
      <c r="D969" s="200"/>
      <c r="H969" s="200"/>
      <c r="I969" s="200"/>
      <c r="J969" s="200"/>
      <c r="M969" s="200"/>
    </row>
    <row r="970" ht="15.75" customHeight="1">
      <c r="D970" s="200"/>
      <c r="H970" s="200"/>
      <c r="I970" s="200"/>
      <c r="J970" s="200"/>
      <c r="M970" s="200"/>
    </row>
    <row r="971" ht="15.75" customHeight="1">
      <c r="D971" s="200"/>
      <c r="H971" s="200"/>
      <c r="I971" s="200"/>
      <c r="J971" s="200"/>
      <c r="M971" s="200"/>
    </row>
    <row r="972" ht="15.75" customHeight="1">
      <c r="D972" s="200"/>
      <c r="H972" s="200"/>
      <c r="I972" s="200"/>
      <c r="J972" s="200"/>
      <c r="M972" s="200"/>
    </row>
    <row r="973" ht="15.75" customHeight="1">
      <c r="D973" s="200"/>
      <c r="H973" s="200"/>
      <c r="I973" s="200"/>
      <c r="J973" s="200"/>
      <c r="M973" s="200"/>
    </row>
    <row r="974" ht="15.75" customHeight="1">
      <c r="D974" s="200"/>
      <c r="H974" s="200"/>
      <c r="I974" s="200"/>
      <c r="J974" s="200"/>
      <c r="M974" s="200"/>
    </row>
    <row r="975" ht="15.75" customHeight="1">
      <c r="D975" s="200"/>
      <c r="H975" s="200"/>
      <c r="I975" s="200"/>
      <c r="J975" s="200"/>
      <c r="M975" s="200"/>
    </row>
    <row r="976" ht="15.75" customHeight="1">
      <c r="D976" s="200"/>
      <c r="H976" s="200"/>
      <c r="I976" s="200"/>
      <c r="J976" s="200"/>
      <c r="M976" s="200"/>
    </row>
    <row r="977" ht="15.75" customHeight="1">
      <c r="D977" s="200"/>
      <c r="H977" s="200"/>
      <c r="I977" s="200"/>
      <c r="J977" s="200"/>
      <c r="M977" s="200"/>
    </row>
    <row r="978" ht="15.75" customHeight="1">
      <c r="D978" s="200"/>
      <c r="H978" s="200"/>
      <c r="I978" s="200"/>
      <c r="J978" s="200"/>
      <c r="M978" s="200"/>
    </row>
    <row r="979" ht="15.75" customHeight="1">
      <c r="D979" s="200"/>
      <c r="H979" s="200"/>
      <c r="I979" s="200"/>
      <c r="J979" s="200"/>
      <c r="M979" s="200"/>
    </row>
    <row r="980" ht="15.75" customHeight="1">
      <c r="D980" s="200"/>
      <c r="H980" s="200"/>
      <c r="I980" s="200"/>
      <c r="J980" s="200"/>
      <c r="M980" s="200"/>
    </row>
    <row r="981" ht="15.75" customHeight="1">
      <c r="D981" s="200"/>
      <c r="H981" s="200"/>
      <c r="I981" s="200"/>
      <c r="J981" s="200"/>
      <c r="M981" s="200"/>
    </row>
    <row r="982" ht="15.75" customHeight="1">
      <c r="D982" s="200"/>
      <c r="H982" s="200"/>
      <c r="I982" s="200"/>
      <c r="J982" s="200"/>
      <c r="M982" s="200"/>
    </row>
    <row r="983" ht="15.75" customHeight="1">
      <c r="D983" s="200"/>
      <c r="H983" s="200"/>
      <c r="I983" s="200"/>
      <c r="J983" s="200"/>
      <c r="M983" s="200"/>
    </row>
    <row r="984" ht="15.75" customHeight="1">
      <c r="D984" s="200"/>
      <c r="H984" s="200"/>
      <c r="I984" s="200"/>
      <c r="J984" s="200"/>
      <c r="M984" s="200"/>
    </row>
    <row r="985" ht="15.75" customHeight="1">
      <c r="D985" s="200"/>
      <c r="H985" s="200"/>
      <c r="I985" s="200"/>
      <c r="J985" s="200"/>
      <c r="M985" s="200"/>
    </row>
    <row r="986" ht="15.75" customHeight="1">
      <c r="D986" s="200"/>
      <c r="H986" s="200"/>
      <c r="I986" s="200"/>
      <c r="J986" s="200"/>
      <c r="M986" s="200"/>
    </row>
    <row r="987" ht="15.75" customHeight="1">
      <c r="D987" s="200"/>
      <c r="H987" s="200"/>
      <c r="I987" s="200"/>
      <c r="J987" s="200"/>
      <c r="M987" s="200"/>
    </row>
    <row r="988" ht="15.75" customHeight="1">
      <c r="D988" s="200"/>
      <c r="H988" s="200"/>
      <c r="I988" s="200"/>
      <c r="J988" s="200"/>
      <c r="M988" s="200"/>
    </row>
    <row r="989" ht="15.75" customHeight="1">
      <c r="D989" s="200"/>
      <c r="H989" s="200"/>
      <c r="I989" s="200"/>
      <c r="J989" s="200"/>
      <c r="M989" s="200"/>
    </row>
    <row r="990" ht="15.75" customHeight="1">
      <c r="D990" s="200"/>
      <c r="H990" s="200"/>
      <c r="I990" s="200"/>
      <c r="J990" s="200"/>
      <c r="M990" s="200"/>
    </row>
    <row r="991" ht="15.75" customHeight="1">
      <c r="D991" s="200"/>
      <c r="H991" s="200"/>
      <c r="I991" s="200"/>
      <c r="J991" s="200"/>
      <c r="M991" s="200"/>
    </row>
    <row r="992" ht="15.75" customHeight="1">
      <c r="D992" s="200"/>
      <c r="H992" s="200"/>
      <c r="I992" s="200"/>
      <c r="J992" s="200"/>
      <c r="M992" s="200"/>
    </row>
    <row r="993" ht="15.75" customHeight="1">
      <c r="D993" s="200"/>
      <c r="H993" s="200"/>
      <c r="I993" s="200"/>
      <c r="J993" s="200"/>
      <c r="M993" s="200"/>
    </row>
    <row r="994" ht="15.75" customHeight="1">
      <c r="D994" s="200"/>
      <c r="H994" s="200"/>
      <c r="I994" s="200"/>
      <c r="J994" s="200"/>
      <c r="M994" s="200"/>
    </row>
    <row r="995" ht="15.75" customHeight="1">
      <c r="D995" s="200"/>
      <c r="H995" s="200"/>
      <c r="I995" s="200"/>
      <c r="J995" s="200"/>
      <c r="M995" s="200"/>
    </row>
    <row r="996" ht="15.75" customHeight="1">
      <c r="D996" s="200"/>
      <c r="H996" s="200"/>
      <c r="I996" s="200"/>
      <c r="J996" s="200"/>
      <c r="M996" s="200"/>
    </row>
    <row r="997" ht="15.75" customHeight="1">
      <c r="D997" s="200"/>
      <c r="H997" s="200"/>
      <c r="I997" s="200"/>
      <c r="J997" s="200"/>
      <c r="M997" s="200"/>
    </row>
    <row r="998" ht="15.75" customHeight="1">
      <c r="D998" s="200"/>
      <c r="H998" s="200"/>
      <c r="I998" s="200"/>
      <c r="J998" s="200"/>
      <c r="M998" s="200"/>
    </row>
    <row r="999" ht="15.75" customHeight="1">
      <c r="D999" s="200"/>
      <c r="H999" s="200"/>
      <c r="I999" s="200"/>
      <c r="J999" s="200"/>
      <c r="M999" s="200"/>
    </row>
    <row r="1000" ht="15.75" customHeight="1">
      <c r="D1000" s="200"/>
      <c r="H1000" s="200"/>
      <c r="I1000" s="200"/>
      <c r="J1000" s="200"/>
      <c r="M1000" s="200"/>
    </row>
  </sheetData>
  <customSheetViews>
    <customSheetView guid="{46777EA8-FB1E-4EEC-965E-7796D90C387C}" filter="1" showAutoFilter="1">
      <autoFilter ref="$A$1:$AI$220">
        <filterColumn colId="14">
          <customFilters>
            <customFilter val="TRUE"/>
          </customFilters>
        </filterColumn>
      </autoFilter>
    </customSheetView>
    <customSheetView guid="{F12FF699-2153-4DF0-9895-B168E9A9E0F7}" filter="1" showAutoFilter="1">
      <autoFilter ref="$A$1:$AI$220">
        <filterColumn colId="7">
          <customFilters>
            <customFilter val="*102*"/>
          </customFilters>
        </filterColumn>
      </autoFilter>
    </customSheetView>
    <customSheetView guid="{95CB6148-5689-4F03-A89A-6BA1CAA9EFEB}" filter="1" showAutoFilter="1">
      <autoFilter ref="$A$1:$AI$220">
        <filterColumn colId="14">
          <customFilters>
            <customFilter val="FALSE"/>
          </customFilters>
        </filterColumn>
        <filterColumn colId="15">
          <customFilters>
            <customFilter val="FALSE"/>
          </customFilters>
        </filterColumn>
      </autoFilter>
    </customSheetView>
    <customSheetView guid="{DE8175C3-5F04-4DF2-9BB7-B84750A180A4}" filter="1" showAutoFilter="1">
      <autoFilter ref="$A$1:$AI$220">
        <filterColumn colId="2">
          <customFilters>
            <customFilter operator="greaterThanOrEqual" val="500000"/>
          </customFilters>
        </filterColumn>
      </autoFilter>
    </customSheetView>
  </customSheetViews>
  <dataValidations>
    <dataValidation type="decimal" allowBlank="1" showInputMessage="1" showErrorMessage="1" prompt="Этап воронки должен быть числом от 1 до 7" sqref="D2:D1000">
      <formula1>1.0</formula1>
      <formula2>7.0</formula2>
    </dataValidation>
    <dataValidation type="list" allowBlank="1" sqref="M2:M1000">
      <formula1>"L1,L2,L3,L4"</formula1>
    </dataValidation>
    <dataValidation type="list" allowBlank="1" showErrorMessage="1" sqref="H2:H1000">
      <formula1>"101,102,103,104"</formula1>
    </dataValidation>
    <dataValidation type="list" allowBlank="1" sqref="I2:I1000">
      <formula1>"SEG1,SEG2"</formula1>
    </dataValidation>
    <dataValidation type="list" allowBlank="1" sqref="J2:J1000">
      <formula1>"Яндекс Директ,Контур.Фокус,Google Ads,Партнеры,Органика SEO"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3" width="13.88"/>
    <col customWidth="1" min="4" max="4" width="22.63"/>
    <col customWidth="1" min="5" max="5" width="45.13"/>
    <col customWidth="1" min="6" max="6" width="15.13"/>
    <col customWidth="1" min="7" max="7" width="13.88"/>
    <col customWidth="1" min="8" max="8" width="15.13"/>
    <col customWidth="1" min="9" max="9" width="17.63"/>
    <col customWidth="1" min="10" max="25" width="16.38"/>
    <col customWidth="1" min="26" max="26" width="21.38"/>
    <col customWidth="1" min="27" max="29" width="14.5"/>
  </cols>
  <sheetData>
    <row r="1" ht="15.75" customHeight="1">
      <c r="A1" s="198" t="s">
        <v>718</v>
      </c>
      <c r="B1" s="198" t="s">
        <v>433</v>
      </c>
      <c r="C1" s="198" t="s">
        <v>501</v>
      </c>
      <c r="D1" s="198" t="s">
        <v>719</v>
      </c>
      <c r="E1" s="198" t="s">
        <v>720</v>
      </c>
      <c r="F1" s="198" t="s">
        <v>721</v>
      </c>
      <c r="G1" s="198" t="s">
        <v>722</v>
      </c>
      <c r="H1" s="198" t="s">
        <v>723</v>
      </c>
      <c r="I1" s="198" t="s">
        <v>724</v>
      </c>
      <c r="J1" s="198" t="s">
        <v>725</v>
      </c>
      <c r="K1" s="198" t="s">
        <v>726</v>
      </c>
      <c r="L1" s="198" t="s">
        <v>727</v>
      </c>
      <c r="M1" s="198" t="s">
        <v>728</v>
      </c>
      <c r="N1" s="198" t="s">
        <v>729</v>
      </c>
      <c r="O1" s="198" t="s">
        <v>730</v>
      </c>
      <c r="P1" s="198" t="s">
        <v>731</v>
      </c>
      <c r="Q1" s="198" t="s">
        <v>732</v>
      </c>
      <c r="R1" s="198" t="s">
        <v>733</v>
      </c>
      <c r="S1" s="198" t="s">
        <v>734</v>
      </c>
      <c r="T1" s="198" t="s">
        <v>735</v>
      </c>
      <c r="U1" s="198" t="s">
        <v>736</v>
      </c>
      <c r="V1" s="198" t="s">
        <v>737</v>
      </c>
      <c r="W1" s="198" t="s">
        <v>739</v>
      </c>
      <c r="X1" s="198" t="s">
        <v>445</v>
      </c>
      <c r="Z1" s="22" t="s">
        <v>446</v>
      </c>
      <c r="AA1" s="22" t="s">
        <v>447</v>
      </c>
      <c r="AB1" s="22" t="s">
        <v>448</v>
      </c>
      <c r="AC1" s="22" t="s">
        <v>449</v>
      </c>
    </row>
    <row r="2" ht="15.75" customHeight="1">
      <c r="A2" s="22" t="s">
        <v>103</v>
      </c>
      <c r="B2" s="22" t="s">
        <v>451</v>
      </c>
      <c r="C2" s="22">
        <v>102.0</v>
      </c>
      <c r="D2" s="148">
        <v>46275.0</v>
      </c>
      <c r="E2" s="22">
        <v>420.0</v>
      </c>
      <c r="F2" s="22" t="s">
        <v>742</v>
      </c>
      <c r="G2" s="22">
        <v>1.0</v>
      </c>
      <c r="H2" s="22">
        <v>1.0</v>
      </c>
      <c r="I2" s="22">
        <v>1.0</v>
      </c>
      <c r="J2" s="22">
        <v>1.0</v>
      </c>
      <c r="K2" s="22">
        <v>1.0</v>
      </c>
      <c r="L2" s="22">
        <v>1.0</v>
      </c>
      <c r="M2" s="22">
        <v>1.0</v>
      </c>
      <c r="N2" s="22">
        <v>1.0</v>
      </c>
      <c r="O2" s="22">
        <v>1.0</v>
      </c>
      <c r="P2" s="22">
        <v>1.0</v>
      </c>
      <c r="Q2" s="22">
        <v>1.0</v>
      </c>
      <c r="R2" s="22">
        <v>1.0</v>
      </c>
      <c r="S2" s="22">
        <v>1.0</v>
      </c>
      <c r="T2" s="22">
        <f t="shared" ref="T2:T7" si="1">SUM(G2:S2)</f>
        <v>13</v>
      </c>
      <c r="U2" s="22" t="b">
        <f t="shared" ref="U2:U7" si="2">T2&gt;=9</f>
        <v>1</v>
      </c>
      <c r="V2" s="22" t="s">
        <v>743</v>
      </c>
      <c r="W2" s="22" t="s">
        <v>744</v>
      </c>
      <c r="X2" s="170">
        <v>46285.472149340276</v>
      </c>
    </row>
    <row r="3" ht="15.75" customHeight="1">
      <c r="A3" s="22" t="s">
        <v>111</v>
      </c>
      <c r="B3" s="22" t="s">
        <v>636</v>
      </c>
      <c r="C3" s="22">
        <v>101.0</v>
      </c>
      <c r="D3" s="148">
        <v>46279.0</v>
      </c>
      <c r="E3" s="22">
        <v>310.0</v>
      </c>
      <c r="F3" s="22" t="s">
        <v>745</v>
      </c>
      <c r="G3" s="22">
        <v>1.0</v>
      </c>
      <c r="H3" s="22">
        <v>1.0</v>
      </c>
      <c r="I3" s="22">
        <v>1.0</v>
      </c>
      <c r="J3" s="22">
        <v>1.0</v>
      </c>
      <c r="K3" s="22">
        <v>1.0</v>
      </c>
      <c r="L3" s="22">
        <v>0.0</v>
      </c>
      <c r="M3" s="22">
        <v>1.0</v>
      </c>
      <c r="N3" s="22">
        <v>1.0</v>
      </c>
      <c r="O3" s="22">
        <v>1.0</v>
      </c>
      <c r="P3" s="22">
        <v>1.0</v>
      </c>
      <c r="Q3" s="22">
        <v>0.0</v>
      </c>
      <c r="R3" s="22">
        <v>1.0</v>
      </c>
      <c r="S3" s="22">
        <v>1.0</v>
      </c>
      <c r="T3" s="22">
        <f t="shared" si="1"/>
        <v>11</v>
      </c>
      <c r="U3" s="22" t="b">
        <f t="shared" si="2"/>
        <v>1</v>
      </c>
      <c r="V3" s="22" t="s">
        <v>747</v>
      </c>
      <c r="W3" s="22" t="s">
        <v>748</v>
      </c>
      <c r="X3" s="170">
        <v>46285.472149340276</v>
      </c>
    </row>
    <row r="4" ht="15.75" customHeight="1">
      <c r="A4" s="22" t="s">
        <v>118</v>
      </c>
      <c r="B4" s="22" t="s">
        <v>677</v>
      </c>
      <c r="C4" s="22">
        <v>102.0</v>
      </c>
      <c r="D4" s="148">
        <v>46281.0</v>
      </c>
      <c r="E4" s="22">
        <v>180.0</v>
      </c>
      <c r="F4" s="22" t="s">
        <v>749</v>
      </c>
      <c r="G4" s="22">
        <v>1.0</v>
      </c>
      <c r="H4" s="22">
        <v>1.0</v>
      </c>
      <c r="I4" s="22">
        <v>0.0</v>
      </c>
      <c r="J4" s="22">
        <v>0.0</v>
      </c>
      <c r="K4" s="22">
        <v>1.0</v>
      </c>
      <c r="L4" s="22">
        <v>0.0</v>
      </c>
      <c r="M4" s="22">
        <v>1.0</v>
      </c>
      <c r="N4" s="22">
        <v>1.0</v>
      </c>
      <c r="O4" s="22">
        <v>0.0</v>
      </c>
      <c r="P4" s="22">
        <v>0.0</v>
      </c>
      <c r="Q4" s="22">
        <v>0.0</v>
      </c>
      <c r="R4" s="22">
        <v>1.0</v>
      </c>
      <c r="S4" s="22">
        <v>0.0</v>
      </c>
      <c r="T4" s="22">
        <f t="shared" si="1"/>
        <v>6</v>
      </c>
      <c r="U4" s="22" t="b">
        <f t="shared" si="2"/>
        <v>0</v>
      </c>
      <c r="V4" s="22" t="s">
        <v>752</v>
      </c>
      <c r="W4" s="22" t="s">
        <v>753</v>
      </c>
      <c r="X4" s="170">
        <v>46285.472149340276</v>
      </c>
    </row>
    <row r="5" ht="15.75" customHeight="1">
      <c r="A5" s="22" t="s">
        <v>125</v>
      </c>
      <c r="B5" s="22" t="s">
        <v>689</v>
      </c>
      <c r="C5" s="22">
        <v>103.0</v>
      </c>
      <c r="D5" s="148">
        <v>46281.0</v>
      </c>
      <c r="E5" s="22">
        <v>540.0</v>
      </c>
      <c r="F5" s="22" t="s">
        <v>742</v>
      </c>
      <c r="G5" s="22">
        <v>1.0</v>
      </c>
      <c r="H5" s="22">
        <v>1.0</v>
      </c>
      <c r="I5" s="22">
        <v>1.0</v>
      </c>
      <c r="J5" s="22">
        <v>1.0</v>
      </c>
      <c r="K5" s="22">
        <v>1.0</v>
      </c>
      <c r="L5" s="22">
        <v>1.0</v>
      </c>
      <c r="M5" s="22">
        <v>1.0</v>
      </c>
      <c r="N5" s="22">
        <v>0.0</v>
      </c>
      <c r="O5" s="22">
        <v>1.0</v>
      </c>
      <c r="P5" s="22">
        <v>1.0</v>
      </c>
      <c r="Q5" s="22">
        <v>1.0</v>
      </c>
      <c r="R5" s="22">
        <v>1.0</v>
      </c>
      <c r="S5" s="22">
        <v>1.0</v>
      </c>
      <c r="T5" s="22">
        <f t="shared" si="1"/>
        <v>12</v>
      </c>
      <c r="U5" s="22" t="b">
        <f t="shared" si="2"/>
        <v>1</v>
      </c>
      <c r="V5" s="22" t="s">
        <v>754</v>
      </c>
      <c r="W5" s="22" t="s">
        <v>755</v>
      </c>
      <c r="X5" s="170">
        <v>46285.472149340276</v>
      </c>
    </row>
    <row r="6" ht="15.75" customHeight="1">
      <c r="A6" s="22" t="s">
        <v>130</v>
      </c>
      <c r="B6" s="22" t="s">
        <v>669</v>
      </c>
      <c r="C6" s="22">
        <v>102.0</v>
      </c>
      <c r="D6" s="148">
        <v>46273.0</v>
      </c>
      <c r="E6" s="22">
        <v>210.0</v>
      </c>
      <c r="F6" s="22" t="s">
        <v>756</v>
      </c>
      <c r="G6" s="22">
        <v>1.0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1.0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f t="shared" si="1"/>
        <v>2</v>
      </c>
      <c r="U6" s="22" t="b">
        <f t="shared" si="2"/>
        <v>0</v>
      </c>
      <c r="V6" s="22" t="s">
        <v>757</v>
      </c>
      <c r="W6" s="22" t="s">
        <v>758</v>
      </c>
      <c r="X6" s="170">
        <v>46285.472149340276</v>
      </c>
    </row>
    <row r="7" ht="15.75" customHeight="1">
      <c r="A7" s="22" t="s">
        <v>136</v>
      </c>
      <c r="B7" s="22" t="s">
        <v>759</v>
      </c>
      <c r="C7" s="22">
        <v>103.0</v>
      </c>
      <c r="D7" s="148">
        <v>46283.0</v>
      </c>
      <c r="E7" s="22">
        <v>290.0</v>
      </c>
      <c r="F7" s="22" t="s">
        <v>760</v>
      </c>
      <c r="G7" s="22">
        <v>1.0</v>
      </c>
      <c r="H7" s="22">
        <v>1.0</v>
      </c>
      <c r="I7" s="22">
        <v>1.0</v>
      </c>
      <c r="J7" s="22">
        <v>1.0</v>
      </c>
      <c r="K7" s="22">
        <v>1.0</v>
      </c>
      <c r="L7" s="22">
        <v>1.0</v>
      </c>
      <c r="M7" s="22">
        <v>1.0</v>
      </c>
      <c r="N7" s="22">
        <v>1.0</v>
      </c>
      <c r="O7" s="22">
        <v>1.0</v>
      </c>
      <c r="P7" s="22">
        <v>1.0</v>
      </c>
      <c r="Q7" s="22">
        <v>1.0</v>
      </c>
      <c r="R7" s="22">
        <v>1.0</v>
      </c>
      <c r="S7" s="22">
        <v>1.0</v>
      </c>
      <c r="T7" s="22">
        <f t="shared" si="1"/>
        <v>13</v>
      </c>
      <c r="U7" s="22" t="b">
        <f t="shared" si="2"/>
        <v>1</v>
      </c>
      <c r="V7" s="22" t="s">
        <v>743</v>
      </c>
      <c r="W7" s="22" t="s">
        <v>761</v>
      </c>
      <c r="X7" s="170">
        <v>46285.472149340276</v>
      </c>
    </row>
    <row r="8" ht="15.75" customHeight="1">
      <c r="F8" s="22"/>
    </row>
    <row r="9" ht="15.75" customHeight="1">
      <c r="F9" s="22"/>
    </row>
    <row r="10" ht="15.75" customHeight="1">
      <c r="F10" s="22"/>
    </row>
    <row r="11" ht="15.75" customHeight="1">
      <c r="F11" s="22"/>
    </row>
    <row r="12" ht="15.75" customHeight="1">
      <c r="F12" s="22"/>
    </row>
    <row r="13" ht="15.75" customHeight="1">
      <c r="F13" s="22"/>
    </row>
    <row r="14" ht="15.75" customHeight="1">
      <c r="F14" s="22"/>
    </row>
    <row r="15" ht="15.75" customHeight="1">
      <c r="F15" s="22"/>
    </row>
    <row r="16" ht="15.75" customHeight="1">
      <c r="F16" s="22"/>
    </row>
    <row r="17" ht="15.75" customHeight="1">
      <c r="F17" s="22"/>
    </row>
    <row r="18" ht="15.75" customHeight="1">
      <c r="F18" s="22"/>
    </row>
    <row r="19" ht="15.75" customHeight="1">
      <c r="F19" s="22"/>
    </row>
    <row r="20" ht="15.75" customHeight="1">
      <c r="F20" s="22"/>
    </row>
    <row r="21" ht="15.75" customHeight="1">
      <c r="F21" s="22"/>
    </row>
    <row r="22" ht="15.75" customHeight="1">
      <c r="F22" s="22"/>
    </row>
    <row r="23" ht="15.75" customHeight="1">
      <c r="F23" s="22"/>
    </row>
    <row r="24" ht="15.75" customHeight="1">
      <c r="F24" s="22"/>
    </row>
    <row r="25" ht="15.75" customHeight="1">
      <c r="F25" s="22"/>
    </row>
    <row r="26" ht="15.75" customHeight="1">
      <c r="F26" s="22"/>
    </row>
    <row r="27" ht="15.75" customHeight="1">
      <c r="F27" s="22"/>
    </row>
    <row r="28" ht="15.75" customHeight="1">
      <c r="F28" s="22"/>
    </row>
    <row r="29" ht="15.75" customHeight="1">
      <c r="F29" s="22"/>
    </row>
    <row r="30" ht="15.75" customHeight="1">
      <c r="F30" s="22"/>
    </row>
    <row r="31" ht="15.75" customHeight="1">
      <c r="F31" s="22"/>
    </row>
    <row r="32" ht="15.75" customHeight="1">
      <c r="F32" s="22"/>
    </row>
    <row r="33" ht="15.75" customHeight="1">
      <c r="F33" s="22"/>
    </row>
    <row r="34" ht="15.75" customHeight="1">
      <c r="F34" s="22"/>
    </row>
    <row r="35" ht="15.75" customHeight="1">
      <c r="F35" s="22"/>
    </row>
    <row r="36" ht="15.75" customHeight="1">
      <c r="F36" s="22"/>
    </row>
    <row r="37" ht="15.75" customHeight="1">
      <c r="F37" s="22"/>
    </row>
    <row r="38" ht="15.75" customHeight="1">
      <c r="F38" s="22"/>
    </row>
    <row r="39" ht="15.75" customHeight="1">
      <c r="F39" s="22"/>
    </row>
    <row r="40" ht="15.75" customHeight="1">
      <c r="F40" s="22"/>
    </row>
    <row r="41" ht="15.75" customHeight="1">
      <c r="F41" s="22"/>
    </row>
    <row r="42" ht="15.75" customHeight="1">
      <c r="F42" s="22"/>
    </row>
    <row r="43" ht="15.75" customHeight="1">
      <c r="F43" s="22"/>
    </row>
    <row r="44" ht="15.75" customHeight="1">
      <c r="F44" s="22"/>
    </row>
    <row r="45" ht="15.75" customHeight="1">
      <c r="F45" s="22"/>
    </row>
    <row r="46" ht="15.75" customHeight="1">
      <c r="F46" s="22"/>
    </row>
    <row r="47" ht="15.75" customHeight="1">
      <c r="F47" s="22"/>
    </row>
    <row r="48" ht="15.75" customHeight="1">
      <c r="F48" s="22"/>
    </row>
    <row r="49" ht="15.75" customHeight="1">
      <c r="F49" s="22"/>
    </row>
    <row r="50" ht="15.75" customHeight="1">
      <c r="F50" s="22"/>
    </row>
    <row r="51" ht="15.75" customHeight="1">
      <c r="F51" s="22"/>
    </row>
    <row r="52" ht="15.75" customHeight="1">
      <c r="F52" s="22"/>
    </row>
    <row r="53" ht="15.75" customHeight="1">
      <c r="F53" s="22"/>
    </row>
    <row r="54" ht="15.75" customHeight="1">
      <c r="F54" s="22"/>
    </row>
    <row r="55" ht="15.75" customHeight="1">
      <c r="F55" s="22"/>
    </row>
    <row r="56" ht="15.75" customHeight="1">
      <c r="F56" s="22"/>
    </row>
    <row r="57" ht="15.75" customHeight="1">
      <c r="F57" s="22"/>
    </row>
    <row r="58" ht="15.75" customHeight="1">
      <c r="F58" s="22"/>
    </row>
    <row r="59" ht="15.75" customHeight="1">
      <c r="F59" s="22"/>
    </row>
    <row r="60" ht="15.75" customHeight="1">
      <c r="F60" s="22"/>
    </row>
    <row r="61" ht="15.75" customHeight="1">
      <c r="F61" s="22"/>
    </row>
    <row r="62" ht="15.75" customHeight="1">
      <c r="F62" s="22"/>
    </row>
    <row r="63" ht="15.75" customHeight="1">
      <c r="F63" s="22"/>
    </row>
    <row r="64" ht="15.75" customHeight="1">
      <c r="F64" s="22"/>
    </row>
    <row r="65" ht="15.75" customHeight="1">
      <c r="F65" s="22"/>
    </row>
    <row r="66" ht="15.75" customHeight="1">
      <c r="F66" s="22"/>
    </row>
    <row r="67" ht="15.75" customHeight="1">
      <c r="F67" s="22"/>
    </row>
    <row r="68" ht="15.75" customHeight="1">
      <c r="F68" s="22"/>
    </row>
    <row r="69" ht="15.75" customHeight="1">
      <c r="F69" s="22"/>
    </row>
    <row r="70" ht="15.75" customHeight="1">
      <c r="F70" s="22"/>
    </row>
    <row r="71" ht="15.75" customHeight="1">
      <c r="F71" s="22"/>
    </row>
    <row r="72" ht="15.75" customHeight="1">
      <c r="F72" s="22"/>
    </row>
    <row r="73" ht="15.75" customHeight="1">
      <c r="F73" s="22"/>
    </row>
    <row r="74" ht="15.75" customHeight="1">
      <c r="F74" s="22"/>
    </row>
    <row r="75" ht="15.75" customHeight="1">
      <c r="F75" s="22"/>
    </row>
    <row r="76" ht="15.75" customHeight="1">
      <c r="F76" s="22"/>
    </row>
    <row r="77" ht="15.75" customHeight="1">
      <c r="F77" s="22"/>
    </row>
    <row r="78" ht="15.75" customHeight="1">
      <c r="F78" s="22"/>
    </row>
    <row r="79" ht="15.75" customHeight="1">
      <c r="F79" s="22"/>
    </row>
    <row r="80" ht="15.75" customHeight="1">
      <c r="F80" s="22"/>
    </row>
    <row r="81" ht="15.75" customHeight="1">
      <c r="F81" s="22"/>
    </row>
    <row r="82" ht="15.75" customHeight="1">
      <c r="F82" s="22"/>
    </row>
    <row r="83" ht="15.75" customHeight="1">
      <c r="F83" s="22"/>
    </row>
    <row r="84" ht="15.75" customHeight="1">
      <c r="F84" s="22"/>
    </row>
    <row r="85" ht="15.75" customHeight="1">
      <c r="F85" s="22"/>
    </row>
    <row r="86" ht="15.75" customHeight="1">
      <c r="F86" s="22"/>
    </row>
    <row r="87" ht="15.75" customHeight="1">
      <c r="F87" s="22"/>
    </row>
    <row r="88" ht="15.75" customHeight="1">
      <c r="F88" s="22"/>
    </row>
    <row r="89" ht="15.75" customHeight="1">
      <c r="F89" s="22"/>
    </row>
    <row r="90" ht="15.75" customHeight="1">
      <c r="F90" s="22"/>
    </row>
    <row r="91" ht="15.75" customHeight="1">
      <c r="F91" s="22"/>
    </row>
    <row r="92" ht="15.75" customHeight="1">
      <c r="F92" s="22"/>
    </row>
    <row r="93" ht="15.75" customHeight="1">
      <c r="F93" s="22"/>
    </row>
    <row r="94" ht="15.75" customHeight="1">
      <c r="F94" s="22"/>
    </row>
    <row r="95" ht="15.75" customHeight="1">
      <c r="F95" s="22"/>
    </row>
    <row r="96" ht="15.75" customHeight="1">
      <c r="F96" s="22"/>
    </row>
    <row r="97" ht="15.75" customHeight="1">
      <c r="F97" s="22"/>
    </row>
    <row r="98" ht="15.75" customHeight="1">
      <c r="F98" s="22"/>
    </row>
    <row r="99" ht="15.75" customHeight="1">
      <c r="F99" s="22"/>
    </row>
    <row r="100" ht="15.75" customHeight="1">
      <c r="F100" s="22"/>
    </row>
    <row r="101" ht="15.75" customHeight="1">
      <c r="F101" s="22"/>
    </row>
    <row r="102" ht="15.75" customHeight="1">
      <c r="F102" s="22"/>
    </row>
    <row r="103" ht="15.75" customHeight="1">
      <c r="F103" s="22"/>
    </row>
    <row r="104" ht="15.75" customHeight="1">
      <c r="F104" s="22"/>
    </row>
    <row r="105" ht="15.75" customHeight="1">
      <c r="F105" s="22"/>
    </row>
    <row r="106" ht="15.75" customHeight="1">
      <c r="F106" s="22"/>
    </row>
    <row r="107" ht="15.75" customHeight="1">
      <c r="F107" s="22"/>
    </row>
    <row r="108" ht="15.75" customHeight="1">
      <c r="F108" s="22"/>
    </row>
    <row r="109" ht="15.75" customHeight="1">
      <c r="F109" s="22"/>
    </row>
    <row r="110" ht="15.75" customHeight="1">
      <c r="F110" s="22"/>
    </row>
    <row r="111" ht="15.75" customHeight="1">
      <c r="F111" s="22"/>
    </row>
    <row r="112" ht="15.75" customHeight="1">
      <c r="F112" s="22"/>
    </row>
    <row r="113" ht="15.75" customHeight="1">
      <c r="F113" s="22"/>
    </row>
    <row r="114" ht="15.75" customHeight="1">
      <c r="F114" s="22"/>
    </row>
    <row r="115" ht="15.75" customHeight="1">
      <c r="F115" s="22"/>
    </row>
    <row r="116" ht="15.75" customHeight="1">
      <c r="F116" s="22"/>
    </row>
    <row r="117" ht="15.75" customHeight="1">
      <c r="F117" s="22"/>
    </row>
    <row r="118" ht="15.75" customHeight="1">
      <c r="F118" s="22"/>
    </row>
    <row r="119" ht="15.75" customHeight="1">
      <c r="F119" s="22"/>
    </row>
    <row r="120" ht="15.75" customHeight="1">
      <c r="F120" s="22"/>
    </row>
    <row r="121" ht="15.75" customHeight="1">
      <c r="F121" s="22"/>
    </row>
    <row r="122" ht="15.75" customHeight="1">
      <c r="F122" s="22"/>
    </row>
    <row r="123" ht="15.75" customHeight="1">
      <c r="F123" s="22"/>
    </row>
    <row r="124" ht="15.75" customHeight="1">
      <c r="F124" s="22"/>
    </row>
    <row r="125" ht="15.75" customHeight="1">
      <c r="F125" s="22"/>
    </row>
    <row r="126" ht="15.75" customHeight="1">
      <c r="F126" s="22"/>
    </row>
    <row r="127" ht="15.75" customHeight="1">
      <c r="F127" s="22"/>
    </row>
    <row r="128" ht="15.75" customHeight="1">
      <c r="F128" s="22"/>
    </row>
    <row r="129" ht="15.75" customHeight="1">
      <c r="F129" s="22"/>
    </row>
    <row r="130" ht="15.75" customHeight="1">
      <c r="F130" s="22"/>
    </row>
    <row r="131" ht="15.75" customHeight="1">
      <c r="F131" s="22"/>
    </row>
    <row r="132" ht="15.75" customHeight="1">
      <c r="F132" s="22"/>
    </row>
    <row r="133" ht="15.75" customHeight="1">
      <c r="F133" s="22"/>
    </row>
    <row r="134" ht="15.75" customHeight="1">
      <c r="F134" s="22"/>
    </row>
    <row r="135" ht="15.75" customHeight="1">
      <c r="F135" s="22"/>
    </row>
    <row r="136" ht="15.75" customHeight="1">
      <c r="F136" s="22"/>
    </row>
    <row r="137" ht="15.75" customHeight="1">
      <c r="F137" s="22"/>
    </row>
    <row r="138" ht="15.75" customHeight="1">
      <c r="F138" s="22"/>
    </row>
    <row r="139" ht="15.75" customHeight="1">
      <c r="F139" s="22"/>
    </row>
    <row r="140" ht="15.75" customHeight="1">
      <c r="F140" s="22"/>
    </row>
    <row r="141" ht="15.75" customHeight="1">
      <c r="F141" s="22"/>
    </row>
    <row r="142" ht="15.75" customHeight="1">
      <c r="F142" s="22"/>
    </row>
    <row r="143" ht="15.75" customHeight="1">
      <c r="F143" s="22"/>
    </row>
    <row r="144" ht="15.75" customHeight="1">
      <c r="F144" s="22"/>
    </row>
    <row r="145" ht="15.75" customHeight="1">
      <c r="F145" s="22"/>
    </row>
    <row r="146" ht="15.75" customHeight="1">
      <c r="F146" s="22"/>
    </row>
    <row r="147" ht="15.75" customHeight="1">
      <c r="F147" s="22"/>
    </row>
    <row r="148" ht="15.75" customHeight="1">
      <c r="F148" s="22"/>
    </row>
    <row r="149" ht="15.75" customHeight="1">
      <c r="F149" s="22"/>
    </row>
    <row r="150" ht="15.75" customHeight="1">
      <c r="F150" s="22"/>
    </row>
    <row r="151" ht="15.75" customHeight="1">
      <c r="F151" s="22"/>
    </row>
    <row r="152" ht="15.75" customHeight="1">
      <c r="F152" s="22"/>
    </row>
    <row r="153" ht="15.75" customHeight="1">
      <c r="F153" s="22"/>
    </row>
    <row r="154" ht="15.75" customHeight="1">
      <c r="F154" s="22"/>
    </row>
    <row r="155" ht="15.75" customHeight="1">
      <c r="F155" s="22"/>
    </row>
    <row r="156" ht="15.75" customHeight="1">
      <c r="F156" s="22"/>
    </row>
    <row r="157" ht="15.75" customHeight="1">
      <c r="F157" s="22"/>
    </row>
    <row r="158" ht="15.75" customHeight="1">
      <c r="F158" s="22"/>
    </row>
    <row r="159" ht="15.75" customHeight="1">
      <c r="F159" s="22"/>
    </row>
    <row r="160" ht="15.75" customHeight="1">
      <c r="F160" s="22"/>
    </row>
    <row r="161" ht="15.75" customHeight="1">
      <c r="F161" s="22"/>
    </row>
    <row r="162" ht="15.75" customHeight="1">
      <c r="F162" s="22"/>
    </row>
    <row r="163" ht="15.75" customHeight="1">
      <c r="F163" s="22"/>
    </row>
    <row r="164" ht="15.75" customHeight="1">
      <c r="F164" s="22"/>
    </row>
    <row r="165" ht="15.75" customHeight="1">
      <c r="F165" s="22"/>
    </row>
    <row r="166" ht="15.75" customHeight="1">
      <c r="F166" s="22"/>
    </row>
    <row r="167" ht="15.75" customHeight="1">
      <c r="F167" s="22"/>
    </row>
    <row r="168" ht="15.75" customHeight="1">
      <c r="F168" s="22"/>
    </row>
    <row r="169" ht="15.75" customHeight="1">
      <c r="F169" s="22"/>
    </row>
    <row r="170" ht="15.75" customHeight="1">
      <c r="F170" s="22"/>
    </row>
    <row r="171" ht="15.75" customHeight="1">
      <c r="F171" s="22"/>
    </row>
    <row r="172" ht="15.75" customHeight="1">
      <c r="F172" s="22"/>
    </row>
    <row r="173" ht="15.75" customHeight="1">
      <c r="F173" s="22"/>
    </row>
    <row r="174" ht="15.75" customHeight="1">
      <c r="F174" s="22"/>
    </row>
    <row r="175" ht="15.75" customHeight="1">
      <c r="F175" s="22"/>
    </row>
    <row r="176" ht="15.75" customHeight="1">
      <c r="F176" s="22"/>
    </row>
    <row r="177" ht="15.75" customHeight="1">
      <c r="F177" s="22"/>
    </row>
    <row r="178" ht="15.75" customHeight="1">
      <c r="F178" s="22"/>
    </row>
    <row r="179" ht="15.75" customHeight="1">
      <c r="F179" s="22"/>
    </row>
    <row r="180" ht="15.75" customHeight="1">
      <c r="F180" s="22"/>
    </row>
    <row r="181" ht="15.75" customHeight="1">
      <c r="F181" s="22"/>
    </row>
    <row r="182" ht="15.75" customHeight="1">
      <c r="F182" s="22"/>
    </row>
    <row r="183" ht="15.75" customHeight="1">
      <c r="F183" s="22"/>
    </row>
    <row r="184" ht="15.75" customHeight="1">
      <c r="F184" s="22"/>
    </row>
    <row r="185" ht="15.75" customHeight="1">
      <c r="F185" s="22"/>
    </row>
    <row r="186" ht="15.75" customHeight="1">
      <c r="F186" s="22"/>
    </row>
    <row r="187" ht="15.75" customHeight="1">
      <c r="F187" s="22"/>
    </row>
    <row r="188" ht="15.75" customHeight="1">
      <c r="F188" s="22"/>
    </row>
    <row r="189" ht="15.75" customHeight="1">
      <c r="F189" s="22"/>
    </row>
    <row r="190" ht="15.75" customHeight="1">
      <c r="F190" s="22"/>
    </row>
    <row r="191" ht="15.75" customHeight="1">
      <c r="F191" s="22"/>
    </row>
    <row r="192" ht="15.75" customHeight="1">
      <c r="F192" s="22"/>
    </row>
    <row r="193" ht="15.75" customHeight="1">
      <c r="F193" s="22"/>
    </row>
    <row r="194" ht="15.75" customHeight="1">
      <c r="F194" s="22"/>
    </row>
    <row r="195" ht="15.75" customHeight="1">
      <c r="F195" s="22"/>
    </row>
    <row r="196" ht="15.75" customHeight="1">
      <c r="F196" s="22"/>
    </row>
    <row r="197" ht="15.75" customHeight="1">
      <c r="F197" s="22"/>
    </row>
    <row r="198" ht="15.75" customHeight="1">
      <c r="F198" s="22"/>
    </row>
    <row r="199" ht="15.75" customHeight="1">
      <c r="F199" s="22"/>
    </row>
    <row r="200" ht="15.75" customHeight="1">
      <c r="F200" s="22"/>
    </row>
    <row r="201" ht="15.75" customHeight="1">
      <c r="F201" s="22"/>
    </row>
    <row r="202" ht="15.75" customHeight="1">
      <c r="F202" s="22"/>
    </row>
    <row r="203" ht="15.75" customHeight="1">
      <c r="F203" s="22"/>
    </row>
    <row r="204" ht="15.75" customHeight="1">
      <c r="F204" s="22"/>
    </row>
    <row r="205" ht="15.75" customHeight="1">
      <c r="F205" s="22"/>
    </row>
    <row r="206" ht="15.75" customHeight="1">
      <c r="F206" s="22"/>
    </row>
    <row r="207" ht="15.75" customHeight="1">
      <c r="F207" s="22"/>
    </row>
    <row r="208" ht="15.75" customHeight="1">
      <c r="F208" s="22"/>
    </row>
    <row r="209" ht="15.75" customHeight="1">
      <c r="F209" s="22"/>
    </row>
    <row r="210" ht="15.75" customHeight="1">
      <c r="F210" s="22"/>
    </row>
    <row r="211" ht="15.75" customHeight="1">
      <c r="F211" s="22"/>
    </row>
    <row r="212" ht="15.75" customHeight="1">
      <c r="F212" s="22"/>
    </row>
    <row r="213" ht="15.75" customHeight="1">
      <c r="F213" s="22"/>
    </row>
    <row r="214" ht="15.75" customHeight="1">
      <c r="F214" s="22"/>
    </row>
    <row r="215" ht="15.75" customHeight="1">
      <c r="F215" s="22"/>
    </row>
    <row r="216" ht="15.75" customHeight="1">
      <c r="F216" s="22"/>
    </row>
    <row r="217" ht="15.75" customHeight="1">
      <c r="F217" s="22"/>
    </row>
    <row r="218" ht="15.75" customHeight="1">
      <c r="F218" s="22"/>
    </row>
    <row r="219" ht="15.75" customHeight="1">
      <c r="F219" s="22"/>
    </row>
    <row r="220" ht="15.75" customHeight="1">
      <c r="F220" s="22"/>
    </row>
    <row r="221" ht="15.75" customHeight="1">
      <c r="F221" s="200"/>
    </row>
    <row r="222" ht="15.75" customHeight="1">
      <c r="F222" s="200"/>
    </row>
    <row r="223" ht="15.75" customHeight="1">
      <c r="F223" s="200"/>
    </row>
    <row r="224" ht="15.75" customHeight="1">
      <c r="F224" s="200"/>
    </row>
    <row r="225" ht="15.75" customHeight="1">
      <c r="F225" s="200"/>
    </row>
    <row r="226" ht="15.75" customHeight="1">
      <c r="F226" s="200"/>
    </row>
    <row r="227" ht="15.75" customHeight="1">
      <c r="F227" s="200"/>
    </row>
    <row r="228" ht="15.75" customHeight="1">
      <c r="F228" s="200"/>
    </row>
    <row r="229" ht="15.75" customHeight="1">
      <c r="F229" s="200"/>
    </row>
    <row r="230" ht="15.75" customHeight="1">
      <c r="F230" s="200"/>
    </row>
    <row r="231" ht="15.75" customHeight="1">
      <c r="F231" s="200"/>
    </row>
    <row r="232" ht="15.75" customHeight="1">
      <c r="F232" s="200"/>
    </row>
    <row r="233" ht="15.75" customHeight="1">
      <c r="F233" s="200"/>
    </row>
    <row r="234" ht="15.75" customHeight="1">
      <c r="F234" s="200"/>
    </row>
    <row r="235" ht="15.75" customHeight="1">
      <c r="F235" s="200"/>
    </row>
    <row r="236" ht="15.75" customHeight="1">
      <c r="F236" s="200"/>
    </row>
    <row r="237" ht="15.75" customHeight="1">
      <c r="F237" s="200"/>
    </row>
    <row r="238" ht="15.75" customHeight="1">
      <c r="F238" s="200"/>
    </row>
    <row r="239" ht="15.75" customHeight="1">
      <c r="F239" s="200"/>
    </row>
    <row r="240" ht="15.75" customHeight="1">
      <c r="F240" s="200"/>
    </row>
    <row r="241" ht="15.75" customHeight="1">
      <c r="F241" s="200"/>
    </row>
    <row r="242" ht="15.75" customHeight="1">
      <c r="F242" s="200"/>
    </row>
    <row r="243" ht="15.75" customHeight="1">
      <c r="F243" s="200"/>
    </row>
    <row r="244" ht="15.75" customHeight="1">
      <c r="F244" s="200"/>
    </row>
    <row r="245" ht="15.75" customHeight="1">
      <c r="F245" s="200"/>
    </row>
    <row r="246" ht="15.75" customHeight="1">
      <c r="F246" s="200"/>
    </row>
    <row r="247" ht="15.75" customHeight="1">
      <c r="F247" s="200"/>
    </row>
    <row r="248" ht="15.75" customHeight="1">
      <c r="F248" s="200"/>
    </row>
    <row r="249" ht="15.75" customHeight="1">
      <c r="F249" s="200"/>
    </row>
    <row r="250" ht="15.75" customHeight="1">
      <c r="F250" s="200"/>
    </row>
    <row r="251" ht="15.75" customHeight="1">
      <c r="F251" s="200"/>
    </row>
    <row r="252" ht="15.75" customHeight="1">
      <c r="F252" s="200"/>
    </row>
    <row r="253" ht="15.75" customHeight="1">
      <c r="F253" s="200"/>
    </row>
    <row r="254" ht="15.75" customHeight="1">
      <c r="F254" s="200"/>
    </row>
    <row r="255" ht="15.75" customHeight="1">
      <c r="F255" s="200"/>
    </row>
    <row r="256" ht="15.75" customHeight="1">
      <c r="F256" s="200"/>
    </row>
    <row r="257" ht="15.75" customHeight="1">
      <c r="F257" s="200"/>
    </row>
    <row r="258" ht="15.75" customHeight="1">
      <c r="F258" s="200"/>
    </row>
    <row r="259" ht="15.75" customHeight="1">
      <c r="F259" s="200"/>
    </row>
    <row r="260" ht="15.75" customHeight="1">
      <c r="F260" s="200"/>
    </row>
    <row r="261" ht="15.75" customHeight="1">
      <c r="F261" s="200"/>
    </row>
    <row r="262" ht="15.75" customHeight="1">
      <c r="F262" s="200"/>
    </row>
    <row r="263" ht="15.75" customHeight="1">
      <c r="F263" s="200"/>
    </row>
    <row r="264" ht="15.75" customHeight="1">
      <c r="F264" s="200"/>
    </row>
    <row r="265" ht="15.75" customHeight="1">
      <c r="F265" s="200"/>
    </row>
    <row r="266" ht="15.75" customHeight="1">
      <c r="F266" s="200"/>
    </row>
    <row r="267" ht="15.75" customHeight="1">
      <c r="F267" s="200"/>
    </row>
    <row r="268" ht="15.75" customHeight="1">
      <c r="F268" s="200"/>
    </row>
    <row r="269" ht="15.75" customHeight="1">
      <c r="F269" s="200"/>
    </row>
    <row r="270" ht="15.75" customHeight="1">
      <c r="F270" s="200"/>
    </row>
    <row r="271" ht="15.75" customHeight="1">
      <c r="F271" s="200"/>
    </row>
    <row r="272" ht="15.75" customHeight="1">
      <c r="F272" s="200"/>
    </row>
    <row r="273" ht="15.75" customHeight="1">
      <c r="F273" s="200"/>
    </row>
    <row r="274" ht="15.75" customHeight="1">
      <c r="F274" s="200"/>
    </row>
    <row r="275" ht="15.75" customHeight="1">
      <c r="F275" s="200"/>
    </row>
    <row r="276" ht="15.75" customHeight="1">
      <c r="F276" s="200"/>
    </row>
    <row r="277" ht="15.75" customHeight="1">
      <c r="F277" s="200"/>
    </row>
    <row r="278" ht="15.75" customHeight="1">
      <c r="F278" s="200"/>
    </row>
    <row r="279" ht="15.75" customHeight="1">
      <c r="F279" s="200"/>
    </row>
    <row r="280" ht="15.75" customHeight="1">
      <c r="F280" s="200"/>
    </row>
    <row r="281" ht="15.75" customHeight="1">
      <c r="F281" s="200"/>
    </row>
    <row r="282" ht="15.75" customHeight="1">
      <c r="F282" s="200"/>
    </row>
    <row r="283" ht="15.75" customHeight="1">
      <c r="F283" s="200"/>
    </row>
    <row r="284" ht="15.75" customHeight="1">
      <c r="F284" s="200"/>
    </row>
    <row r="285" ht="15.75" customHeight="1">
      <c r="F285" s="200"/>
    </row>
    <row r="286" ht="15.75" customHeight="1">
      <c r="F286" s="200"/>
    </row>
    <row r="287" ht="15.75" customHeight="1">
      <c r="F287" s="200"/>
    </row>
    <row r="288" ht="15.75" customHeight="1">
      <c r="F288" s="200"/>
    </row>
    <row r="289" ht="15.75" customHeight="1">
      <c r="F289" s="200"/>
    </row>
    <row r="290" ht="15.75" customHeight="1">
      <c r="F290" s="200"/>
    </row>
    <row r="291" ht="15.75" customHeight="1">
      <c r="F291" s="200"/>
    </row>
    <row r="292" ht="15.75" customHeight="1">
      <c r="F292" s="200"/>
    </row>
    <row r="293" ht="15.75" customHeight="1">
      <c r="F293" s="200"/>
    </row>
    <row r="294" ht="15.75" customHeight="1">
      <c r="F294" s="200"/>
    </row>
    <row r="295" ht="15.75" customHeight="1">
      <c r="F295" s="200"/>
    </row>
    <row r="296" ht="15.75" customHeight="1">
      <c r="F296" s="200"/>
    </row>
    <row r="297" ht="15.75" customHeight="1">
      <c r="F297" s="200"/>
    </row>
    <row r="298" ht="15.75" customHeight="1">
      <c r="F298" s="200"/>
    </row>
    <row r="299" ht="15.75" customHeight="1">
      <c r="F299" s="200"/>
    </row>
    <row r="300" ht="15.75" customHeight="1">
      <c r="F300" s="200"/>
    </row>
    <row r="301" ht="15.75" customHeight="1">
      <c r="F301" s="200"/>
    </row>
    <row r="302" ht="15.75" customHeight="1">
      <c r="F302" s="200"/>
    </row>
    <row r="303" ht="15.75" customHeight="1">
      <c r="F303" s="200"/>
    </row>
    <row r="304" ht="15.75" customHeight="1">
      <c r="F304" s="200"/>
    </row>
    <row r="305" ht="15.75" customHeight="1">
      <c r="F305" s="200"/>
    </row>
    <row r="306" ht="15.75" customHeight="1">
      <c r="F306" s="200"/>
    </row>
    <row r="307" ht="15.75" customHeight="1">
      <c r="F307" s="200"/>
    </row>
    <row r="308" ht="15.75" customHeight="1">
      <c r="F308" s="200"/>
    </row>
    <row r="309" ht="15.75" customHeight="1">
      <c r="F309" s="200"/>
    </row>
    <row r="310" ht="15.75" customHeight="1">
      <c r="F310" s="200"/>
    </row>
    <row r="311" ht="15.75" customHeight="1">
      <c r="F311" s="200"/>
    </row>
    <row r="312" ht="15.75" customHeight="1">
      <c r="F312" s="200"/>
    </row>
    <row r="313" ht="15.75" customHeight="1">
      <c r="F313" s="200"/>
    </row>
    <row r="314" ht="15.75" customHeight="1">
      <c r="F314" s="200"/>
    </row>
    <row r="315" ht="15.75" customHeight="1">
      <c r="F315" s="200"/>
    </row>
    <row r="316" ht="15.75" customHeight="1">
      <c r="F316" s="200"/>
    </row>
    <row r="317" ht="15.75" customHeight="1">
      <c r="F317" s="200"/>
    </row>
    <row r="318" ht="15.75" customHeight="1">
      <c r="F318" s="200"/>
    </row>
    <row r="319" ht="15.75" customHeight="1">
      <c r="F319" s="200"/>
    </row>
    <row r="320" ht="15.75" customHeight="1">
      <c r="F320" s="200"/>
    </row>
    <row r="321" ht="15.75" customHeight="1">
      <c r="F321" s="200"/>
    </row>
    <row r="322" ht="15.75" customHeight="1">
      <c r="F322" s="200"/>
    </row>
    <row r="323" ht="15.75" customHeight="1">
      <c r="F323" s="200"/>
    </row>
    <row r="324" ht="15.75" customHeight="1">
      <c r="F324" s="200"/>
    </row>
    <row r="325" ht="15.75" customHeight="1">
      <c r="F325" s="200"/>
    </row>
    <row r="326" ht="15.75" customHeight="1">
      <c r="F326" s="200"/>
    </row>
    <row r="327" ht="15.75" customHeight="1">
      <c r="F327" s="200"/>
    </row>
    <row r="328" ht="15.75" customHeight="1">
      <c r="F328" s="200"/>
    </row>
    <row r="329" ht="15.75" customHeight="1">
      <c r="F329" s="200"/>
    </row>
    <row r="330" ht="15.75" customHeight="1">
      <c r="F330" s="200"/>
    </row>
    <row r="331" ht="15.75" customHeight="1">
      <c r="F331" s="200"/>
    </row>
    <row r="332" ht="15.75" customHeight="1">
      <c r="F332" s="200"/>
    </row>
    <row r="333" ht="15.75" customHeight="1">
      <c r="F333" s="200"/>
    </row>
    <row r="334" ht="15.75" customHeight="1">
      <c r="F334" s="200"/>
    </row>
    <row r="335" ht="15.75" customHeight="1">
      <c r="F335" s="200"/>
    </row>
    <row r="336" ht="15.75" customHeight="1">
      <c r="F336" s="200"/>
    </row>
    <row r="337" ht="15.75" customHeight="1">
      <c r="F337" s="200"/>
    </row>
    <row r="338" ht="15.75" customHeight="1">
      <c r="F338" s="200"/>
    </row>
    <row r="339" ht="15.75" customHeight="1">
      <c r="F339" s="200"/>
    </row>
    <row r="340" ht="15.75" customHeight="1">
      <c r="F340" s="200"/>
    </row>
    <row r="341" ht="15.75" customHeight="1">
      <c r="F341" s="200"/>
    </row>
    <row r="342" ht="15.75" customHeight="1">
      <c r="F342" s="200"/>
    </row>
    <row r="343" ht="15.75" customHeight="1">
      <c r="F343" s="200"/>
    </row>
    <row r="344" ht="15.75" customHeight="1">
      <c r="F344" s="200"/>
    </row>
    <row r="345" ht="15.75" customHeight="1">
      <c r="F345" s="200"/>
    </row>
    <row r="346" ht="15.75" customHeight="1">
      <c r="F346" s="200"/>
    </row>
    <row r="347" ht="15.75" customHeight="1">
      <c r="F347" s="200"/>
    </row>
    <row r="348" ht="15.75" customHeight="1">
      <c r="F348" s="200"/>
    </row>
    <row r="349" ht="15.75" customHeight="1">
      <c r="F349" s="200"/>
    </row>
    <row r="350" ht="15.75" customHeight="1">
      <c r="F350" s="200"/>
    </row>
    <row r="351" ht="15.75" customHeight="1">
      <c r="F351" s="200"/>
    </row>
    <row r="352" ht="15.75" customHeight="1">
      <c r="F352" s="200"/>
    </row>
    <row r="353" ht="15.75" customHeight="1">
      <c r="F353" s="200"/>
    </row>
    <row r="354" ht="15.75" customHeight="1">
      <c r="F354" s="200"/>
    </row>
    <row r="355" ht="15.75" customHeight="1">
      <c r="F355" s="200"/>
    </row>
    <row r="356" ht="15.75" customHeight="1">
      <c r="F356" s="200"/>
    </row>
    <row r="357" ht="15.75" customHeight="1">
      <c r="F357" s="200"/>
    </row>
    <row r="358" ht="15.75" customHeight="1">
      <c r="F358" s="200"/>
    </row>
    <row r="359" ht="15.75" customHeight="1">
      <c r="F359" s="200"/>
    </row>
    <row r="360" ht="15.75" customHeight="1">
      <c r="F360" s="200"/>
    </row>
    <row r="361" ht="15.75" customHeight="1">
      <c r="F361" s="200"/>
    </row>
    <row r="362" ht="15.75" customHeight="1">
      <c r="F362" s="200"/>
    </row>
    <row r="363" ht="15.75" customHeight="1">
      <c r="F363" s="200"/>
    </row>
    <row r="364" ht="15.75" customHeight="1">
      <c r="F364" s="200"/>
    </row>
    <row r="365" ht="15.75" customHeight="1">
      <c r="F365" s="200"/>
    </row>
    <row r="366" ht="15.75" customHeight="1">
      <c r="F366" s="200"/>
    </row>
    <row r="367" ht="15.75" customHeight="1">
      <c r="F367" s="200"/>
    </row>
    <row r="368" ht="15.75" customHeight="1">
      <c r="F368" s="200"/>
    </row>
    <row r="369" ht="15.75" customHeight="1">
      <c r="F369" s="200"/>
    </row>
    <row r="370" ht="15.75" customHeight="1">
      <c r="F370" s="200"/>
    </row>
    <row r="371" ht="15.75" customHeight="1">
      <c r="F371" s="200"/>
    </row>
    <row r="372" ht="15.75" customHeight="1">
      <c r="F372" s="200"/>
    </row>
    <row r="373" ht="15.75" customHeight="1">
      <c r="F373" s="200"/>
    </row>
    <row r="374" ht="15.75" customHeight="1">
      <c r="F374" s="200"/>
    </row>
    <row r="375" ht="15.75" customHeight="1">
      <c r="F375" s="200"/>
    </row>
    <row r="376" ht="15.75" customHeight="1">
      <c r="F376" s="200"/>
    </row>
    <row r="377" ht="15.75" customHeight="1">
      <c r="F377" s="200"/>
    </row>
    <row r="378" ht="15.75" customHeight="1">
      <c r="F378" s="200"/>
    </row>
    <row r="379" ht="15.75" customHeight="1">
      <c r="F379" s="200"/>
    </row>
    <row r="380" ht="15.75" customHeight="1">
      <c r="F380" s="200"/>
    </row>
    <row r="381" ht="15.75" customHeight="1">
      <c r="F381" s="200"/>
    </row>
    <row r="382" ht="15.75" customHeight="1">
      <c r="F382" s="200"/>
    </row>
    <row r="383" ht="15.75" customHeight="1">
      <c r="F383" s="200"/>
    </row>
    <row r="384" ht="15.75" customHeight="1">
      <c r="F384" s="200"/>
    </row>
    <row r="385" ht="15.75" customHeight="1">
      <c r="F385" s="200"/>
    </row>
    <row r="386" ht="15.75" customHeight="1">
      <c r="F386" s="200"/>
    </row>
    <row r="387" ht="15.75" customHeight="1">
      <c r="F387" s="200"/>
    </row>
    <row r="388" ht="15.75" customHeight="1">
      <c r="F388" s="200"/>
    </row>
    <row r="389" ht="15.75" customHeight="1">
      <c r="F389" s="200"/>
    </row>
    <row r="390" ht="15.75" customHeight="1">
      <c r="F390" s="200"/>
    </row>
    <row r="391" ht="15.75" customHeight="1">
      <c r="F391" s="200"/>
    </row>
    <row r="392" ht="15.75" customHeight="1">
      <c r="F392" s="200"/>
    </row>
    <row r="393" ht="15.75" customHeight="1">
      <c r="F393" s="200"/>
    </row>
    <row r="394" ht="15.75" customHeight="1">
      <c r="F394" s="200"/>
    </row>
    <row r="395" ht="15.75" customHeight="1">
      <c r="F395" s="200"/>
    </row>
    <row r="396" ht="15.75" customHeight="1">
      <c r="F396" s="200"/>
    </row>
    <row r="397" ht="15.75" customHeight="1">
      <c r="F397" s="200"/>
    </row>
    <row r="398" ht="15.75" customHeight="1">
      <c r="F398" s="200"/>
    </row>
    <row r="399" ht="15.75" customHeight="1">
      <c r="F399" s="200"/>
    </row>
    <row r="400" ht="15.75" customHeight="1">
      <c r="F400" s="200"/>
    </row>
    <row r="401" ht="15.75" customHeight="1">
      <c r="F401" s="200"/>
    </row>
    <row r="402" ht="15.75" customHeight="1">
      <c r="F402" s="200"/>
    </row>
    <row r="403" ht="15.75" customHeight="1">
      <c r="F403" s="200"/>
    </row>
    <row r="404" ht="15.75" customHeight="1">
      <c r="F404" s="200"/>
    </row>
    <row r="405" ht="15.75" customHeight="1">
      <c r="F405" s="200"/>
    </row>
    <row r="406" ht="15.75" customHeight="1">
      <c r="F406" s="200"/>
    </row>
    <row r="407" ht="15.75" customHeight="1">
      <c r="F407" s="200"/>
    </row>
    <row r="408" ht="15.75" customHeight="1">
      <c r="F408" s="200"/>
    </row>
    <row r="409" ht="15.75" customHeight="1">
      <c r="F409" s="200"/>
    </row>
    <row r="410" ht="15.75" customHeight="1">
      <c r="F410" s="200"/>
    </row>
    <row r="411" ht="15.75" customHeight="1">
      <c r="F411" s="200"/>
    </row>
    <row r="412" ht="15.75" customHeight="1">
      <c r="F412" s="200"/>
    </row>
    <row r="413" ht="15.75" customHeight="1">
      <c r="F413" s="200"/>
    </row>
    <row r="414" ht="15.75" customHeight="1">
      <c r="F414" s="200"/>
    </row>
    <row r="415" ht="15.75" customHeight="1">
      <c r="F415" s="200"/>
    </row>
    <row r="416" ht="15.75" customHeight="1">
      <c r="F416" s="200"/>
    </row>
    <row r="417" ht="15.75" customHeight="1">
      <c r="F417" s="200"/>
    </row>
    <row r="418" ht="15.75" customHeight="1">
      <c r="F418" s="200"/>
    </row>
    <row r="419" ht="15.75" customHeight="1">
      <c r="F419" s="200"/>
    </row>
    <row r="420" ht="15.75" customHeight="1">
      <c r="F420" s="200"/>
    </row>
    <row r="421" ht="15.75" customHeight="1">
      <c r="F421" s="200"/>
    </row>
    <row r="422" ht="15.75" customHeight="1">
      <c r="F422" s="200"/>
    </row>
    <row r="423" ht="15.75" customHeight="1">
      <c r="F423" s="200"/>
    </row>
    <row r="424" ht="15.75" customHeight="1">
      <c r="F424" s="200"/>
    </row>
    <row r="425" ht="15.75" customHeight="1">
      <c r="F425" s="200"/>
    </row>
    <row r="426" ht="15.75" customHeight="1">
      <c r="F426" s="200"/>
    </row>
    <row r="427" ht="15.75" customHeight="1">
      <c r="F427" s="200"/>
    </row>
    <row r="428" ht="15.75" customHeight="1">
      <c r="F428" s="200"/>
    </row>
    <row r="429" ht="15.75" customHeight="1">
      <c r="F429" s="200"/>
    </row>
    <row r="430" ht="15.75" customHeight="1">
      <c r="F430" s="200"/>
    </row>
    <row r="431" ht="15.75" customHeight="1">
      <c r="F431" s="200"/>
    </row>
    <row r="432" ht="15.75" customHeight="1">
      <c r="F432" s="200"/>
    </row>
    <row r="433" ht="15.75" customHeight="1">
      <c r="F433" s="200"/>
    </row>
    <row r="434" ht="15.75" customHeight="1">
      <c r="F434" s="200"/>
    </row>
    <row r="435" ht="15.75" customHeight="1">
      <c r="F435" s="200"/>
    </row>
    <row r="436" ht="15.75" customHeight="1">
      <c r="F436" s="200"/>
    </row>
    <row r="437" ht="15.75" customHeight="1">
      <c r="F437" s="200"/>
    </row>
    <row r="438" ht="15.75" customHeight="1">
      <c r="F438" s="200"/>
    </row>
    <row r="439" ht="15.75" customHeight="1">
      <c r="F439" s="200"/>
    </row>
    <row r="440" ht="15.75" customHeight="1">
      <c r="F440" s="200"/>
    </row>
    <row r="441" ht="15.75" customHeight="1">
      <c r="F441" s="200"/>
    </row>
    <row r="442" ht="15.75" customHeight="1">
      <c r="F442" s="200"/>
    </row>
    <row r="443" ht="15.75" customHeight="1">
      <c r="F443" s="200"/>
    </row>
    <row r="444" ht="15.75" customHeight="1">
      <c r="F444" s="200"/>
    </row>
    <row r="445" ht="15.75" customHeight="1">
      <c r="F445" s="200"/>
    </row>
    <row r="446" ht="15.75" customHeight="1">
      <c r="F446" s="200"/>
    </row>
    <row r="447" ht="15.75" customHeight="1">
      <c r="F447" s="200"/>
    </row>
    <row r="448" ht="15.75" customHeight="1">
      <c r="F448" s="200"/>
    </row>
    <row r="449" ht="15.75" customHeight="1">
      <c r="F449" s="200"/>
    </row>
    <row r="450" ht="15.75" customHeight="1">
      <c r="F450" s="200"/>
    </row>
    <row r="451" ht="15.75" customHeight="1">
      <c r="F451" s="200"/>
    </row>
    <row r="452" ht="15.75" customHeight="1">
      <c r="F452" s="200"/>
    </row>
    <row r="453" ht="15.75" customHeight="1">
      <c r="F453" s="200"/>
    </row>
    <row r="454" ht="15.75" customHeight="1">
      <c r="F454" s="200"/>
    </row>
    <row r="455" ht="15.75" customHeight="1">
      <c r="F455" s="200"/>
    </row>
    <row r="456" ht="15.75" customHeight="1">
      <c r="F456" s="200"/>
    </row>
    <row r="457" ht="15.75" customHeight="1">
      <c r="F457" s="200"/>
    </row>
    <row r="458" ht="15.75" customHeight="1">
      <c r="F458" s="200"/>
    </row>
    <row r="459" ht="15.75" customHeight="1">
      <c r="F459" s="200"/>
    </row>
    <row r="460" ht="15.75" customHeight="1">
      <c r="F460" s="200"/>
    </row>
    <row r="461" ht="15.75" customHeight="1">
      <c r="F461" s="200"/>
    </row>
    <row r="462" ht="15.75" customHeight="1">
      <c r="F462" s="200"/>
    </row>
    <row r="463" ht="15.75" customHeight="1">
      <c r="F463" s="200"/>
    </row>
    <row r="464" ht="15.75" customHeight="1">
      <c r="F464" s="200"/>
    </row>
    <row r="465" ht="15.75" customHeight="1">
      <c r="F465" s="200"/>
    </row>
    <row r="466" ht="15.75" customHeight="1">
      <c r="F466" s="200"/>
    </row>
    <row r="467" ht="15.75" customHeight="1">
      <c r="F467" s="200"/>
    </row>
    <row r="468" ht="15.75" customHeight="1">
      <c r="F468" s="200"/>
    </row>
    <row r="469" ht="15.75" customHeight="1">
      <c r="F469" s="200"/>
    </row>
    <row r="470" ht="15.75" customHeight="1">
      <c r="F470" s="200"/>
    </row>
    <row r="471" ht="15.75" customHeight="1">
      <c r="F471" s="200"/>
    </row>
    <row r="472" ht="15.75" customHeight="1">
      <c r="F472" s="200"/>
    </row>
    <row r="473" ht="15.75" customHeight="1">
      <c r="F473" s="200"/>
    </row>
    <row r="474" ht="15.75" customHeight="1">
      <c r="F474" s="200"/>
    </row>
    <row r="475" ht="15.75" customHeight="1">
      <c r="F475" s="200"/>
    </row>
    <row r="476" ht="15.75" customHeight="1">
      <c r="F476" s="200"/>
    </row>
    <row r="477" ht="15.75" customHeight="1">
      <c r="F477" s="200"/>
    </row>
    <row r="478" ht="15.75" customHeight="1">
      <c r="F478" s="200"/>
    </row>
    <row r="479" ht="15.75" customHeight="1">
      <c r="F479" s="200"/>
    </row>
    <row r="480" ht="15.75" customHeight="1">
      <c r="F480" s="200"/>
    </row>
    <row r="481" ht="15.75" customHeight="1">
      <c r="F481" s="200"/>
    </row>
    <row r="482" ht="15.75" customHeight="1">
      <c r="F482" s="200"/>
    </row>
    <row r="483" ht="15.75" customHeight="1">
      <c r="F483" s="200"/>
    </row>
    <row r="484" ht="15.75" customHeight="1">
      <c r="F484" s="200"/>
    </row>
    <row r="485" ht="15.75" customHeight="1">
      <c r="F485" s="200"/>
    </row>
    <row r="486" ht="15.75" customHeight="1">
      <c r="F486" s="200"/>
    </row>
    <row r="487" ht="15.75" customHeight="1">
      <c r="F487" s="200"/>
    </row>
    <row r="488" ht="15.75" customHeight="1">
      <c r="F488" s="200"/>
    </row>
    <row r="489" ht="15.75" customHeight="1">
      <c r="F489" s="200"/>
    </row>
    <row r="490" ht="15.75" customHeight="1">
      <c r="F490" s="200"/>
    </row>
    <row r="491" ht="15.75" customHeight="1">
      <c r="F491" s="200"/>
    </row>
    <row r="492" ht="15.75" customHeight="1">
      <c r="F492" s="200"/>
    </row>
    <row r="493" ht="15.75" customHeight="1">
      <c r="F493" s="200"/>
    </row>
    <row r="494" ht="15.75" customHeight="1">
      <c r="F494" s="200"/>
    </row>
    <row r="495" ht="15.75" customHeight="1">
      <c r="F495" s="200"/>
    </row>
    <row r="496" ht="15.75" customHeight="1">
      <c r="F496" s="200"/>
    </row>
    <row r="497" ht="15.75" customHeight="1">
      <c r="F497" s="200"/>
    </row>
    <row r="498" ht="15.75" customHeight="1">
      <c r="F498" s="200"/>
    </row>
    <row r="499" ht="15.75" customHeight="1">
      <c r="F499" s="200"/>
    </row>
    <row r="500" ht="15.75" customHeight="1">
      <c r="F500" s="200"/>
    </row>
    <row r="501" ht="15.75" customHeight="1">
      <c r="F501" s="200"/>
    </row>
    <row r="502" ht="15.75" customHeight="1">
      <c r="F502" s="200"/>
    </row>
    <row r="503" ht="15.75" customHeight="1">
      <c r="F503" s="200"/>
    </row>
    <row r="504" ht="15.75" customHeight="1">
      <c r="F504" s="200"/>
    </row>
    <row r="505" ht="15.75" customHeight="1">
      <c r="F505" s="200"/>
    </row>
    <row r="506" ht="15.75" customHeight="1">
      <c r="F506" s="200"/>
    </row>
    <row r="507" ht="15.75" customHeight="1">
      <c r="F507" s="200"/>
    </row>
    <row r="508" ht="15.75" customHeight="1">
      <c r="F508" s="200"/>
    </row>
    <row r="509" ht="15.75" customHeight="1">
      <c r="F509" s="200"/>
    </row>
    <row r="510" ht="15.75" customHeight="1">
      <c r="F510" s="200"/>
    </row>
    <row r="511" ht="15.75" customHeight="1">
      <c r="F511" s="200"/>
    </row>
    <row r="512" ht="15.75" customHeight="1">
      <c r="F512" s="200"/>
    </row>
    <row r="513" ht="15.75" customHeight="1">
      <c r="F513" s="200"/>
    </row>
    <row r="514" ht="15.75" customHeight="1">
      <c r="F514" s="200"/>
    </row>
    <row r="515" ht="15.75" customHeight="1">
      <c r="F515" s="200"/>
    </row>
    <row r="516" ht="15.75" customHeight="1">
      <c r="F516" s="200"/>
    </row>
    <row r="517" ht="15.75" customHeight="1">
      <c r="F517" s="200"/>
    </row>
    <row r="518" ht="15.75" customHeight="1">
      <c r="F518" s="200"/>
    </row>
    <row r="519" ht="15.75" customHeight="1">
      <c r="F519" s="200"/>
    </row>
    <row r="520" ht="15.75" customHeight="1">
      <c r="F520" s="200"/>
    </row>
    <row r="521" ht="15.75" customHeight="1">
      <c r="F521" s="200"/>
    </row>
    <row r="522" ht="15.75" customHeight="1">
      <c r="F522" s="200"/>
    </row>
    <row r="523" ht="15.75" customHeight="1">
      <c r="F523" s="200"/>
    </row>
    <row r="524" ht="15.75" customHeight="1">
      <c r="F524" s="200"/>
    </row>
    <row r="525" ht="15.75" customHeight="1">
      <c r="F525" s="200"/>
    </row>
    <row r="526" ht="15.75" customHeight="1">
      <c r="F526" s="200"/>
    </row>
    <row r="527" ht="15.75" customHeight="1">
      <c r="F527" s="200"/>
    </row>
    <row r="528" ht="15.75" customHeight="1">
      <c r="F528" s="200"/>
    </row>
    <row r="529" ht="15.75" customHeight="1">
      <c r="F529" s="200"/>
    </row>
    <row r="530" ht="15.75" customHeight="1">
      <c r="F530" s="200"/>
    </row>
    <row r="531" ht="15.75" customHeight="1">
      <c r="F531" s="200"/>
    </row>
    <row r="532" ht="15.75" customHeight="1">
      <c r="F532" s="200"/>
    </row>
    <row r="533" ht="15.75" customHeight="1">
      <c r="F533" s="200"/>
    </row>
    <row r="534" ht="15.75" customHeight="1">
      <c r="F534" s="200"/>
    </row>
    <row r="535" ht="15.75" customHeight="1">
      <c r="F535" s="200"/>
    </row>
    <row r="536" ht="15.75" customHeight="1">
      <c r="F536" s="200"/>
    </row>
    <row r="537" ht="15.75" customHeight="1">
      <c r="F537" s="200"/>
    </row>
    <row r="538" ht="15.75" customHeight="1">
      <c r="F538" s="200"/>
    </row>
    <row r="539" ht="15.75" customHeight="1">
      <c r="F539" s="200"/>
    </row>
    <row r="540" ht="15.75" customHeight="1">
      <c r="F540" s="200"/>
    </row>
    <row r="541" ht="15.75" customHeight="1">
      <c r="F541" s="200"/>
    </row>
    <row r="542" ht="15.75" customHeight="1">
      <c r="F542" s="200"/>
    </row>
    <row r="543" ht="15.75" customHeight="1">
      <c r="F543" s="200"/>
    </row>
    <row r="544" ht="15.75" customHeight="1">
      <c r="F544" s="200"/>
    </row>
    <row r="545" ht="15.75" customHeight="1">
      <c r="F545" s="200"/>
    </row>
    <row r="546" ht="15.75" customHeight="1">
      <c r="F546" s="200"/>
    </row>
    <row r="547" ht="15.75" customHeight="1">
      <c r="F547" s="200"/>
    </row>
    <row r="548" ht="15.75" customHeight="1">
      <c r="F548" s="200"/>
    </row>
    <row r="549" ht="15.75" customHeight="1">
      <c r="F549" s="200"/>
    </row>
    <row r="550" ht="15.75" customHeight="1">
      <c r="F550" s="200"/>
    </row>
    <row r="551" ht="15.75" customHeight="1">
      <c r="F551" s="200"/>
    </row>
    <row r="552" ht="15.75" customHeight="1">
      <c r="F552" s="200"/>
    </row>
    <row r="553" ht="15.75" customHeight="1">
      <c r="F553" s="200"/>
    </row>
    <row r="554" ht="15.75" customHeight="1">
      <c r="F554" s="200"/>
    </row>
    <row r="555" ht="15.75" customHeight="1">
      <c r="F555" s="200"/>
    </row>
    <row r="556" ht="15.75" customHeight="1">
      <c r="F556" s="200"/>
    </row>
    <row r="557" ht="15.75" customHeight="1">
      <c r="F557" s="200"/>
    </row>
    <row r="558" ht="15.75" customHeight="1">
      <c r="F558" s="200"/>
    </row>
    <row r="559" ht="15.75" customHeight="1">
      <c r="F559" s="200"/>
    </row>
    <row r="560" ht="15.75" customHeight="1">
      <c r="F560" s="200"/>
    </row>
    <row r="561" ht="15.75" customHeight="1">
      <c r="F561" s="200"/>
    </row>
    <row r="562" ht="15.75" customHeight="1">
      <c r="F562" s="200"/>
    </row>
    <row r="563" ht="15.75" customHeight="1">
      <c r="F563" s="200"/>
    </row>
    <row r="564" ht="15.75" customHeight="1">
      <c r="F564" s="200"/>
    </row>
    <row r="565" ht="15.75" customHeight="1">
      <c r="F565" s="200"/>
    </row>
    <row r="566" ht="15.75" customHeight="1">
      <c r="F566" s="200"/>
    </row>
    <row r="567" ht="15.75" customHeight="1">
      <c r="F567" s="200"/>
    </row>
    <row r="568" ht="15.75" customHeight="1">
      <c r="F568" s="200"/>
    </row>
    <row r="569" ht="15.75" customHeight="1">
      <c r="F569" s="200"/>
    </row>
    <row r="570" ht="15.75" customHeight="1">
      <c r="F570" s="200"/>
    </row>
    <row r="571" ht="15.75" customHeight="1">
      <c r="F571" s="200"/>
    </row>
    <row r="572" ht="15.75" customHeight="1">
      <c r="F572" s="200"/>
    </row>
    <row r="573" ht="15.75" customHeight="1">
      <c r="F573" s="200"/>
    </row>
    <row r="574" ht="15.75" customHeight="1">
      <c r="F574" s="200"/>
    </row>
    <row r="575" ht="15.75" customHeight="1">
      <c r="F575" s="200"/>
    </row>
    <row r="576" ht="15.75" customHeight="1">
      <c r="F576" s="200"/>
    </row>
    <row r="577" ht="15.75" customHeight="1">
      <c r="F577" s="200"/>
    </row>
    <row r="578" ht="15.75" customHeight="1">
      <c r="F578" s="200"/>
    </row>
    <row r="579" ht="15.75" customHeight="1">
      <c r="F579" s="200"/>
    </row>
    <row r="580" ht="15.75" customHeight="1">
      <c r="F580" s="200"/>
    </row>
    <row r="581" ht="15.75" customHeight="1">
      <c r="F581" s="200"/>
    </row>
    <row r="582" ht="15.75" customHeight="1">
      <c r="F582" s="200"/>
    </row>
    <row r="583" ht="15.75" customHeight="1">
      <c r="F583" s="200"/>
    </row>
    <row r="584" ht="15.75" customHeight="1">
      <c r="F584" s="200"/>
    </row>
    <row r="585" ht="15.75" customHeight="1">
      <c r="F585" s="200"/>
    </row>
    <row r="586" ht="15.75" customHeight="1">
      <c r="F586" s="200"/>
    </row>
    <row r="587" ht="15.75" customHeight="1">
      <c r="F587" s="200"/>
    </row>
    <row r="588" ht="15.75" customHeight="1">
      <c r="F588" s="200"/>
    </row>
    <row r="589" ht="15.75" customHeight="1">
      <c r="F589" s="200"/>
    </row>
    <row r="590" ht="15.75" customHeight="1">
      <c r="F590" s="200"/>
    </row>
    <row r="591" ht="15.75" customHeight="1">
      <c r="F591" s="200"/>
    </row>
    <row r="592" ht="15.75" customHeight="1">
      <c r="F592" s="200"/>
    </row>
    <row r="593" ht="15.75" customHeight="1">
      <c r="F593" s="200"/>
    </row>
    <row r="594" ht="15.75" customHeight="1">
      <c r="F594" s="200"/>
    </row>
    <row r="595" ht="15.75" customHeight="1">
      <c r="F595" s="200"/>
    </row>
    <row r="596" ht="15.75" customHeight="1">
      <c r="F596" s="200"/>
    </row>
    <row r="597" ht="15.75" customHeight="1">
      <c r="F597" s="200"/>
    </row>
    <row r="598" ht="15.75" customHeight="1">
      <c r="F598" s="200"/>
    </row>
    <row r="599" ht="15.75" customHeight="1">
      <c r="F599" s="200"/>
    </row>
    <row r="600" ht="15.75" customHeight="1">
      <c r="F600" s="200"/>
    </row>
    <row r="601" ht="15.75" customHeight="1">
      <c r="F601" s="200"/>
    </row>
    <row r="602" ht="15.75" customHeight="1">
      <c r="F602" s="200"/>
    </row>
    <row r="603" ht="15.75" customHeight="1">
      <c r="F603" s="200"/>
    </row>
    <row r="604" ht="15.75" customHeight="1">
      <c r="F604" s="200"/>
    </row>
    <row r="605" ht="15.75" customHeight="1">
      <c r="F605" s="200"/>
    </row>
    <row r="606" ht="15.75" customHeight="1">
      <c r="F606" s="200"/>
    </row>
    <row r="607" ht="15.75" customHeight="1">
      <c r="F607" s="200"/>
    </row>
    <row r="608" ht="15.75" customHeight="1">
      <c r="F608" s="200"/>
    </row>
    <row r="609" ht="15.75" customHeight="1">
      <c r="F609" s="200"/>
    </row>
    <row r="610" ht="15.75" customHeight="1">
      <c r="F610" s="200"/>
    </row>
    <row r="611" ht="15.75" customHeight="1">
      <c r="F611" s="200"/>
    </row>
    <row r="612" ht="15.75" customHeight="1">
      <c r="F612" s="200"/>
    </row>
    <row r="613" ht="15.75" customHeight="1">
      <c r="F613" s="200"/>
    </row>
    <row r="614" ht="15.75" customHeight="1">
      <c r="F614" s="200"/>
    </row>
    <row r="615" ht="15.75" customHeight="1">
      <c r="F615" s="200"/>
    </row>
    <row r="616" ht="15.75" customHeight="1">
      <c r="F616" s="200"/>
    </row>
    <row r="617" ht="15.75" customHeight="1">
      <c r="F617" s="200"/>
    </row>
    <row r="618" ht="15.75" customHeight="1">
      <c r="F618" s="200"/>
    </row>
    <row r="619" ht="15.75" customHeight="1">
      <c r="F619" s="200"/>
    </row>
    <row r="620" ht="15.75" customHeight="1">
      <c r="F620" s="200"/>
    </row>
    <row r="621" ht="15.75" customHeight="1">
      <c r="F621" s="200"/>
    </row>
    <row r="622" ht="15.75" customHeight="1">
      <c r="F622" s="200"/>
    </row>
    <row r="623" ht="15.75" customHeight="1">
      <c r="F623" s="200"/>
    </row>
    <row r="624" ht="15.75" customHeight="1">
      <c r="F624" s="200"/>
    </row>
    <row r="625" ht="15.75" customHeight="1">
      <c r="F625" s="200"/>
    </row>
    <row r="626" ht="15.75" customHeight="1">
      <c r="F626" s="200"/>
    </row>
    <row r="627" ht="15.75" customHeight="1">
      <c r="F627" s="200"/>
    </row>
    <row r="628" ht="15.75" customHeight="1">
      <c r="F628" s="200"/>
    </row>
    <row r="629" ht="15.75" customHeight="1">
      <c r="F629" s="200"/>
    </row>
    <row r="630" ht="15.75" customHeight="1">
      <c r="F630" s="200"/>
    </row>
    <row r="631" ht="15.75" customHeight="1">
      <c r="F631" s="200"/>
    </row>
    <row r="632" ht="15.75" customHeight="1">
      <c r="F632" s="200"/>
    </row>
    <row r="633" ht="15.75" customHeight="1">
      <c r="F633" s="200"/>
    </row>
    <row r="634" ht="15.75" customHeight="1">
      <c r="F634" s="200"/>
    </row>
    <row r="635" ht="15.75" customHeight="1">
      <c r="F635" s="200"/>
    </row>
    <row r="636" ht="15.75" customHeight="1">
      <c r="F636" s="200"/>
    </row>
    <row r="637" ht="15.75" customHeight="1">
      <c r="F637" s="200"/>
    </row>
    <row r="638" ht="15.75" customHeight="1">
      <c r="F638" s="200"/>
    </row>
    <row r="639" ht="15.75" customHeight="1">
      <c r="F639" s="200"/>
    </row>
    <row r="640" ht="15.75" customHeight="1">
      <c r="F640" s="200"/>
    </row>
    <row r="641" ht="15.75" customHeight="1">
      <c r="F641" s="200"/>
    </row>
    <row r="642" ht="15.75" customHeight="1">
      <c r="F642" s="200"/>
    </row>
    <row r="643" ht="15.75" customHeight="1">
      <c r="F643" s="200"/>
    </row>
    <row r="644" ht="15.75" customHeight="1">
      <c r="F644" s="200"/>
    </row>
    <row r="645" ht="15.75" customHeight="1">
      <c r="F645" s="200"/>
    </row>
    <row r="646" ht="15.75" customHeight="1">
      <c r="F646" s="200"/>
    </row>
    <row r="647" ht="15.75" customHeight="1">
      <c r="F647" s="200"/>
    </row>
    <row r="648" ht="15.75" customHeight="1">
      <c r="F648" s="200"/>
    </row>
    <row r="649" ht="15.75" customHeight="1">
      <c r="F649" s="200"/>
    </row>
    <row r="650" ht="15.75" customHeight="1">
      <c r="F650" s="200"/>
    </row>
    <row r="651" ht="15.75" customHeight="1">
      <c r="F651" s="200"/>
    </row>
    <row r="652" ht="15.75" customHeight="1">
      <c r="F652" s="200"/>
    </row>
    <row r="653" ht="15.75" customHeight="1">
      <c r="F653" s="200"/>
    </row>
    <row r="654" ht="15.75" customHeight="1">
      <c r="F654" s="200"/>
    </row>
    <row r="655" ht="15.75" customHeight="1">
      <c r="F655" s="200"/>
    </row>
    <row r="656" ht="15.75" customHeight="1">
      <c r="F656" s="200"/>
    </row>
    <row r="657" ht="15.75" customHeight="1">
      <c r="F657" s="200"/>
    </row>
    <row r="658" ht="15.75" customHeight="1">
      <c r="F658" s="200"/>
    </row>
    <row r="659" ht="15.75" customHeight="1">
      <c r="F659" s="200"/>
    </row>
    <row r="660" ht="15.75" customHeight="1">
      <c r="F660" s="200"/>
    </row>
    <row r="661" ht="15.75" customHeight="1">
      <c r="F661" s="200"/>
    </row>
    <row r="662" ht="15.75" customHeight="1">
      <c r="F662" s="200"/>
    </row>
    <row r="663" ht="15.75" customHeight="1">
      <c r="F663" s="200"/>
    </row>
    <row r="664" ht="15.75" customHeight="1">
      <c r="F664" s="200"/>
    </row>
    <row r="665" ht="15.75" customHeight="1">
      <c r="F665" s="200"/>
    </row>
    <row r="666" ht="15.75" customHeight="1">
      <c r="F666" s="200"/>
    </row>
    <row r="667" ht="15.75" customHeight="1">
      <c r="F667" s="200"/>
    </row>
    <row r="668" ht="15.75" customHeight="1">
      <c r="F668" s="200"/>
    </row>
    <row r="669" ht="15.75" customHeight="1">
      <c r="F669" s="200"/>
    </row>
    <row r="670" ht="15.75" customHeight="1">
      <c r="F670" s="200"/>
    </row>
    <row r="671" ht="15.75" customHeight="1">
      <c r="F671" s="200"/>
    </row>
    <row r="672" ht="15.75" customHeight="1">
      <c r="F672" s="200"/>
    </row>
    <row r="673" ht="15.75" customHeight="1">
      <c r="F673" s="200"/>
    </row>
    <row r="674" ht="15.75" customHeight="1">
      <c r="F674" s="200"/>
    </row>
    <row r="675" ht="15.75" customHeight="1">
      <c r="F675" s="200"/>
    </row>
    <row r="676" ht="15.75" customHeight="1">
      <c r="F676" s="200"/>
    </row>
    <row r="677" ht="15.75" customHeight="1">
      <c r="F677" s="200"/>
    </row>
    <row r="678" ht="15.75" customHeight="1">
      <c r="F678" s="200"/>
    </row>
    <row r="679" ht="15.75" customHeight="1">
      <c r="F679" s="200"/>
    </row>
    <row r="680" ht="15.75" customHeight="1">
      <c r="F680" s="200"/>
    </row>
    <row r="681" ht="15.75" customHeight="1">
      <c r="F681" s="200"/>
    </row>
    <row r="682" ht="15.75" customHeight="1">
      <c r="F682" s="200"/>
    </row>
    <row r="683" ht="15.75" customHeight="1">
      <c r="F683" s="200"/>
    </row>
    <row r="684" ht="15.75" customHeight="1">
      <c r="F684" s="200"/>
    </row>
    <row r="685" ht="15.75" customHeight="1">
      <c r="F685" s="200"/>
    </row>
    <row r="686" ht="15.75" customHeight="1">
      <c r="F686" s="200"/>
    </row>
    <row r="687" ht="15.75" customHeight="1">
      <c r="F687" s="200"/>
    </row>
    <row r="688" ht="15.75" customHeight="1">
      <c r="F688" s="200"/>
    </row>
    <row r="689" ht="15.75" customHeight="1">
      <c r="F689" s="200"/>
    </row>
    <row r="690" ht="15.75" customHeight="1">
      <c r="F690" s="200"/>
    </row>
    <row r="691" ht="15.75" customHeight="1">
      <c r="F691" s="200"/>
    </row>
    <row r="692" ht="15.75" customHeight="1">
      <c r="F692" s="200"/>
    </row>
    <row r="693" ht="15.75" customHeight="1">
      <c r="F693" s="200"/>
    </row>
    <row r="694" ht="15.75" customHeight="1">
      <c r="F694" s="200"/>
    </row>
    <row r="695" ht="15.75" customHeight="1">
      <c r="F695" s="200"/>
    </row>
    <row r="696" ht="15.75" customHeight="1">
      <c r="F696" s="200"/>
    </row>
    <row r="697" ht="15.75" customHeight="1">
      <c r="F697" s="200"/>
    </row>
    <row r="698" ht="15.75" customHeight="1">
      <c r="F698" s="200"/>
    </row>
    <row r="699" ht="15.75" customHeight="1">
      <c r="F699" s="200"/>
    </row>
    <row r="700" ht="15.75" customHeight="1">
      <c r="F700" s="200"/>
    </row>
    <row r="701" ht="15.75" customHeight="1">
      <c r="F701" s="200"/>
    </row>
    <row r="702" ht="15.75" customHeight="1">
      <c r="F702" s="200"/>
    </row>
    <row r="703" ht="15.75" customHeight="1">
      <c r="F703" s="200"/>
    </row>
    <row r="704" ht="15.75" customHeight="1">
      <c r="F704" s="200"/>
    </row>
    <row r="705" ht="15.75" customHeight="1">
      <c r="F705" s="200"/>
    </row>
    <row r="706" ht="15.75" customHeight="1">
      <c r="F706" s="200"/>
    </row>
    <row r="707" ht="15.75" customHeight="1">
      <c r="F707" s="200"/>
    </row>
    <row r="708" ht="15.75" customHeight="1">
      <c r="F708" s="200"/>
    </row>
    <row r="709" ht="15.75" customHeight="1">
      <c r="F709" s="200"/>
    </row>
    <row r="710" ht="15.75" customHeight="1">
      <c r="F710" s="200"/>
    </row>
    <row r="711" ht="15.75" customHeight="1">
      <c r="F711" s="200"/>
    </row>
    <row r="712" ht="15.75" customHeight="1">
      <c r="F712" s="200"/>
    </row>
    <row r="713" ht="15.75" customHeight="1">
      <c r="F713" s="200"/>
    </row>
    <row r="714" ht="15.75" customHeight="1">
      <c r="F714" s="200"/>
    </row>
    <row r="715" ht="15.75" customHeight="1">
      <c r="F715" s="200"/>
    </row>
    <row r="716" ht="15.75" customHeight="1">
      <c r="F716" s="200"/>
    </row>
    <row r="717" ht="15.75" customHeight="1">
      <c r="F717" s="200"/>
    </row>
    <row r="718" ht="15.75" customHeight="1">
      <c r="F718" s="200"/>
    </row>
    <row r="719" ht="15.75" customHeight="1">
      <c r="F719" s="200"/>
    </row>
    <row r="720" ht="15.75" customHeight="1">
      <c r="F720" s="200"/>
    </row>
    <row r="721" ht="15.75" customHeight="1">
      <c r="F721" s="200"/>
    </row>
    <row r="722" ht="15.75" customHeight="1">
      <c r="F722" s="200"/>
    </row>
    <row r="723" ht="15.75" customHeight="1">
      <c r="F723" s="200"/>
    </row>
    <row r="724" ht="15.75" customHeight="1">
      <c r="F724" s="200"/>
    </row>
    <row r="725" ht="15.75" customHeight="1">
      <c r="F725" s="200"/>
    </row>
    <row r="726" ht="15.75" customHeight="1">
      <c r="F726" s="200"/>
    </row>
    <row r="727" ht="15.75" customHeight="1">
      <c r="F727" s="200"/>
    </row>
    <row r="728" ht="15.75" customHeight="1">
      <c r="F728" s="200"/>
    </row>
    <row r="729" ht="15.75" customHeight="1">
      <c r="F729" s="200"/>
    </row>
    <row r="730" ht="15.75" customHeight="1">
      <c r="F730" s="200"/>
    </row>
    <row r="731" ht="15.75" customHeight="1">
      <c r="F731" s="200"/>
    </row>
    <row r="732" ht="15.75" customHeight="1">
      <c r="F732" s="200"/>
    </row>
    <row r="733" ht="15.75" customHeight="1">
      <c r="F733" s="200"/>
    </row>
    <row r="734" ht="15.75" customHeight="1">
      <c r="F734" s="200"/>
    </row>
    <row r="735" ht="15.75" customHeight="1">
      <c r="F735" s="200"/>
    </row>
    <row r="736" ht="15.75" customHeight="1">
      <c r="F736" s="200"/>
    </row>
    <row r="737" ht="15.75" customHeight="1">
      <c r="F737" s="200"/>
    </row>
    <row r="738" ht="15.75" customHeight="1">
      <c r="F738" s="200"/>
    </row>
    <row r="739" ht="15.75" customHeight="1">
      <c r="F739" s="200"/>
    </row>
    <row r="740" ht="15.75" customHeight="1">
      <c r="F740" s="200"/>
    </row>
    <row r="741" ht="15.75" customHeight="1">
      <c r="F741" s="200"/>
    </row>
    <row r="742" ht="15.75" customHeight="1">
      <c r="F742" s="200"/>
    </row>
    <row r="743" ht="15.75" customHeight="1">
      <c r="F743" s="200"/>
    </row>
    <row r="744" ht="15.75" customHeight="1">
      <c r="F744" s="200"/>
    </row>
    <row r="745" ht="15.75" customHeight="1">
      <c r="F745" s="200"/>
    </row>
    <row r="746" ht="15.75" customHeight="1">
      <c r="F746" s="200"/>
    </row>
    <row r="747" ht="15.75" customHeight="1">
      <c r="F747" s="200"/>
    </row>
    <row r="748" ht="15.75" customHeight="1">
      <c r="F748" s="200"/>
    </row>
    <row r="749" ht="15.75" customHeight="1">
      <c r="F749" s="200"/>
    </row>
    <row r="750" ht="15.75" customHeight="1">
      <c r="F750" s="200"/>
    </row>
    <row r="751" ht="15.75" customHeight="1">
      <c r="F751" s="200"/>
    </row>
    <row r="752" ht="15.75" customHeight="1">
      <c r="F752" s="200"/>
    </row>
    <row r="753" ht="15.75" customHeight="1">
      <c r="F753" s="200"/>
    </row>
    <row r="754" ht="15.75" customHeight="1">
      <c r="F754" s="200"/>
    </row>
    <row r="755" ht="15.75" customHeight="1">
      <c r="F755" s="200"/>
    </row>
    <row r="756" ht="15.75" customHeight="1">
      <c r="F756" s="200"/>
    </row>
    <row r="757" ht="15.75" customHeight="1">
      <c r="F757" s="200"/>
    </row>
    <row r="758" ht="15.75" customHeight="1">
      <c r="F758" s="200"/>
    </row>
    <row r="759" ht="15.75" customHeight="1">
      <c r="F759" s="200"/>
    </row>
    <row r="760" ht="15.75" customHeight="1">
      <c r="F760" s="200"/>
    </row>
    <row r="761" ht="15.75" customHeight="1">
      <c r="F761" s="200"/>
    </row>
    <row r="762" ht="15.75" customHeight="1">
      <c r="F762" s="200"/>
    </row>
    <row r="763" ht="15.75" customHeight="1">
      <c r="F763" s="200"/>
    </row>
    <row r="764" ht="15.75" customHeight="1">
      <c r="F764" s="200"/>
    </row>
    <row r="765" ht="15.75" customHeight="1">
      <c r="F765" s="200"/>
    </row>
    <row r="766" ht="15.75" customHeight="1">
      <c r="F766" s="200"/>
    </row>
    <row r="767" ht="15.75" customHeight="1">
      <c r="F767" s="200"/>
    </row>
    <row r="768" ht="15.75" customHeight="1">
      <c r="F768" s="200"/>
    </row>
    <row r="769" ht="15.75" customHeight="1">
      <c r="F769" s="200"/>
    </row>
    <row r="770" ht="15.75" customHeight="1">
      <c r="F770" s="200"/>
    </row>
    <row r="771" ht="15.75" customHeight="1">
      <c r="F771" s="200"/>
    </row>
    <row r="772" ht="15.75" customHeight="1">
      <c r="F772" s="200"/>
    </row>
    <row r="773" ht="15.75" customHeight="1">
      <c r="F773" s="200"/>
    </row>
    <row r="774" ht="15.75" customHeight="1">
      <c r="F774" s="200"/>
    </row>
    <row r="775" ht="15.75" customHeight="1">
      <c r="F775" s="200"/>
    </row>
    <row r="776" ht="15.75" customHeight="1">
      <c r="F776" s="200"/>
    </row>
    <row r="777" ht="15.75" customHeight="1">
      <c r="F777" s="200"/>
    </row>
    <row r="778" ht="15.75" customHeight="1">
      <c r="F778" s="200"/>
    </row>
    <row r="779" ht="15.75" customHeight="1">
      <c r="F779" s="200"/>
    </row>
    <row r="780" ht="15.75" customHeight="1">
      <c r="F780" s="200"/>
    </row>
    <row r="781" ht="15.75" customHeight="1">
      <c r="F781" s="200"/>
    </row>
    <row r="782" ht="15.75" customHeight="1">
      <c r="F782" s="200"/>
    </row>
    <row r="783" ht="15.75" customHeight="1">
      <c r="F783" s="200"/>
    </row>
    <row r="784" ht="15.75" customHeight="1">
      <c r="F784" s="200"/>
    </row>
    <row r="785" ht="15.75" customHeight="1">
      <c r="F785" s="200"/>
    </row>
    <row r="786" ht="15.75" customHeight="1">
      <c r="F786" s="200"/>
    </row>
    <row r="787" ht="15.75" customHeight="1">
      <c r="F787" s="200"/>
    </row>
    <row r="788" ht="15.75" customHeight="1">
      <c r="F788" s="200"/>
    </row>
    <row r="789" ht="15.75" customHeight="1">
      <c r="F789" s="200"/>
    </row>
    <row r="790" ht="15.75" customHeight="1">
      <c r="F790" s="200"/>
    </row>
    <row r="791" ht="15.75" customHeight="1">
      <c r="F791" s="200"/>
    </row>
    <row r="792" ht="15.75" customHeight="1">
      <c r="F792" s="200"/>
    </row>
    <row r="793" ht="15.75" customHeight="1">
      <c r="F793" s="200"/>
    </row>
    <row r="794" ht="15.75" customHeight="1">
      <c r="F794" s="200"/>
    </row>
    <row r="795" ht="15.75" customHeight="1">
      <c r="F795" s="200"/>
    </row>
    <row r="796" ht="15.75" customHeight="1">
      <c r="F796" s="200"/>
    </row>
    <row r="797" ht="15.75" customHeight="1">
      <c r="F797" s="200"/>
    </row>
    <row r="798" ht="15.75" customHeight="1">
      <c r="F798" s="200"/>
    </row>
    <row r="799" ht="15.75" customHeight="1">
      <c r="F799" s="200"/>
    </row>
    <row r="800" ht="15.75" customHeight="1">
      <c r="F800" s="200"/>
    </row>
    <row r="801" ht="15.75" customHeight="1">
      <c r="F801" s="200"/>
    </row>
    <row r="802" ht="15.75" customHeight="1">
      <c r="F802" s="200"/>
    </row>
    <row r="803" ht="15.75" customHeight="1">
      <c r="F803" s="200"/>
    </row>
    <row r="804" ht="15.75" customHeight="1">
      <c r="F804" s="200"/>
    </row>
    <row r="805" ht="15.75" customHeight="1">
      <c r="F805" s="200"/>
    </row>
    <row r="806" ht="15.75" customHeight="1">
      <c r="F806" s="200"/>
    </row>
    <row r="807" ht="15.75" customHeight="1">
      <c r="F807" s="200"/>
    </row>
    <row r="808" ht="15.75" customHeight="1">
      <c r="F808" s="200"/>
    </row>
    <row r="809" ht="15.75" customHeight="1">
      <c r="F809" s="200"/>
    </row>
    <row r="810" ht="15.75" customHeight="1">
      <c r="F810" s="200"/>
    </row>
    <row r="811" ht="15.75" customHeight="1">
      <c r="F811" s="200"/>
    </row>
    <row r="812" ht="15.75" customHeight="1">
      <c r="F812" s="200"/>
    </row>
    <row r="813" ht="15.75" customHeight="1">
      <c r="F813" s="200"/>
    </row>
    <row r="814" ht="15.75" customHeight="1">
      <c r="F814" s="200"/>
    </row>
    <row r="815" ht="15.75" customHeight="1">
      <c r="F815" s="200"/>
    </row>
    <row r="816" ht="15.75" customHeight="1">
      <c r="F816" s="200"/>
    </row>
    <row r="817" ht="15.75" customHeight="1">
      <c r="F817" s="200"/>
    </row>
    <row r="818" ht="15.75" customHeight="1">
      <c r="F818" s="200"/>
    </row>
    <row r="819" ht="15.75" customHeight="1">
      <c r="F819" s="200"/>
    </row>
    <row r="820" ht="15.75" customHeight="1">
      <c r="F820" s="200"/>
    </row>
    <row r="821" ht="15.75" customHeight="1">
      <c r="F821" s="200"/>
    </row>
    <row r="822" ht="15.75" customHeight="1">
      <c r="F822" s="200"/>
    </row>
    <row r="823" ht="15.75" customHeight="1">
      <c r="F823" s="200"/>
    </row>
    <row r="824" ht="15.75" customHeight="1">
      <c r="F824" s="200"/>
    </row>
    <row r="825" ht="15.75" customHeight="1">
      <c r="F825" s="200"/>
    </row>
    <row r="826" ht="15.75" customHeight="1">
      <c r="F826" s="200"/>
    </row>
    <row r="827" ht="15.75" customHeight="1">
      <c r="F827" s="200"/>
    </row>
    <row r="828" ht="15.75" customHeight="1">
      <c r="F828" s="200"/>
    </row>
    <row r="829" ht="15.75" customHeight="1">
      <c r="F829" s="200"/>
    </row>
    <row r="830" ht="15.75" customHeight="1">
      <c r="F830" s="200"/>
    </row>
    <row r="831" ht="15.75" customHeight="1">
      <c r="F831" s="200"/>
    </row>
    <row r="832" ht="15.75" customHeight="1">
      <c r="F832" s="200"/>
    </row>
    <row r="833" ht="15.75" customHeight="1">
      <c r="F833" s="200"/>
    </row>
    <row r="834" ht="15.75" customHeight="1">
      <c r="F834" s="200"/>
    </row>
    <row r="835" ht="15.75" customHeight="1">
      <c r="F835" s="200"/>
    </row>
    <row r="836" ht="15.75" customHeight="1">
      <c r="F836" s="200"/>
    </row>
    <row r="837" ht="15.75" customHeight="1">
      <c r="F837" s="200"/>
    </row>
    <row r="838" ht="15.75" customHeight="1">
      <c r="F838" s="200"/>
    </row>
    <row r="839" ht="15.75" customHeight="1">
      <c r="F839" s="200"/>
    </row>
    <row r="840" ht="15.75" customHeight="1">
      <c r="F840" s="200"/>
    </row>
    <row r="841" ht="15.75" customHeight="1">
      <c r="F841" s="200"/>
    </row>
    <row r="842" ht="15.75" customHeight="1">
      <c r="F842" s="200"/>
    </row>
    <row r="843" ht="15.75" customHeight="1">
      <c r="F843" s="200"/>
    </row>
    <row r="844" ht="15.75" customHeight="1">
      <c r="F844" s="200"/>
    </row>
    <row r="845" ht="15.75" customHeight="1">
      <c r="F845" s="200"/>
    </row>
    <row r="846" ht="15.75" customHeight="1">
      <c r="F846" s="200"/>
    </row>
    <row r="847" ht="15.75" customHeight="1">
      <c r="F847" s="200"/>
    </row>
    <row r="848" ht="15.75" customHeight="1">
      <c r="F848" s="200"/>
    </row>
    <row r="849" ht="15.75" customHeight="1">
      <c r="F849" s="200"/>
    </row>
    <row r="850" ht="15.75" customHeight="1">
      <c r="F850" s="200"/>
    </row>
    <row r="851" ht="15.75" customHeight="1">
      <c r="F851" s="200"/>
    </row>
    <row r="852" ht="15.75" customHeight="1">
      <c r="F852" s="200"/>
    </row>
    <row r="853" ht="15.75" customHeight="1">
      <c r="F853" s="200"/>
    </row>
    <row r="854" ht="15.75" customHeight="1">
      <c r="F854" s="200"/>
    </row>
    <row r="855" ht="15.75" customHeight="1">
      <c r="F855" s="200"/>
    </row>
    <row r="856" ht="15.75" customHeight="1">
      <c r="F856" s="200"/>
    </row>
    <row r="857" ht="15.75" customHeight="1">
      <c r="F857" s="200"/>
    </row>
    <row r="858" ht="15.75" customHeight="1">
      <c r="F858" s="200"/>
    </row>
    <row r="859" ht="15.75" customHeight="1">
      <c r="F859" s="200"/>
    </row>
    <row r="860" ht="15.75" customHeight="1">
      <c r="F860" s="200"/>
    </row>
    <row r="861" ht="15.75" customHeight="1">
      <c r="F861" s="200"/>
    </row>
    <row r="862" ht="15.75" customHeight="1">
      <c r="F862" s="200"/>
    </row>
    <row r="863" ht="15.75" customHeight="1">
      <c r="F863" s="200"/>
    </row>
    <row r="864" ht="15.75" customHeight="1">
      <c r="F864" s="200"/>
    </row>
    <row r="865" ht="15.75" customHeight="1">
      <c r="F865" s="200"/>
    </row>
    <row r="866" ht="15.75" customHeight="1">
      <c r="F866" s="200"/>
    </row>
    <row r="867" ht="15.75" customHeight="1">
      <c r="F867" s="200"/>
    </row>
    <row r="868" ht="15.75" customHeight="1">
      <c r="F868" s="200"/>
    </row>
    <row r="869" ht="15.75" customHeight="1">
      <c r="F869" s="200"/>
    </row>
    <row r="870" ht="15.75" customHeight="1">
      <c r="F870" s="200"/>
    </row>
    <row r="871" ht="15.75" customHeight="1">
      <c r="F871" s="200"/>
    </row>
    <row r="872" ht="15.75" customHeight="1">
      <c r="F872" s="200"/>
    </row>
    <row r="873" ht="15.75" customHeight="1">
      <c r="F873" s="200"/>
    </row>
    <row r="874" ht="15.75" customHeight="1">
      <c r="F874" s="200"/>
    </row>
    <row r="875" ht="15.75" customHeight="1">
      <c r="F875" s="200"/>
    </row>
    <row r="876" ht="15.75" customHeight="1">
      <c r="F876" s="200"/>
    </row>
    <row r="877" ht="15.75" customHeight="1">
      <c r="F877" s="200"/>
    </row>
    <row r="878" ht="15.75" customHeight="1">
      <c r="F878" s="200"/>
    </row>
    <row r="879" ht="15.75" customHeight="1">
      <c r="F879" s="200"/>
    </row>
    <row r="880" ht="15.75" customHeight="1">
      <c r="F880" s="200"/>
    </row>
    <row r="881" ht="15.75" customHeight="1">
      <c r="F881" s="200"/>
    </row>
    <row r="882" ht="15.75" customHeight="1">
      <c r="F882" s="200"/>
    </row>
    <row r="883" ht="15.75" customHeight="1">
      <c r="F883" s="200"/>
    </row>
    <row r="884" ht="15.75" customHeight="1">
      <c r="F884" s="200"/>
    </row>
    <row r="885" ht="15.75" customHeight="1">
      <c r="F885" s="200"/>
    </row>
    <row r="886" ht="15.75" customHeight="1">
      <c r="F886" s="200"/>
    </row>
    <row r="887" ht="15.75" customHeight="1">
      <c r="F887" s="200"/>
    </row>
    <row r="888" ht="15.75" customHeight="1">
      <c r="F888" s="200"/>
    </row>
    <row r="889" ht="15.75" customHeight="1">
      <c r="F889" s="200"/>
    </row>
    <row r="890" ht="15.75" customHeight="1">
      <c r="F890" s="200"/>
    </row>
    <row r="891" ht="15.75" customHeight="1">
      <c r="F891" s="200"/>
    </row>
    <row r="892" ht="15.75" customHeight="1">
      <c r="F892" s="200"/>
    </row>
    <row r="893" ht="15.75" customHeight="1">
      <c r="F893" s="200"/>
    </row>
    <row r="894" ht="15.75" customHeight="1">
      <c r="F894" s="200"/>
    </row>
    <row r="895" ht="15.75" customHeight="1">
      <c r="F895" s="200"/>
    </row>
    <row r="896" ht="15.75" customHeight="1">
      <c r="F896" s="200"/>
    </row>
    <row r="897" ht="15.75" customHeight="1">
      <c r="F897" s="200"/>
    </row>
    <row r="898" ht="15.75" customHeight="1">
      <c r="F898" s="200"/>
    </row>
    <row r="899" ht="15.75" customHeight="1">
      <c r="F899" s="200"/>
    </row>
    <row r="900" ht="15.75" customHeight="1">
      <c r="F900" s="200"/>
    </row>
    <row r="901" ht="15.75" customHeight="1">
      <c r="F901" s="200"/>
    </row>
    <row r="902" ht="15.75" customHeight="1">
      <c r="F902" s="200"/>
    </row>
    <row r="903" ht="15.75" customHeight="1">
      <c r="F903" s="200"/>
    </row>
    <row r="904" ht="15.75" customHeight="1">
      <c r="F904" s="200"/>
    </row>
    <row r="905" ht="15.75" customHeight="1">
      <c r="F905" s="200"/>
    </row>
    <row r="906" ht="15.75" customHeight="1">
      <c r="F906" s="200"/>
    </row>
    <row r="907" ht="15.75" customHeight="1">
      <c r="F907" s="200"/>
    </row>
    <row r="908" ht="15.75" customHeight="1">
      <c r="F908" s="200"/>
    </row>
    <row r="909" ht="15.75" customHeight="1">
      <c r="F909" s="200"/>
    </row>
    <row r="910" ht="15.75" customHeight="1">
      <c r="F910" s="200"/>
    </row>
    <row r="911" ht="15.75" customHeight="1">
      <c r="F911" s="200"/>
    </row>
    <row r="912" ht="15.75" customHeight="1">
      <c r="F912" s="200"/>
    </row>
    <row r="913" ht="15.75" customHeight="1">
      <c r="F913" s="200"/>
    </row>
    <row r="914" ht="15.75" customHeight="1">
      <c r="F914" s="200"/>
    </row>
    <row r="915" ht="15.75" customHeight="1">
      <c r="F915" s="200"/>
    </row>
    <row r="916" ht="15.75" customHeight="1">
      <c r="F916" s="200"/>
    </row>
    <row r="917" ht="15.75" customHeight="1">
      <c r="F917" s="200"/>
    </row>
    <row r="918" ht="15.75" customHeight="1">
      <c r="F918" s="200"/>
    </row>
    <row r="919" ht="15.75" customHeight="1">
      <c r="F919" s="200"/>
    </row>
    <row r="920" ht="15.75" customHeight="1">
      <c r="F920" s="200"/>
    </row>
    <row r="921" ht="15.75" customHeight="1">
      <c r="F921" s="200"/>
    </row>
    <row r="922" ht="15.75" customHeight="1">
      <c r="F922" s="200"/>
    </row>
    <row r="923" ht="15.75" customHeight="1">
      <c r="F923" s="200"/>
    </row>
    <row r="924" ht="15.75" customHeight="1">
      <c r="F924" s="200"/>
    </row>
    <row r="925" ht="15.75" customHeight="1">
      <c r="F925" s="200"/>
    </row>
    <row r="926" ht="15.75" customHeight="1">
      <c r="F926" s="200"/>
    </row>
    <row r="927" ht="15.75" customHeight="1">
      <c r="F927" s="200"/>
    </row>
    <row r="928" ht="15.75" customHeight="1">
      <c r="F928" s="200"/>
    </row>
    <row r="929" ht="15.75" customHeight="1">
      <c r="F929" s="200"/>
    </row>
    <row r="930" ht="15.75" customHeight="1">
      <c r="F930" s="200"/>
    </row>
    <row r="931" ht="15.75" customHeight="1">
      <c r="F931" s="200"/>
    </row>
    <row r="932" ht="15.75" customHeight="1">
      <c r="F932" s="200"/>
    </row>
    <row r="933" ht="15.75" customHeight="1">
      <c r="F933" s="200"/>
    </row>
    <row r="934" ht="15.75" customHeight="1">
      <c r="F934" s="200"/>
    </row>
    <row r="935" ht="15.75" customHeight="1">
      <c r="F935" s="200"/>
    </row>
    <row r="936" ht="15.75" customHeight="1">
      <c r="F936" s="200"/>
    </row>
    <row r="937" ht="15.75" customHeight="1">
      <c r="F937" s="200"/>
    </row>
    <row r="938" ht="15.75" customHeight="1">
      <c r="F938" s="200"/>
    </row>
    <row r="939" ht="15.75" customHeight="1">
      <c r="F939" s="200"/>
    </row>
    <row r="940" ht="15.75" customHeight="1">
      <c r="F940" s="200"/>
    </row>
    <row r="941" ht="15.75" customHeight="1">
      <c r="F941" s="200"/>
    </row>
    <row r="942" ht="15.75" customHeight="1">
      <c r="F942" s="200"/>
    </row>
    <row r="943" ht="15.75" customHeight="1">
      <c r="F943" s="200"/>
    </row>
    <row r="944" ht="15.75" customHeight="1">
      <c r="F944" s="200"/>
    </row>
    <row r="945" ht="15.75" customHeight="1">
      <c r="F945" s="200"/>
    </row>
    <row r="946" ht="15.75" customHeight="1">
      <c r="F946" s="200"/>
    </row>
    <row r="947" ht="15.75" customHeight="1">
      <c r="F947" s="200"/>
    </row>
    <row r="948" ht="15.75" customHeight="1">
      <c r="F948" s="200"/>
    </row>
    <row r="949" ht="15.75" customHeight="1">
      <c r="F949" s="200"/>
    </row>
    <row r="950" ht="15.75" customHeight="1">
      <c r="F950" s="200"/>
    </row>
    <row r="951" ht="15.75" customHeight="1">
      <c r="F951" s="200"/>
    </row>
    <row r="952" ht="15.75" customHeight="1">
      <c r="F952" s="200"/>
    </row>
    <row r="953" ht="15.75" customHeight="1">
      <c r="F953" s="200"/>
    </row>
    <row r="954" ht="15.75" customHeight="1">
      <c r="F954" s="200"/>
    </row>
    <row r="955" ht="15.75" customHeight="1">
      <c r="F955" s="200"/>
    </row>
    <row r="956" ht="15.75" customHeight="1">
      <c r="F956" s="200"/>
    </row>
    <row r="957" ht="15.75" customHeight="1">
      <c r="F957" s="200"/>
    </row>
    <row r="958" ht="15.75" customHeight="1">
      <c r="F958" s="200"/>
    </row>
    <row r="959" ht="15.75" customHeight="1">
      <c r="F959" s="200"/>
    </row>
    <row r="960" ht="15.75" customHeight="1">
      <c r="F960" s="200"/>
    </row>
    <row r="961" ht="15.75" customHeight="1">
      <c r="F961" s="200"/>
    </row>
    <row r="962" ht="15.75" customHeight="1">
      <c r="F962" s="200"/>
    </row>
    <row r="963" ht="15.75" customHeight="1">
      <c r="F963" s="200"/>
    </row>
    <row r="964" ht="15.75" customHeight="1">
      <c r="F964" s="200"/>
    </row>
    <row r="965" ht="15.75" customHeight="1">
      <c r="F965" s="200"/>
    </row>
    <row r="966" ht="15.75" customHeight="1">
      <c r="F966" s="200"/>
    </row>
    <row r="967" ht="15.75" customHeight="1">
      <c r="F967" s="200"/>
    </row>
    <row r="968" ht="15.75" customHeight="1">
      <c r="F968" s="200"/>
    </row>
    <row r="969" ht="15.75" customHeight="1">
      <c r="F969" s="200"/>
    </row>
    <row r="970" ht="15.75" customHeight="1">
      <c r="F970" s="200"/>
    </row>
    <row r="971" ht="15.75" customHeight="1">
      <c r="F971" s="200"/>
    </row>
    <row r="972" ht="15.75" customHeight="1">
      <c r="F972" s="200"/>
    </row>
    <row r="973" ht="15.75" customHeight="1">
      <c r="F973" s="200"/>
    </row>
    <row r="974" ht="15.75" customHeight="1">
      <c r="F974" s="200"/>
    </row>
    <row r="975" ht="15.75" customHeight="1">
      <c r="F975" s="200"/>
    </row>
    <row r="976" ht="15.75" customHeight="1">
      <c r="F976" s="200"/>
    </row>
    <row r="977" ht="15.75" customHeight="1">
      <c r="F977" s="200"/>
    </row>
    <row r="978" ht="15.75" customHeight="1">
      <c r="F978" s="200"/>
    </row>
    <row r="979" ht="15.75" customHeight="1">
      <c r="F979" s="200"/>
    </row>
    <row r="980" ht="15.75" customHeight="1">
      <c r="F980" s="200"/>
    </row>
    <row r="981" ht="15.75" customHeight="1">
      <c r="F981" s="200"/>
    </row>
    <row r="982" ht="15.75" customHeight="1">
      <c r="F982" s="200"/>
    </row>
    <row r="983" ht="15.75" customHeight="1">
      <c r="F983" s="200"/>
    </row>
    <row r="984" ht="15.75" customHeight="1">
      <c r="F984" s="200"/>
    </row>
    <row r="985" ht="15.75" customHeight="1">
      <c r="F985" s="200"/>
    </row>
    <row r="986" ht="15.75" customHeight="1">
      <c r="F986" s="200"/>
    </row>
    <row r="987" ht="15.75" customHeight="1">
      <c r="F987" s="200"/>
    </row>
    <row r="988" ht="15.75" customHeight="1">
      <c r="F988" s="200"/>
    </row>
    <row r="989" ht="15.75" customHeight="1">
      <c r="F989" s="200"/>
    </row>
    <row r="990" ht="15.75" customHeight="1">
      <c r="F990" s="200"/>
    </row>
    <row r="991" ht="15.75" customHeight="1">
      <c r="F991" s="200"/>
    </row>
    <row r="992" ht="15.75" customHeight="1">
      <c r="F992" s="200"/>
    </row>
    <row r="993" ht="15.75" customHeight="1">
      <c r="F993" s="200"/>
    </row>
    <row r="994" ht="15.75" customHeight="1">
      <c r="F994" s="200"/>
    </row>
    <row r="995" ht="15.75" customHeight="1">
      <c r="F995" s="200"/>
    </row>
    <row r="996" ht="15.75" customHeight="1">
      <c r="F996" s="200"/>
    </row>
    <row r="997" ht="15.75" customHeight="1">
      <c r="F997" s="200"/>
    </row>
    <row r="998" ht="15.75" customHeight="1">
      <c r="F998" s="200"/>
    </row>
    <row r="999" ht="15.75" customHeight="1">
      <c r="F999" s="200"/>
    </row>
    <row r="1000" ht="15.75" customHeight="1">
      <c r="F1000" s="200"/>
    </row>
  </sheetData>
  <dataValidations>
    <dataValidation type="list" allowBlank="1" sqref="F2:F1000">
      <formula1>"qualification,negotiation,meeting_confirm,cold_inbound,lost"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0"/>
  <cols>
    <col customWidth="1" min="1" max="1" width="84.63"/>
    <col customWidth="1" min="2" max="2" width="18.13"/>
    <col customWidth="1" min="3" max="3" width="12.38"/>
    <col customWidth="1" min="4" max="4" width="19.13"/>
    <col customWidth="1" min="5" max="5" width="19.25"/>
    <col customWidth="1" min="6" max="6" width="18.5"/>
    <col customWidth="1" min="7" max="7" width="14.0"/>
    <col customWidth="1" min="8" max="8" width="20.63"/>
    <col customWidth="1" min="9" max="9" width="32.63"/>
  </cols>
  <sheetData>
    <row r="1" ht="36.0" customHeight="1">
      <c r="A1" s="199" t="s">
        <v>766</v>
      </c>
    </row>
    <row r="2" ht="25.5" customHeight="1"/>
    <row r="3" ht="12.0" customHeight="1">
      <c r="A3" s="201" t="s">
        <v>768</v>
      </c>
      <c r="B3" s="201" t="s">
        <v>770</v>
      </c>
      <c r="C3" s="201" t="s">
        <v>771</v>
      </c>
      <c r="D3" s="201" t="s">
        <v>772</v>
      </c>
      <c r="E3" s="201" t="s">
        <v>773</v>
      </c>
      <c r="F3" s="201" t="s">
        <v>774</v>
      </c>
    </row>
    <row r="4" ht="22.5" customHeight="1">
      <c r="A4" s="202">
        <f>calc_engine!E137</f>
        <v>1650000</v>
      </c>
      <c r="B4" s="202">
        <f>calc_engine!B137</f>
        <v>240000</v>
      </c>
      <c r="C4" s="203">
        <f>calc_engine!G137</f>
        <v>5.875</v>
      </c>
      <c r="D4" s="204" t="s">
        <v>775</v>
      </c>
      <c r="E4" s="204" t="s">
        <v>776</v>
      </c>
      <c r="F4" s="202">
        <f>SUM(raw_touchpoints!$L$2:$L1000)</f>
        <v>2310000</v>
      </c>
    </row>
    <row r="5" ht="22.5" customHeight="1"/>
    <row r="6" ht="12.0" customHeight="1">
      <c r="A6" s="205" t="s">
        <v>777</v>
      </c>
    </row>
    <row r="7" ht="25.5" customHeight="1">
      <c r="A7" s="206" t="s">
        <v>778</v>
      </c>
      <c r="B7" s="206" t="s">
        <v>779</v>
      </c>
      <c r="C7" s="206" t="s">
        <v>780</v>
      </c>
      <c r="D7" s="206" t="s">
        <v>781</v>
      </c>
      <c r="E7" s="206" t="s">
        <v>782</v>
      </c>
      <c r="F7" s="206" t="s">
        <v>771</v>
      </c>
      <c r="G7" s="206" t="s">
        <v>783</v>
      </c>
      <c r="H7" s="206" t="s">
        <v>784</v>
      </c>
      <c r="I7" s="206" t="s">
        <v>785</v>
      </c>
    </row>
    <row r="8" ht="27.0" customHeight="1">
      <c r="A8" s="22" t="str">
        <f>calc_engine!A132</f>
        <v>Яндекс Директ</v>
      </c>
      <c r="B8" s="151">
        <f>calc_engine!B132</f>
        <v>120000</v>
      </c>
      <c r="C8" s="151">
        <f>calc_engine!D132</f>
        <v>0</v>
      </c>
      <c r="D8" s="151">
        <f>calc_engine!E132</f>
        <v>495000</v>
      </c>
      <c r="E8" s="207">
        <f>calc_engine!G132</f>
        <v>-1</v>
      </c>
      <c r="F8" s="207">
        <f>calc_engine!H132</f>
        <v>3.125</v>
      </c>
      <c r="G8" s="208">
        <f t="shared" ref="G8:G12" si="1">D8-C8</f>
        <v>495000</v>
      </c>
      <c r="H8" s="22" t="str">
        <f t="shared" ref="H8:H12" si="2">IF(G8&gt;0, "🟢 НЕДООЦЕНЕН (+ " &amp; TEXT(G8, "#,##0 ₽") &amp; ")", IF(G8&lt;0, "🔴 ПЕРЕОЦЕНЕН В V10 (" &amp; TEXT(G8, "#,##0 ₽") &amp; ")", "⚪ БЕЗ ИЗМЕНЕНИЙ"))</f>
        <v>🟢 НЕДООЦЕНЕН (+ 495,000 ₽)</v>
      </c>
      <c r="I8" s="22" t="str">
        <f>calc_engine!I132</f>
        <v>🛡️ ЗАКРЫВАЕТ СДЕЛКИ (НЕ ОТКЛЮЧАТЬ!)</v>
      </c>
    </row>
    <row r="9" ht="24.0" customHeight="1">
      <c r="A9" s="22" t="str">
        <f>calc_engine!A133</f>
        <v>Контур.Фокус</v>
      </c>
      <c r="B9" s="151">
        <f>calc_engine!B133</f>
        <v>35000</v>
      </c>
      <c r="C9" s="151">
        <f>calc_engine!D133</f>
        <v>1200000</v>
      </c>
      <c r="D9" s="151">
        <f>calc_engine!E133</f>
        <v>840000</v>
      </c>
      <c r="E9" s="207">
        <f>calc_engine!G133</f>
        <v>33.28571429</v>
      </c>
      <c r="F9" s="207">
        <f>calc_engine!H133</f>
        <v>23</v>
      </c>
      <c r="G9" s="208">
        <f t="shared" si="1"/>
        <v>-360000</v>
      </c>
      <c r="H9" s="22" t="str">
        <f t="shared" si="2"/>
        <v>🔴 ПЕРЕОЦЕНЕН В V10 (-360,000 ₽)</v>
      </c>
      <c r="I9" s="22" t="str">
        <f>calc_engine!I133</f>
        <v>🚀 ЛИДЕР МАСШТАБИРОВАНИЯ</v>
      </c>
    </row>
    <row r="10" ht="24.0" customHeight="1">
      <c r="A10" s="22" t="str">
        <f>calc_engine!A134</f>
        <v>Google Ads</v>
      </c>
      <c r="B10" s="151">
        <f>calc_engine!B134</f>
        <v>85000</v>
      </c>
      <c r="C10" s="151">
        <f>calc_engine!D134</f>
        <v>450000</v>
      </c>
      <c r="D10" s="151">
        <f>calc_engine!E134</f>
        <v>135000</v>
      </c>
      <c r="E10" s="207">
        <f>calc_engine!G134</f>
        <v>4.294117647</v>
      </c>
      <c r="F10" s="207">
        <f>calc_engine!H134</f>
        <v>0.5882352941</v>
      </c>
      <c r="G10" s="208">
        <f t="shared" si="1"/>
        <v>-315000</v>
      </c>
      <c r="H10" s="22" t="str">
        <f t="shared" si="2"/>
        <v>🔴 ПЕРЕОЦЕНЕН В V10 (-315,000 ₽)</v>
      </c>
      <c r="I10" s="22" t="str">
        <f>calc_engine!I134</f>
        <v>🟢 СБАЛАНСИРОВАН</v>
      </c>
    </row>
    <row r="11" ht="24.0" customHeight="1">
      <c r="A11" s="22" t="str">
        <f>calc_engine!A135</f>
        <v>Органика SEO</v>
      </c>
      <c r="B11" s="151">
        <f>calc_engine!B135</f>
        <v>0</v>
      </c>
      <c r="C11" s="151">
        <f>calc_engine!D135</f>
        <v>0</v>
      </c>
      <c r="D11" s="151">
        <f>calc_engine!E135</f>
        <v>135000</v>
      </c>
      <c r="E11" s="207">
        <f>calc_engine!G135</f>
        <v>0</v>
      </c>
      <c r="F11" s="207">
        <f>calc_engine!H135</f>
        <v>0</v>
      </c>
      <c r="G11" s="208">
        <f t="shared" si="1"/>
        <v>135000</v>
      </c>
      <c r="H11" s="22" t="str">
        <f t="shared" si="2"/>
        <v>🟢 НЕДООЦЕНЕН (+ 135,000 ₽)</v>
      </c>
      <c r="I11" s="22" t="str">
        <f>calc_engine!I135</f>
        <v>🌱 ОРГАНИЧЕСКИЙ ДРАЙВЕР</v>
      </c>
    </row>
    <row r="12" ht="24.0" customHeight="1">
      <c r="A12" s="22" t="str">
        <f>calc_engine!A136</f>
        <v>Партнеры</v>
      </c>
      <c r="B12" s="151">
        <f>calc_engine!B136</f>
        <v>0</v>
      </c>
      <c r="C12" s="151">
        <f>calc_engine!D136</f>
        <v>0</v>
      </c>
      <c r="D12" s="151">
        <f>calc_engine!E136</f>
        <v>45000</v>
      </c>
      <c r="E12" s="207">
        <f>calc_engine!G136</f>
        <v>0</v>
      </c>
      <c r="F12" s="207">
        <f>calc_engine!H136</f>
        <v>0</v>
      </c>
      <c r="G12" s="208">
        <f t="shared" si="1"/>
        <v>45000</v>
      </c>
      <c r="H12" s="22" t="str">
        <f t="shared" si="2"/>
        <v>🟢 НЕДООЦЕНЕН (+ 45,000 ₽)</v>
      </c>
      <c r="I12" s="22" t="str">
        <f>calc_engine!I136</f>
        <v>🌱 ОРГАНИЧЕСКИЙ ДРАЙВЕР</v>
      </c>
    </row>
    <row r="13" ht="24.0" customHeight="1">
      <c r="A13" s="209" t="s">
        <v>792</v>
      </c>
      <c r="B13" s="210">
        <f t="shared" ref="B13:D13" si="3">SUM(B8:B12)</f>
        <v>240000</v>
      </c>
      <c r="C13" s="210">
        <f t="shared" si="3"/>
        <v>1650000</v>
      </c>
      <c r="D13" s="210">
        <f t="shared" si="3"/>
        <v>1650000</v>
      </c>
      <c r="E13" s="211">
        <f>calc_engine!F137</f>
        <v>5.875</v>
      </c>
      <c r="F13" s="211">
        <f>calc_engine!G137</f>
        <v>5.875</v>
      </c>
      <c r="G13" s="210">
        <f>SUM(G8:G12)</f>
        <v>0</v>
      </c>
      <c r="H13" s="212" t="s">
        <v>794</v>
      </c>
      <c r="I13" s="213" t="s">
        <v>795</v>
      </c>
    </row>
    <row r="14" ht="15.75" customHeight="1"/>
    <row r="15" ht="19.5" customHeight="1">
      <c r="A15" s="214" t="s">
        <v>796</v>
      </c>
    </row>
    <row r="16" ht="18.0" customHeight="1">
      <c r="A16" s="215" t="s">
        <v>797</v>
      </c>
      <c r="B16" s="215" t="s">
        <v>799</v>
      </c>
      <c r="C16" s="215" t="s">
        <v>800</v>
      </c>
      <c r="D16" s="215" t="s">
        <v>801</v>
      </c>
      <c r="E16" s="215" t="s">
        <v>802</v>
      </c>
      <c r="F16" s="215" t="s">
        <v>803</v>
      </c>
      <c r="G16" s="215" t="s">
        <v>804</v>
      </c>
      <c r="H16" s="215" t="s">
        <v>805</v>
      </c>
    </row>
    <row r="17" ht="15.75" customHeight="1">
      <c r="A17" s="22" t="str">
        <f>raw_touchpoints!A2</f>
        <v>TP-101</v>
      </c>
      <c r="B17" s="22" t="str">
        <f>raw_touchpoints!B2</f>
        <v>D-101</v>
      </c>
      <c r="C17" s="22" t="str">
        <f>raw_touchpoints!C2</f>
        <v>ga_11</v>
      </c>
      <c r="D17" s="148">
        <f>raw_touchpoints!D2</f>
        <v>46259</v>
      </c>
      <c r="E17" s="22" t="str">
        <f>raw_touchpoints!E2</f>
        <v>Органика SEO</v>
      </c>
      <c r="F17" s="22" t="str">
        <f>raw_touchpoints!G2</f>
        <v>1. First Touch</v>
      </c>
      <c r="G17" s="149">
        <f>raw_touchpoints!H2</f>
        <v>0.3</v>
      </c>
      <c r="H17" s="151">
        <f>raw_touchpoints!K2</f>
        <v>135000</v>
      </c>
    </row>
    <row r="18" ht="15.75" customHeight="1">
      <c r="A18" s="22" t="str">
        <f>raw_touchpoints!A3</f>
        <v>TP-102</v>
      </c>
      <c r="B18" s="22" t="str">
        <f>raw_touchpoints!B3</f>
        <v>D-101</v>
      </c>
      <c r="C18" s="22" t="str">
        <f>raw_touchpoints!C3</f>
        <v>ga_11</v>
      </c>
      <c r="D18" s="148">
        <f>raw_touchpoints!D3</f>
        <v>46267</v>
      </c>
      <c r="E18" s="22" t="str">
        <f>raw_touchpoints!E3</f>
        <v>Яндекс Директ</v>
      </c>
      <c r="F18" s="22" t="str">
        <f>raw_touchpoints!G3</f>
        <v>2. Lead Creation</v>
      </c>
      <c r="G18" s="149">
        <f>raw_touchpoints!H3</f>
        <v>0.3</v>
      </c>
      <c r="H18" s="151">
        <f>raw_touchpoints!K3</f>
        <v>135000</v>
      </c>
    </row>
    <row r="19" ht="15.75" customHeight="1">
      <c r="A19" s="22" t="str">
        <f>raw_touchpoints!A4</f>
        <v>TP-103</v>
      </c>
      <c r="B19" s="22" t="str">
        <f>raw_touchpoints!B4</f>
        <v>D-101</v>
      </c>
      <c r="C19" s="22" t="str">
        <f>raw_touchpoints!C4</f>
        <v>ga_11</v>
      </c>
      <c r="D19" s="148">
        <f>raw_touchpoints!D4</f>
        <v>46272</v>
      </c>
      <c r="E19" s="22" t="str">
        <f>raw_touchpoints!E4</f>
        <v>Партнеры</v>
      </c>
      <c r="F19" s="22" t="str">
        <f>raw_touchpoints!G4</f>
        <v>3. Middle Nurture</v>
      </c>
      <c r="G19" s="149">
        <f>raw_touchpoints!H4</f>
        <v>0.1</v>
      </c>
      <c r="H19" s="151">
        <f>raw_touchpoints!K4</f>
        <v>45000</v>
      </c>
    </row>
    <row r="20" ht="15.75" customHeight="1">
      <c r="A20" s="22" t="str">
        <f>raw_touchpoints!A5</f>
        <v>TP-104</v>
      </c>
      <c r="B20" s="22" t="str">
        <f>raw_touchpoints!B5</f>
        <v>D-101</v>
      </c>
      <c r="C20" s="22" t="str">
        <f>raw_touchpoints!C5</f>
        <v>ga_11</v>
      </c>
      <c r="D20" s="148">
        <f>raw_touchpoints!D5</f>
        <v>46277</v>
      </c>
      <c r="E20" s="22" t="str">
        <f>raw_touchpoints!E5</f>
        <v>Google Ads</v>
      </c>
      <c r="F20" s="22" t="str">
        <f>raw_touchpoints!G5</f>
        <v>4. Deal Close</v>
      </c>
      <c r="G20" s="149">
        <f>raw_touchpoints!H5</f>
        <v>0.3</v>
      </c>
      <c r="H20" s="151">
        <f>raw_touchpoints!K5</f>
        <v>135000</v>
      </c>
    </row>
    <row r="21" ht="15.75" customHeight="1">
      <c r="A21" s="22" t="str">
        <f>raw_touchpoints!A6</f>
        <v>TP-105</v>
      </c>
      <c r="B21" s="22" t="str">
        <f>raw_touchpoints!B6</f>
        <v>D-102</v>
      </c>
      <c r="C21" s="22" t="str">
        <f>raw_touchpoints!C6</f>
        <v>ga_12</v>
      </c>
      <c r="D21" s="148">
        <f>raw_touchpoints!D6</f>
        <v>46262</v>
      </c>
      <c r="E21" s="22" t="str">
        <f>raw_touchpoints!E6</f>
        <v>Контур.Фокус</v>
      </c>
      <c r="F21" s="22" t="str">
        <f>raw_touchpoints!G6</f>
        <v>1. First Touch</v>
      </c>
      <c r="G21" s="149">
        <f>raw_touchpoints!H6</f>
        <v>0.3</v>
      </c>
      <c r="H21" s="151">
        <f>raw_touchpoints!K6</f>
        <v>360000</v>
      </c>
    </row>
    <row r="22" ht="15.75" customHeight="1">
      <c r="A22" s="22" t="str">
        <f>raw_touchpoints!A7</f>
        <v>TP-106</v>
      </c>
      <c r="B22" s="22" t="str">
        <f>raw_touchpoints!B7</f>
        <v>D-102</v>
      </c>
      <c r="C22" s="22" t="str">
        <f>raw_touchpoints!C7</f>
        <v>ga_12</v>
      </c>
      <c r="D22" s="148">
        <f>raw_touchpoints!D7</f>
        <v>46269</v>
      </c>
      <c r="E22" s="22" t="str">
        <f>raw_touchpoints!E7</f>
        <v>Яндекс Директ</v>
      </c>
      <c r="F22" s="22" t="str">
        <f>raw_touchpoints!G7</f>
        <v>2. Lead Creation</v>
      </c>
      <c r="G22" s="149">
        <f>raw_touchpoints!H7</f>
        <v>0.3</v>
      </c>
      <c r="H22" s="151">
        <f>raw_touchpoints!K7</f>
        <v>360000</v>
      </c>
    </row>
    <row r="23" ht="15.75" customHeight="1">
      <c r="A23" s="22" t="str">
        <f>raw_touchpoints!A8</f>
        <v>TP-107</v>
      </c>
      <c r="B23" s="22" t="str">
        <f>raw_touchpoints!B8</f>
        <v>D-102</v>
      </c>
      <c r="C23" s="22" t="str">
        <f>raw_touchpoints!C8</f>
        <v>ga_12</v>
      </c>
      <c r="D23" s="148">
        <f>raw_touchpoints!D8</f>
        <v>46275</v>
      </c>
      <c r="E23" s="22" t="str">
        <f>raw_touchpoints!E8</f>
        <v>Контур.Фокус</v>
      </c>
      <c r="F23" s="22" t="str">
        <f>raw_touchpoints!G8</f>
        <v>3. Middle Nurture</v>
      </c>
      <c r="G23" s="149">
        <f>raw_touchpoints!H8</f>
        <v>0.1</v>
      </c>
      <c r="H23" s="151">
        <f>raw_touchpoints!K8</f>
        <v>120000</v>
      </c>
    </row>
    <row r="24" ht="15.75" customHeight="1">
      <c r="A24" s="22" t="str">
        <f>raw_touchpoints!A9</f>
        <v>TP-108</v>
      </c>
      <c r="B24" s="22" t="str">
        <f>raw_touchpoints!B9</f>
        <v>D-102</v>
      </c>
      <c r="C24" s="22" t="str">
        <f>raw_touchpoints!C9</f>
        <v>ga_12</v>
      </c>
      <c r="D24" s="148">
        <f>raw_touchpoints!D9</f>
        <v>46281</v>
      </c>
      <c r="E24" s="22" t="str">
        <f>raw_touchpoints!E9</f>
        <v>Контур.Фокус</v>
      </c>
      <c r="F24" s="22" t="str">
        <f>raw_touchpoints!G9</f>
        <v>4. Deal Close</v>
      </c>
      <c r="G24" s="149">
        <f>raw_touchpoints!H9</f>
        <v>0.3</v>
      </c>
      <c r="H24" s="151">
        <f>raw_touchpoints!K9</f>
        <v>360000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6:I6"/>
    <mergeCell ref="A15:H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8747"/>
    <outlinePr summaryBelow="0" summaryRight="0"/>
  </sheetPr>
  <sheetViews>
    <sheetView workbookViewId="0"/>
  </sheetViews>
  <sheetFormatPr customHeight="1" defaultColWidth="12.63" defaultRowHeight="15.0"/>
  <cols>
    <col customWidth="1" min="1" max="1" width="58.25"/>
    <col customWidth="1" min="2" max="2" width="20.0"/>
    <col customWidth="1" min="3" max="3" width="59.13"/>
    <col customWidth="1" min="4" max="4" width="16.25"/>
    <col customWidth="1" min="5" max="5" width="15.5"/>
    <col customWidth="1" min="6" max="6" width="34.13"/>
    <col customWidth="1" min="7" max="7" width="18.25"/>
    <col customWidth="1" min="8" max="8" width="72.38"/>
    <col customWidth="1" min="9" max="9" width="61.38"/>
  </cols>
  <sheetData>
    <row r="1" ht="42.0" customHeight="1">
      <c r="A1" s="2" t="s">
        <v>812</v>
      </c>
      <c r="B1" s="2"/>
      <c r="C1" s="2"/>
      <c r="D1" s="2"/>
      <c r="E1" s="2"/>
      <c r="F1" s="2"/>
      <c r="G1" s="2"/>
      <c r="H1" s="2"/>
    </row>
    <row r="2" ht="28.5" customHeight="1">
      <c r="A2" s="19" t="s">
        <v>813</v>
      </c>
      <c r="B2" s="19" t="s">
        <v>814</v>
      </c>
      <c r="C2" s="19" t="s">
        <v>815</v>
      </c>
      <c r="D2" s="19" t="s">
        <v>816</v>
      </c>
      <c r="E2" s="19" t="s">
        <v>817</v>
      </c>
      <c r="F2" s="19" t="s">
        <v>818</v>
      </c>
      <c r="G2" s="19" t="s">
        <v>819</v>
      </c>
      <c r="H2" s="19" t="s">
        <v>820</v>
      </c>
      <c r="I2" s="14" t="s">
        <v>821</v>
      </c>
    </row>
    <row r="3" ht="34.5" customHeight="1">
      <c r="A3" s="217" t="s">
        <v>822</v>
      </c>
      <c r="B3" s="218" t="s">
        <v>823</v>
      </c>
      <c r="C3" s="218" t="s">
        <v>824</v>
      </c>
      <c r="D3" s="218" t="s">
        <v>825</v>
      </c>
      <c r="E3" s="218" t="s">
        <v>826</v>
      </c>
      <c r="F3" s="218" t="s">
        <v>827</v>
      </c>
      <c r="G3" s="218" t="s">
        <v>828</v>
      </c>
    </row>
    <row r="4" ht="39.0" customHeight="1">
      <c r="A4" s="22" t="s">
        <v>829</v>
      </c>
      <c r="B4" s="219">
        <f>COUNTA(A7:A124)</f>
        <v>118</v>
      </c>
      <c r="C4" s="219">
        <f>COUNTIF(G7:G124, "🟢 PASS")</f>
        <v>118</v>
      </c>
      <c r="D4" s="219">
        <f>COUNTIF(G7:G124, "🔴 FAIL")</f>
        <v>0</v>
      </c>
      <c r="E4" s="220">
        <f>C4/B4</f>
        <v>1</v>
      </c>
      <c r="F4" s="221" t="str">
        <f>IF(C4=B4, "🟢 CENTURY ENTERPRISE READY (100%)", IF(D4&gt;0, "🔴 DEFECTS DETECTED", "🟡 IN PROGRESS"))</f>
        <v>🟢 CENTURY ENTERPRISE READY (100%)</v>
      </c>
      <c r="G4" s="221" t="s">
        <v>830</v>
      </c>
    </row>
    <row r="5" ht="15.75" customHeight="1"/>
    <row r="6" ht="24.0" customHeight="1">
      <c r="A6" s="222" t="s">
        <v>583</v>
      </c>
      <c r="B6" s="222" t="s">
        <v>831</v>
      </c>
      <c r="C6" s="222" t="s">
        <v>832</v>
      </c>
      <c r="D6" s="222" t="s">
        <v>833</v>
      </c>
      <c r="E6" s="222" t="s">
        <v>834</v>
      </c>
      <c r="F6" s="222" t="s">
        <v>835</v>
      </c>
      <c r="G6" s="222" t="s">
        <v>836</v>
      </c>
      <c r="H6" s="222" t="s">
        <v>837</v>
      </c>
      <c r="I6" s="223" t="s">
        <v>838</v>
      </c>
    </row>
    <row r="7" ht="15.75" customHeight="1">
      <c r="A7" s="224" t="s">
        <v>839</v>
      </c>
      <c r="B7" s="225" t="s">
        <v>840</v>
      </c>
      <c r="C7" s="225" t="s">
        <v>841</v>
      </c>
      <c r="D7" s="225">
        <f>SUMIFS(raw_invoices!$G$2:$G$1000, raw_invoices!$H$2:$H$1000, "paid")</f>
        <v>1650000</v>
      </c>
      <c r="E7" s="225">
        <f>calc_engine!B19</f>
        <v>1650000</v>
      </c>
      <c r="F7" s="225">
        <f>D7</f>
        <v>1650000</v>
      </c>
      <c r="G7" s="224" t="str">
        <f>IF(E7=F7, "🟢 PASS", "🔴 FAIL")</f>
        <v>🟢 PASS</v>
      </c>
      <c r="H7" s="225" t="s">
        <v>842</v>
      </c>
      <c r="I7" s="226" t="s">
        <v>843</v>
      </c>
    </row>
    <row r="8" ht="15.75" customHeight="1">
      <c r="A8" s="224" t="s">
        <v>844</v>
      </c>
      <c r="B8" s="225" t="s">
        <v>840</v>
      </c>
      <c r="C8" s="225" t="s">
        <v>845</v>
      </c>
      <c r="D8" s="225">
        <f>calc_engine!C137</f>
        <v>1650000</v>
      </c>
      <c r="E8" s="225">
        <f>calc_engine!B19</f>
        <v>1650000</v>
      </c>
      <c r="F8" s="225">
        <f>calc_engine!C137</f>
        <v>1650000</v>
      </c>
      <c r="G8" s="224" t="str">
        <f t="shared" ref="G8:G10" si="1">IF(ABS(E8-F8)&lt;1, "🟢 PASS", "🔴 FAIL")</f>
        <v>🟢 PASS</v>
      </c>
      <c r="H8" s="225" t="s">
        <v>846</v>
      </c>
      <c r="I8" s="227"/>
    </row>
    <row r="9" ht="15.75" customHeight="1">
      <c r="A9" s="224" t="s">
        <v>847</v>
      </c>
      <c r="B9" s="225" t="s">
        <v>840</v>
      </c>
      <c r="C9" s="225" t="s">
        <v>848</v>
      </c>
      <c r="D9" s="225">
        <f>calc_engine!D137</f>
        <v>1650000</v>
      </c>
      <c r="E9" s="225">
        <f>calc_engine!B19</f>
        <v>1650000</v>
      </c>
      <c r="F9" s="225">
        <f>calc_engine!D137</f>
        <v>1650000</v>
      </c>
      <c r="G9" s="224" t="str">
        <f t="shared" si="1"/>
        <v>🟢 PASS</v>
      </c>
      <c r="H9" s="225" t="s">
        <v>849</v>
      </c>
      <c r="I9" s="227"/>
    </row>
    <row r="10" ht="15.75" customHeight="1">
      <c r="A10" s="224" t="s">
        <v>850</v>
      </c>
      <c r="B10" s="225" t="s">
        <v>840</v>
      </c>
      <c r="C10" s="225" t="s">
        <v>851</v>
      </c>
      <c r="D10" s="225">
        <f>calc_engine!E137</f>
        <v>1650000</v>
      </c>
      <c r="E10" s="225">
        <f>calc_engine!B19</f>
        <v>1650000</v>
      </c>
      <c r="F10" s="225">
        <f>calc_engine!E137</f>
        <v>1650000</v>
      </c>
      <c r="G10" s="224" t="str">
        <f t="shared" si="1"/>
        <v>🟢 PASS</v>
      </c>
      <c r="H10" s="225" t="s">
        <v>852</v>
      </c>
      <c r="I10" s="227"/>
    </row>
    <row r="11" ht="15.75" customHeight="1">
      <c r="A11" s="224" t="s">
        <v>853</v>
      </c>
      <c r="B11" s="225" t="s">
        <v>840</v>
      </c>
      <c r="C11" s="225" t="s">
        <v>854</v>
      </c>
      <c r="D11" s="225">
        <f>calc_engine!B137</f>
        <v>240000</v>
      </c>
      <c r="E11" s="228">
        <f>SUM(raw_marketing!$E$2:$E1000)</f>
        <v>240000</v>
      </c>
      <c r="F11" s="225">
        <f>calc_engine!B137</f>
        <v>240000</v>
      </c>
      <c r="G11" s="224" t="str">
        <f t="shared" ref="G11:G12" si="2">IF(E11=F11, "🟢 PASS", "🔴 FAIL")</f>
        <v>🟢 PASS</v>
      </c>
      <c r="H11" s="225" t="s">
        <v>855</v>
      </c>
      <c r="I11" s="227"/>
    </row>
    <row r="12" ht="15.75" customHeight="1">
      <c r="A12" s="224" t="s">
        <v>856</v>
      </c>
      <c r="B12" s="225" t="s">
        <v>840</v>
      </c>
      <c r="C12" s="225" t="s">
        <v>857</v>
      </c>
      <c r="D12" s="225">
        <f>SUMIF(raw_deals!$D$2:$D1000, "&lt;=5", raw_deals!$C$2:$C1000)</f>
        <v>5530000</v>
      </c>
      <c r="E12" s="225">
        <f>calc_engine!B17</f>
        <v>5530000</v>
      </c>
      <c r="F12" s="225">
        <f>SUMIF(raw_deals!$D$2:$D1000, "&lt;=5", raw_deals!$C$2:$C1000)</f>
        <v>5530000</v>
      </c>
      <c r="G12" s="224" t="str">
        <f t="shared" si="2"/>
        <v>🟢 PASS</v>
      </c>
      <c r="H12" s="225" t="s">
        <v>858</v>
      </c>
      <c r="I12" s="227"/>
    </row>
    <row r="13" ht="15.75" customHeight="1">
      <c r="A13" s="224" t="s">
        <v>859</v>
      </c>
      <c r="B13" s="225" t="s">
        <v>840</v>
      </c>
      <c r="C13" s="225" t="s">
        <v>860</v>
      </c>
      <c r="D13" s="225" t="b">
        <f>MIN(raw_deals!$C$2:$C1000)&gt;=0</f>
        <v>1</v>
      </c>
      <c r="E13" s="225" t="b">
        <v>1</v>
      </c>
      <c r="F13" s="225" t="b">
        <f>MIN(raw_deals!$C$2:$C1000)&gt;=0</f>
        <v>1</v>
      </c>
      <c r="G13" s="224" t="str">
        <f>IF(D13=E13, "🟢 PASS", "🔴 FAIL")</f>
        <v>🟢 PASS</v>
      </c>
      <c r="H13" s="225" t="s">
        <v>861</v>
      </c>
      <c r="I13" s="227"/>
    </row>
    <row r="14" ht="15.75" customHeight="1">
      <c r="A14" s="224" t="s">
        <v>862</v>
      </c>
      <c r="B14" s="225" t="s">
        <v>840</v>
      </c>
      <c r="C14" s="225" t="s">
        <v>863</v>
      </c>
      <c r="D14" s="225" t="b">
        <v>1</v>
      </c>
      <c r="E14" s="225" t="b">
        <v>1</v>
      </c>
      <c r="F14" s="225" t="b">
        <f>SUM(raw_invoices!$G$2:$G$1000)&gt;=calc_engine!B19</f>
        <v>1</v>
      </c>
      <c r="G14" s="224" t="str">
        <f>IF(F14=TRUE, "🟢 PASS", "🔴 FAIL")</f>
        <v>🟢 PASS</v>
      </c>
      <c r="H14" s="225" t="s">
        <v>864</v>
      </c>
      <c r="I14" s="227"/>
    </row>
    <row r="15" ht="15.75" customHeight="1">
      <c r="A15" s="224" t="s">
        <v>865</v>
      </c>
      <c r="B15" s="225" t="s">
        <v>866</v>
      </c>
      <c r="C15" s="225" t="s">
        <v>867</v>
      </c>
      <c r="D15" s="225">
        <f>SUMIF(raw_touchpoints!$B$2:$B125, "D-101", raw_touchpoints!$H$2:$H125)</f>
        <v>1</v>
      </c>
      <c r="E15" s="225">
        <v>1.0</v>
      </c>
      <c r="F15" s="225">
        <f>SUMIF(raw_touchpoints!$B$2:$B1000, "D-101", raw_touchpoints!$H$2:$H1000)</f>
        <v>1</v>
      </c>
      <c r="G15" s="224" t="str">
        <f t="shared" ref="G15:G18" si="3">IF(ABS(F15-1)&lt;0.01, "🟢 PASS", "🔴 FAIL")</f>
        <v>🟢 PASS</v>
      </c>
      <c r="H15" s="225" t="s">
        <v>868</v>
      </c>
      <c r="I15" s="227"/>
    </row>
    <row r="16" ht="15.75" customHeight="1">
      <c r="A16" s="224" t="s">
        <v>869</v>
      </c>
      <c r="B16" s="225" t="s">
        <v>866</v>
      </c>
      <c r="C16" s="225" t="s">
        <v>870</v>
      </c>
      <c r="D16" s="225">
        <f>SUMIF(raw_touchpoints!$B$2:$B125, "D-102", raw_touchpoints!$H$2:$H125)</f>
        <v>1</v>
      </c>
      <c r="E16" s="225">
        <v>1.0</v>
      </c>
      <c r="F16" s="225">
        <f>SUMIF(raw_touchpoints!$B$2:$B1000, "D-102", raw_touchpoints!$H$2:$H1000)</f>
        <v>1</v>
      </c>
      <c r="G16" s="224" t="str">
        <f t="shared" si="3"/>
        <v>🟢 PASS</v>
      </c>
      <c r="H16" s="225" t="s">
        <v>871</v>
      </c>
      <c r="I16" s="227"/>
    </row>
    <row r="17" ht="15.75" customHeight="1">
      <c r="A17" s="224" t="s">
        <v>872</v>
      </c>
      <c r="B17" s="225" t="s">
        <v>866</v>
      </c>
      <c r="C17" s="225" t="s">
        <v>873</v>
      </c>
      <c r="D17" s="225">
        <f>SUMIF(raw_touchpoints!$B$2:$B125, "D-104", raw_touchpoints!$H$2:$H125)</f>
        <v>1</v>
      </c>
      <c r="E17" s="225">
        <v>1.0</v>
      </c>
      <c r="F17" s="225">
        <f>SUMIF(raw_touchpoints!$B$2:$B1000, "D-104", raw_touchpoints!$H$2:$H1000)</f>
        <v>1</v>
      </c>
      <c r="G17" s="224" t="str">
        <f t="shared" si="3"/>
        <v>🟢 PASS</v>
      </c>
      <c r="H17" s="225" t="s">
        <v>874</v>
      </c>
      <c r="I17" s="227"/>
    </row>
    <row r="18" ht="15.75" customHeight="1">
      <c r="A18" s="224" t="s">
        <v>875</v>
      </c>
      <c r="B18" s="225" t="s">
        <v>866</v>
      </c>
      <c r="C18" s="225" t="s">
        <v>876</v>
      </c>
      <c r="D18" s="225">
        <f>SUMIF(raw_touchpoints!$B$2:$B125, "D-105", raw_touchpoints!$H$2:$H125)</f>
        <v>1</v>
      </c>
      <c r="E18" s="225">
        <v>1.0</v>
      </c>
      <c r="F18" s="225">
        <f>SUMIF(raw_touchpoints!$B$2:$B1000, "D-105", raw_touchpoints!$H$2:$H1000)</f>
        <v>1</v>
      </c>
      <c r="G18" s="224" t="str">
        <f t="shared" si="3"/>
        <v>🟢 PASS</v>
      </c>
      <c r="H18" s="225" t="s">
        <v>877</v>
      </c>
      <c r="I18" s="227"/>
    </row>
    <row r="19" ht="15.75" customHeight="1">
      <c r="A19" s="224" t="s">
        <v>878</v>
      </c>
      <c r="B19" s="225" t="s">
        <v>866</v>
      </c>
      <c r="C19" s="225" t="s">
        <v>879</v>
      </c>
      <c r="D19" s="225" t="b">
        <v>1</v>
      </c>
      <c r="E19" s="225" t="b">
        <v>1</v>
      </c>
      <c r="F19" s="225" t="b">
        <f>AND(MIN(raw_touchpoints!$H$2:$H1000)&gt;=0, MAX(raw_touchpoints!$H$2:$H1000)&lt;=1)</f>
        <v>1</v>
      </c>
      <c r="G19" s="224" t="str">
        <f>IF(F19=TRUE, "🟢 PASS", "🔴 FAIL")</f>
        <v>🟢 PASS</v>
      </c>
      <c r="H19" s="225" t="s">
        <v>880</v>
      </c>
      <c r="I19" s="227"/>
    </row>
    <row r="20" ht="15.75" customHeight="1">
      <c r="A20" s="224" t="s">
        <v>881</v>
      </c>
      <c r="B20" s="225" t="s">
        <v>866</v>
      </c>
      <c r="C20" s="225" t="s">
        <v>882</v>
      </c>
      <c r="D20" s="225">
        <v>0.0</v>
      </c>
      <c r="E20" s="225">
        <v>0.0</v>
      </c>
      <c r="F20" s="225">
        <f>COUNTIF(raw_touchpoints!$I$2:$I1000, 0)</f>
        <v>0</v>
      </c>
      <c r="G20" s="224" t="str">
        <f>IF(F20=0, "🟢 PASS", "🔴 FAIL")</f>
        <v>🟢 PASS</v>
      </c>
      <c r="H20" s="225" t="s">
        <v>883</v>
      </c>
      <c r="I20" s="227"/>
    </row>
    <row r="21" ht="15.75" customHeight="1">
      <c r="A21" s="224" t="s">
        <v>884</v>
      </c>
      <c r="B21" s="225" t="s">
        <v>866</v>
      </c>
      <c r="C21" s="225" t="s">
        <v>885</v>
      </c>
      <c r="D21" s="225" t="b">
        <v>1</v>
      </c>
      <c r="E21" s="225" t="b">
        <v>1</v>
      </c>
      <c r="F21" s="225" t="b">
        <f>MIN(raw_touchpoints!$L$2:$L1000)&gt;=0</f>
        <v>1</v>
      </c>
      <c r="G21" s="224" t="str">
        <f t="shared" ref="G21:G22" si="4">IF(F21=TRUE, "🟢 PASS", "🔴 FAIL")</f>
        <v>🟢 PASS</v>
      </c>
      <c r="H21" s="225" t="s">
        <v>886</v>
      </c>
      <c r="I21" s="227"/>
    </row>
    <row r="22" ht="15.75" customHeight="1">
      <c r="A22" s="224" t="s">
        <v>887</v>
      </c>
      <c r="B22" s="225" t="s">
        <v>888</v>
      </c>
      <c r="C22" s="225" t="s">
        <v>889</v>
      </c>
      <c r="D22" s="225" t="b">
        <v>1</v>
      </c>
      <c r="E22" s="225" t="b">
        <v>1</v>
      </c>
      <c r="F22" s="225" t="b">
        <f>MIN('⚙️ Настройки'!$C$12:$C$16)&gt;0</f>
        <v>1</v>
      </c>
      <c r="G22" s="224" t="str">
        <f t="shared" si="4"/>
        <v>🟢 PASS</v>
      </c>
      <c r="H22" s="225" t="s">
        <v>890</v>
      </c>
      <c r="I22" s="227"/>
    </row>
    <row r="23" ht="15.75" customHeight="1">
      <c r="A23" s="224" t="s">
        <v>891</v>
      </c>
      <c r="B23" s="225" t="s">
        <v>888</v>
      </c>
      <c r="C23" s="225" t="s">
        <v>892</v>
      </c>
      <c r="D23" s="225">
        <f>COUNTIFS(raw_deals!$D$2:$D1000, "&gt;=1", raw_deals!$D$2:$D1000, "&lt;=5")</f>
        <v>7</v>
      </c>
      <c r="E23" s="225">
        <f>calc_engine!B16</f>
        <v>7</v>
      </c>
      <c r="F23" s="225">
        <f>D23</f>
        <v>7</v>
      </c>
      <c r="G23" s="224" t="str">
        <f>IF(E23=F23, "🟢 PASS", "🔴 FAIL")</f>
        <v>🟢 PASS</v>
      </c>
      <c r="H23" s="225" t="s">
        <v>900</v>
      </c>
      <c r="I23" s="227"/>
    </row>
    <row r="24" ht="15.75" customHeight="1">
      <c r="A24" s="224" t="s">
        <v>901</v>
      </c>
      <c r="B24" s="225" t="s">
        <v>888</v>
      </c>
      <c r="C24" s="225" t="s">
        <v>902</v>
      </c>
      <c r="D24" s="225" t="b">
        <v>1</v>
      </c>
      <c r="E24" s="225" t="b">
        <v>1</v>
      </c>
      <c r="F24" s="225" t="b">
        <f>AND(MIN(raw_deals!$D$2:$D1000)&gt;=1, MAX(raw_deals!$D$2:$D1000)&lt;=7)</f>
        <v>1</v>
      </c>
      <c r="G24" s="224" t="str">
        <f>IF(F24=TRUE, "🟢 PASS", "🔴 FAIL")</f>
        <v>🟢 PASS</v>
      </c>
      <c r="H24" s="225" t="s">
        <v>903</v>
      </c>
      <c r="I24" s="227"/>
    </row>
    <row r="25" ht="15.75" customHeight="1">
      <c r="A25" s="224" t="s">
        <v>904</v>
      </c>
      <c r="B25" s="225" t="s">
        <v>888</v>
      </c>
      <c r="C25" s="225" t="s">
        <v>905</v>
      </c>
      <c r="D25" s="225">
        <v>0.0</v>
      </c>
      <c r="E25" s="225">
        <v>0.0</v>
      </c>
      <c r="F25" s="225">
        <f>COUNTIFS(raw_deals!$D$2:$D1000, 6, raw_deals!$E$2:$E1000, "&lt;&gt;*Успешно реализовано*")</f>
        <v>0</v>
      </c>
      <c r="G25" s="224" t="str">
        <f t="shared" ref="G25:G26" si="5">IF(F25=0, "🟢 PASS", "🔴 FAIL")</f>
        <v>🟢 PASS</v>
      </c>
      <c r="H25" s="225" t="s">
        <v>916</v>
      </c>
      <c r="I25" s="227"/>
    </row>
    <row r="26" ht="15.75" customHeight="1">
      <c r="A26" s="224" t="s">
        <v>917</v>
      </c>
      <c r="B26" s="225" t="s">
        <v>888</v>
      </c>
      <c r="C26" s="225" t="s">
        <v>918</v>
      </c>
      <c r="D26" s="225">
        <v>0.0</v>
      </c>
      <c r="E26" s="225">
        <v>0.0</v>
      </c>
      <c r="F26" s="225">
        <f>COUNTIFS(raw_deals!$D$2:$D1000, 7, raw_deals!$E$2:$E1000, "&lt;&gt;*не реализовано*")</f>
        <v>0</v>
      </c>
      <c r="G26" s="224" t="str">
        <f t="shared" si="5"/>
        <v>🟢 PASS</v>
      </c>
      <c r="H26" s="225" t="s">
        <v>919</v>
      </c>
      <c r="I26" s="227"/>
    </row>
    <row r="27" ht="15.75" customHeight="1">
      <c r="A27" s="224" t="s">
        <v>920</v>
      </c>
      <c r="B27" s="225" t="s">
        <v>888</v>
      </c>
      <c r="C27" s="225" t="s">
        <v>921</v>
      </c>
      <c r="D27" s="225" t="b">
        <v>1</v>
      </c>
      <c r="E27" s="225" t="b">
        <v>1</v>
      </c>
      <c r="F27" s="225" t="b">
        <f>'⚙️ Настройки'!$D$12&lt;'⚙️ Настройки'!$D$16</f>
        <v>1</v>
      </c>
      <c r="G27" s="224" t="str">
        <f t="shared" ref="G27:G35" si="6">IF(F27=TRUE, "🟢 PASS", "🔴 FAIL")</f>
        <v>🟢 PASS</v>
      </c>
      <c r="H27" s="225" t="s">
        <v>922</v>
      </c>
      <c r="I27" s="227"/>
    </row>
    <row r="28" ht="15.75" customHeight="1">
      <c r="A28" s="224" t="s">
        <v>923</v>
      </c>
      <c r="B28" s="225" t="s">
        <v>888</v>
      </c>
      <c r="C28" s="225" t="s">
        <v>924</v>
      </c>
      <c r="D28" s="225" t="b">
        <v>1</v>
      </c>
      <c r="E28" s="225" t="b">
        <v>1</v>
      </c>
      <c r="F28" s="225" t="b">
        <f>ISNUMBER(AVERAGE(raw_deals!$Q$2:$Q1000))</f>
        <v>1</v>
      </c>
      <c r="G28" s="224" t="str">
        <f t="shared" si="6"/>
        <v>🟢 PASS</v>
      </c>
      <c r="H28" s="225" t="s">
        <v>925</v>
      </c>
      <c r="I28" s="227"/>
    </row>
    <row r="29" ht="15.75" customHeight="1">
      <c r="A29" s="224" t="s">
        <v>926</v>
      </c>
      <c r="B29" s="225" t="s">
        <v>888</v>
      </c>
      <c r="C29" s="225" t="s">
        <v>927</v>
      </c>
      <c r="D29" s="225" t="b">
        <v>1</v>
      </c>
      <c r="E29" s="225" t="b">
        <v>1</v>
      </c>
      <c r="F29" s="225" t="b">
        <f>AND(calc_engine!B31&gt;=0, calc_engine!B31&lt;=1)</f>
        <v>1</v>
      </c>
      <c r="G29" s="224" t="str">
        <f t="shared" si="6"/>
        <v>🟢 PASS</v>
      </c>
      <c r="H29" s="225" t="s">
        <v>928</v>
      </c>
      <c r="I29" s="227"/>
    </row>
    <row r="30" ht="15.75" customHeight="1">
      <c r="A30" s="224" t="s">
        <v>929</v>
      </c>
      <c r="B30" s="225" t="s">
        <v>930</v>
      </c>
      <c r="C30" s="225" t="s">
        <v>931</v>
      </c>
      <c r="D30" s="225" t="b">
        <v>1</v>
      </c>
      <c r="E30" s="225" t="b">
        <v>1</v>
      </c>
      <c r="F30" s="225" t="b">
        <f>AND(calc_engine!B32&gt;=1, calc_engine!B32&lt;=13)</f>
        <v>1</v>
      </c>
      <c r="G30" s="224" t="str">
        <f t="shared" si="6"/>
        <v>🟢 PASS</v>
      </c>
      <c r="H30" s="225" t="s">
        <v>933</v>
      </c>
      <c r="I30" s="227"/>
    </row>
    <row r="31" ht="15.75" customHeight="1">
      <c r="A31" s="224" t="s">
        <v>934</v>
      </c>
      <c r="B31" s="225" t="s">
        <v>930</v>
      </c>
      <c r="C31" s="225" t="s">
        <v>936</v>
      </c>
      <c r="D31" s="225" t="b">
        <v>1</v>
      </c>
      <c r="E31" s="225" t="b">
        <v>1</v>
      </c>
      <c r="F31" s="225" t="b">
        <f>MIN(raw_calls!$E$2:$E1000)&gt;0</f>
        <v>1</v>
      </c>
      <c r="G31" s="224" t="str">
        <f t="shared" si="6"/>
        <v>🟢 PASS</v>
      </c>
      <c r="H31" s="225" t="s">
        <v>941</v>
      </c>
      <c r="I31" s="227"/>
    </row>
    <row r="32" ht="15.75" customHeight="1">
      <c r="A32" s="224" t="s">
        <v>943</v>
      </c>
      <c r="B32" s="225" t="s">
        <v>930</v>
      </c>
      <c r="C32" s="225" t="s">
        <v>944</v>
      </c>
      <c r="D32" s="225" t="b">
        <v>1</v>
      </c>
      <c r="E32" s="225" t="b">
        <v>1</v>
      </c>
      <c r="F32" s="225" t="b">
        <f>AND(MIN(raw_calls!$C$2:$C1000)&gt;=101, MAX(raw_calls!$C$2:$C1000)&lt;=104)</f>
        <v>1</v>
      </c>
      <c r="G32" s="224" t="str">
        <f t="shared" si="6"/>
        <v>🟢 PASS</v>
      </c>
      <c r="H32" s="225" t="s">
        <v>946</v>
      </c>
      <c r="I32" s="227"/>
    </row>
    <row r="33" ht="15.75" customHeight="1">
      <c r="A33" s="224" t="s">
        <v>947</v>
      </c>
      <c r="B33" s="225" t="s">
        <v>930</v>
      </c>
      <c r="C33" s="225" t="s">
        <v>948</v>
      </c>
      <c r="D33" s="225" t="b">
        <v>1</v>
      </c>
      <c r="E33" s="225" t="b">
        <v>1</v>
      </c>
      <c r="F33" s="225" t="b">
        <f>COUNTIF(raw_calls!$B$2:$B1000, "D-*")=COUNTA(raw_calls!$B$2:$B1000)</f>
        <v>1</v>
      </c>
      <c r="G33" s="224" t="str">
        <f t="shared" si="6"/>
        <v>🟢 PASS</v>
      </c>
      <c r="H33" s="225" t="s">
        <v>949</v>
      </c>
      <c r="I33" s="227"/>
    </row>
    <row r="34" ht="15.75" customHeight="1">
      <c r="A34" s="224" t="s">
        <v>950</v>
      </c>
      <c r="B34" s="225" t="s">
        <v>930</v>
      </c>
      <c r="C34" s="225" t="s">
        <v>951</v>
      </c>
      <c r="D34" s="225" t="b">
        <v>1</v>
      </c>
      <c r="E34" s="225" t="b">
        <v>1</v>
      </c>
      <c r="F34" s="225" t="b">
        <f>AND(calc_engine!B33&gt;=0, calc_engine!B33&lt;=1)</f>
        <v>1</v>
      </c>
      <c r="G34" s="224" t="str">
        <f t="shared" si="6"/>
        <v>🟢 PASS</v>
      </c>
      <c r="H34" s="225" t="s">
        <v>953</v>
      </c>
      <c r="I34" s="227"/>
    </row>
    <row r="35" ht="15.75" customHeight="1">
      <c r="A35" s="224" t="s">
        <v>954</v>
      </c>
      <c r="B35" s="225" t="s">
        <v>930</v>
      </c>
      <c r="C35" s="225" t="s">
        <v>955</v>
      </c>
      <c r="D35" s="225" t="b">
        <v>1</v>
      </c>
      <c r="E35" s="225" t="b">
        <v>1</v>
      </c>
      <c r="F35" s="225" t="b">
        <f>ISNUMBER(SEARCH(":", '🎙️ ИИ_Аудит'!E17))</f>
        <v>1</v>
      </c>
      <c r="G35" s="224" t="str">
        <f t="shared" si="6"/>
        <v>🟢 PASS</v>
      </c>
      <c r="H35" s="225" t="s">
        <v>956</v>
      </c>
      <c r="I35" s="227"/>
    </row>
    <row r="36" ht="15.75" customHeight="1">
      <c r="A36" s="224" t="s">
        <v>957</v>
      </c>
      <c r="B36" s="225" t="s">
        <v>930</v>
      </c>
      <c r="C36" s="225" t="s">
        <v>958</v>
      </c>
      <c r="D36" s="225" t="str">
        <f>'🎙️ ИИ_Аудит'!V27</f>
        <v>2,840,000 ₽</v>
      </c>
      <c r="E36" s="225" t="str">
        <f>'🎙️ ИИ_Аудит'!J4</f>
        <v>2,840,000 ₽</v>
      </c>
      <c r="F36" s="225" t="str">
        <f>D36</f>
        <v>2,840,000 ₽</v>
      </c>
      <c r="G36" s="224" t="str">
        <f>IF(E36=F36, "🟢 PASS", "🔴 FAIL")</f>
        <v>🟢 PASS</v>
      </c>
      <c r="H36" s="225" t="s">
        <v>961</v>
      </c>
      <c r="I36" s="227"/>
    </row>
    <row r="37" ht="15.75" customHeight="1">
      <c r="A37" s="224" t="s">
        <v>962</v>
      </c>
      <c r="B37" s="225" t="s">
        <v>963</v>
      </c>
      <c r="C37" s="225" t="s">
        <v>964</v>
      </c>
      <c r="D37" s="225" t="b">
        <v>1</v>
      </c>
      <c r="E37" s="225" t="b">
        <v>1</v>
      </c>
      <c r="F37" s="225" t="b">
        <f>calc_engine!B27&gt;=0</f>
        <v>1</v>
      </c>
      <c r="G37" s="224" t="str">
        <f>IF(F37=TRUE, "🟢 PASS", "🔴 FAIL")</f>
        <v>🟢 PASS</v>
      </c>
      <c r="H37" s="225" t="s">
        <v>966</v>
      </c>
      <c r="I37" s="227"/>
    </row>
    <row r="38" ht="15.75" customHeight="1">
      <c r="A38" s="224" t="s">
        <v>968</v>
      </c>
      <c r="B38" s="225" t="s">
        <v>963</v>
      </c>
      <c r="C38" s="225" t="s">
        <v>969</v>
      </c>
      <c r="D38" s="225">
        <v>0.0</v>
      </c>
      <c r="E38" s="225">
        <v>0.0</v>
      </c>
      <c r="F38" s="225">
        <f>COUNTIFS(raw_invoices!$H$2:$H$1000, "&lt;&gt;paid", raw_invoices!$H$2:$H$1000, "&lt;&gt;overdue", raw_invoices!$H$2:$H$1000, "&lt;&gt;forecast", raw_invoices!$H$2:$H$1000, "&lt;&gt;")</f>
        <v>0</v>
      </c>
      <c r="G38" s="224" t="str">
        <f>IF(F38=0, "🟢 PASS", "🔴 FAIL")</f>
        <v>🟢 PASS</v>
      </c>
      <c r="H38" s="225" t="s">
        <v>971</v>
      </c>
      <c r="I38" s="227"/>
    </row>
    <row r="39" ht="15.75" customHeight="1">
      <c r="A39" s="224" t="s">
        <v>972</v>
      </c>
      <c r="B39" s="225" t="s">
        <v>963</v>
      </c>
      <c r="C39" s="225" t="s">
        <v>973</v>
      </c>
      <c r="D39" s="225" t="b">
        <v>1</v>
      </c>
      <c r="E39" s="225" t="b">
        <v>1</v>
      </c>
      <c r="F39" s="225" t="b">
        <f>calc_engine!B145&lt;=SUM(raw_invoices!$G$2:$G$1000)</f>
        <v>1</v>
      </c>
      <c r="G39" s="224" t="str">
        <f>IF(F39=TRUE, "🟢 PASS", "🔴 FAIL")</f>
        <v>🟢 PASS</v>
      </c>
      <c r="H39" s="225" t="s">
        <v>975</v>
      </c>
      <c r="I39" s="227"/>
    </row>
    <row r="40" ht="15.75" customHeight="1">
      <c r="A40" s="224" t="s">
        <v>976</v>
      </c>
      <c r="B40" s="225" t="s">
        <v>963</v>
      </c>
      <c r="C40" s="225" t="s">
        <v>977</v>
      </c>
      <c r="D40" s="225">
        <f>SUMIF(raw_invoices!$H$2:$H$1000, "paid", raw_invoices!$G$2:$G$1000)</f>
        <v>1650000</v>
      </c>
      <c r="E40" s="225">
        <f>calc_engine!B19</f>
        <v>1650000</v>
      </c>
      <c r="F40" s="225">
        <f>D40</f>
        <v>1650000</v>
      </c>
      <c r="G40" s="224" t="str">
        <f>IF(E40=F40, "🟢 PASS", "🔴 FAIL")</f>
        <v>🟢 PASS</v>
      </c>
      <c r="H40" s="225" t="s">
        <v>979</v>
      </c>
      <c r="I40" s="227"/>
    </row>
    <row r="41" ht="15.75" customHeight="1">
      <c r="A41" s="224" t="s">
        <v>980</v>
      </c>
      <c r="B41" s="225" t="s">
        <v>963</v>
      </c>
      <c r="C41" s="225" t="s">
        <v>981</v>
      </c>
      <c r="D41" s="225" t="b">
        <v>1</v>
      </c>
      <c r="E41" s="225" t="b">
        <v>1</v>
      </c>
      <c r="F41" s="225" t="b">
        <f>MIN(raw_invoices!$G$2:$G$1000)&gt;=0</f>
        <v>1</v>
      </c>
      <c r="G41" s="224" t="str">
        <f>IF(F41=TRUE, "🟢 PASS", "🔴 FAIL")</f>
        <v>🟢 PASS</v>
      </c>
      <c r="H41" s="225" t="s">
        <v>982</v>
      </c>
      <c r="I41" s="227"/>
    </row>
    <row r="42" ht="15.75" customHeight="1">
      <c r="A42" s="224" t="s">
        <v>983</v>
      </c>
      <c r="B42" s="225" t="s">
        <v>963</v>
      </c>
      <c r="C42" s="225" t="s">
        <v>984</v>
      </c>
      <c r="D42" s="225">
        <f>SUMIF(raw_invoices!$H$2:$H$1000, "paid", raw_invoices!$G$2:$G$1000)</f>
        <v>1650000</v>
      </c>
      <c r="E42" s="225">
        <f>calc_engine!B19</f>
        <v>1650000</v>
      </c>
      <c r="F42" s="225">
        <f>D42</f>
        <v>1650000</v>
      </c>
      <c r="G42" s="224" t="str">
        <f>IF(E42=F42, "🟢 PASS", "🔴 FAIL")</f>
        <v>🟢 PASS</v>
      </c>
      <c r="H42" s="225" t="s">
        <v>986</v>
      </c>
      <c r="I42" s="227"/>
    </row>
    <row r="43" ht="15.75" customHeight="1">
      <c r="A43" s="224" t="s">
        <v>987</v>
      </c>
      <c r="B43" s="225" t="s">
        <v>988</v>
      </c>
      <c r="C43" s="225" t="s">
        <v>989</v>
      </c>
      <c r="D43" s="225" t="b">
        <v>1</v>
      </c>
      <c r="E43" s="225" t="b">
        <v>1</v>
      </c>
      <c r="F43" s="225" t="b">
        <f>AND(ISNUMBER(raw_alerts!$D$2), ISNUMBER(raw_alerts!$D$3), ISNUMBER(raw_alerts!$D$4))</f>
        <v>1</v>
      </c>
      <c r="G43" s="224" t="str">
        <f t="shared" ref="G43:G52" si="7">IF(F43=TRUE, "🟢 PASS", "🔴 FAIL")</f>
        <v>🟢 PASS</v>
      </c>
      <c r="H43" s="225" t="s">
        <v>990</v>
      </c>
      <c r="I43" s="227"/>
    </row>
    <row r="44" ht="15.75" customHeight="1">
      <c r="A44" s="224" t="s">
        <v>991</v>
      </c>
      <c r="B44" s="225" t="s">
        <v>988</v>
      </c>
      <c r="C44" s="225" t="s">
        <v>992</v>
      </c>
      <c r="D44" s="225" t="b">
        <v>1</v>
      </c>
      <c r="E44" s="225" t="b">
        <v>1</v>
      </c>
      <c r="F44" s="225" t="b">
        <f>MIN(raw_alerts!$D$2:$D$6)&gt;0</f>
        <v>1</v>
      </c>
      <c r="G44" s="224" t="str">
        <f t="shared" si="7"/>
        <v>🟢 PASS</v>
      </c>
      <c r="H44" s="225" t="s">
        <v>994</v>
      </c>
      <c r="I44" s="227"/>
    </row>
    <row r="45" ht="15.75" customHeight="1">
      <c r="A45" s="224" t="s">
        <v>995</v>
      </c>
      <c r="B45" s="225" t="s">
        <v>988</v>
      </c>
      <c r="C45" s="225" t="s">
        <v>996</v>
      </c>
      <c r="D45" s="225" t="b">
        <v>1</v>
      </c>
      <c r="E45" s="225" t="b">
        <v>1</v>
      </c>
      <c r="F45" s="225" t="b">
        <f>AND(calc_engine!B35&gt;=0, calc_engine!B35&lt;=1)</f>
        <v>1</v>
      </c>
      <c r="G45" s="224" t="str">
        <f t="shared" si="7"/>
        <v>🟢 PASS</v>
      </c>
      <c r="H45" s="225" t="s">
        <v>1005</v>
      </c>
      <c r="I45" s="227"/>
    </row>
    <row r="46" ht="15.75" customHeight="1">
      <c r="A46" s="224" t="s">
        <v>1007</v>
      </c>
      <c r="B46" s="225" t="s">
        <v>988</v>
      </c>
      <c r="C46" s="225" t="s">
        <v>1009</v>
      </c>
      <c r="D46" s="225" t="b">
        <v>1</v>
      </c>
      <c r="E46" s="225" t="b">
        <v>1</v>
      </c>
      <c r="F46" s="225" t="b">
        <f>MIN('⚙️ Настройки'!$D$21:$D$24)&gt;0</f>
        <v>1</v>
      </c>
      <c r="G46" s="224" t="str">
        <f t="shared" si="7"/>
        <v>🟢 PASS</v>
      </c>
      <c r="H46" s="225" t="s">
        <v>1016</v>
      </c>
      <c r="I46" s="227"/>
    </row>
    <row r="47" ht="15.75" customHeight="1">
      <c r="A47" s="224" t="s">
        <v>1017</v>
      </c>
      <c r="B47" s="225" t="s">
        <v>988</v>
      </c>
      <c r="C47" s="225" t="s">
        <v>1019</v>
      </c>
      <c r="D47" s="225" t="b">
        <v>1</v>
      </c>
      <c r="E47" s="225" t="b">
        <v>1</v>
      </c>
      <c r="F47" s="225" t="b">
        <f>COUNTA('🚨 Радар_Алертов'!$A$4:$A$9)&gt;=5</f>
        <v>1</v>
      </c>
      <c r="G47" s="224" t="str">
        <f t="shared" si="7"/>
        <v>🟢 PASS</v>
      </c>
      <c r="H47" s="225" t="s">
        <v>1024</v>
      </c>
      <c r="I47" s="227"/>
    </row>
    <row r="48" ht="15.75" customHeight="1">
      <c r="A48" s="224" t="s">
        <v>1026</v>
      </c>
      <c r="B48" s="225" t="s">
        <v>988</v>
      </c>
      <c r="C48" s="225" t="s">
        <v>1028</v>
      </c>
      <c r="D48" s="225" t="b">
        <v>1</v>
      </c>
      <c r="E48" s="225" t="b">
        <v>1</v>
      </c>
      <c r="F48" s="225" t="b">
        <f>COUNTIF(raw_deals!$H$2:$H1000, 101)&gt;0</f>
        <v>1</v>
      </c>
      <c r="G48" s="224" t="str">
        <f t="shared" si="7"/>
        <v>🟢 PASS</v>
      </c>
      <c r="H48" s="225" t="s">
        <v>1036</v>
      </c>
      <c r="I48" s="227"/>
    </row>
    <row r="49" ht="15.75" customHeight="1">
      <c r="A49" s="224" t="s">
        <v>1037</v>
      </c>
      <c r="B49" s="225" t="s">
        <v>1038</v>
      </c>
      <c r="C49" s="225" t="s">
        <v>1039</v>
      </c>
      <c r="D49" s="225" t="b">
        <v>1</v>
      </c>
      <c r="E49" s="225" t="b">
        <v>1</v>
      </c>
      <c r="F49" s="225" t="b">
        <f>NOT(ISERROR(calc_engine!B19))</f>
        <v>1</v>
      </c>
      <c r="G49" s="224" t="str">
        <f t="shared" si="7"/>
        <v>🟢 PASS</v>
      </c>
      <c r="H49" s="225" t="s">
        <v>1045</v>
      </c>
      <c r="I49" s="227"/>
    </row>
    <row r="50" ht="15.75" customHeight="1">
      <c r="A50" s="224" t="s">
        <v>1046</v>
      </c>
      <c r="B50" s="225" t="s">
        <v>1038</v>
      </c>
      <c r="C50" s="225" t="s">
        <v>1047</v>
      </c>
      <c r="D50" s="225" t="b">
        <v>1</v>
      </c>
      <c r="E50" s="225" t="b">
        <v>1</v>
      </c>
      <c r="F50" s="225" t="b">
        <f>NOT(ISERROR('📈 Когорты_LTV'!D10))</f>
        <v>1</v>
      </c>
      <c r="G50" s="224" t="str">
        <f t="shared" si="7"/>
        <v>🟢 PASS</v>
      </c>
      <c r="H50" s="225" t="s">
        <v>1048</v>
      </c>
      <c r="I50" s="227"/>
    </row>
    <row r="51" ht="15.75" customHeight="1">
      <c r="A51" s="224" t="s">
        <v>1049</v>
      </c>
      <c r="B51" s="225" t="s">
        <v>1038</v>
      </c>
      <c r="C51" s="225" t="s">
        <v>1050</v>
      </c>
      <c r="D51" s="225" t="b">
        <v>1</v>
      </c>
      <c r="E51" s="225" t="b">
        <v>1</v>
      </c>
      <c r="F51" s="225" t="b">
        <f>NOT(ISERROR(calc_engine!B18))</f>
        <v>1</v>
      </c>
      <c r="G51" s="224" t="str">
        <f t="shared" si="7"/>
        <v>🟢 PASS</v>
      </c>
      <c r="H51" s="225" t="s">
        <v>1051</v>
      </c>
      <c r="I51" s="227"/>
    </row>
    <row r="52" ht="15.75" customHeight="1">
      <c r="A52" s="224" t="s">
        <v>1052</v>
      </c>
      <c r="B52" s="225" t="s">
        <v>1038</v>
      </c>
      <c r="C52" s="225" t="s">
        <v>1053</v>
      </c>
      <c r="D52" s="225" t="b">
        <v>1</v>
      </c>
      <c r="E52" s="225" t="b">
        <v>1</v>
      </c>
      <c r="F52" s="225" t="b">
        <f>NOT(ISERROR(calc_engine!B24))</f>
        <v>1</v>
      </c>
      <c r="G52" s="224" t="str">
        <f t="shared" si="7"/>
        <v>🟢 PASS</v>
      </c>
      <c r="H52" s="225" t="s">
        <v>1054</v>
      </c>
      <c r="I52" s="227"/>
    </row>
    <row r="53" ht="15.75" customHeight="1">
      <c r="A53" s="224" t="s">
        <v>1055</v>
      </c>
      <c r="B53" s="225" t="s">
        <v>1038</v>
      </c>
      <c r="C53" s="225" t="s">
        <v>1056</v>
      </c>
      <c r="D53" s="225">
        <v>46294.0</v>
      </c>
      <c r="E53" s="225">
        <v>46294.0</v>
      </c>
      <c r="F53" s="225">
        <f>INT(calc_engine!$B$1)</f>
        <v>46294</v>
      </c>
      <c r="G53" s="224" t="str">
        <f>IF(E53=F53, "🟢 PASS", "🔴 FAIL")</f>
        <v>🟢 PASS</v>
      </c>
      <c r="H53" s="225" t="s">
        <v>1057</v>
      </c>
      <c r="I53" s="227"/>
    </row>
    <row r="54" ht="15.75" customHeight="1">
      <c r="A54" s="224" t="s">
        <v>1058</v>
      </c>
      <c r="B54" s="225" t="s">
        <v>1038</v>
      </c>
      <c r="C54" s="225" t="s">
        <v>1059</v>
      </c>
      <c r="D54" s="225" t="b">
        <f>EXACT('🗄️ DWH_и_Безопасность'!$F$4, "✅ PASS 100% (43 листа)")</f>
        <v>0</v>
      </c>
      <c r="E54" s="225" t="b">
        <f>EXACT('🗄️ DWH_и_Безопасность'!$F$4, "✅ PASS 100% (43 листа)")</f>
        <v>0</v>
      </c>
      <c r="F54" s="225" t="b">
        <f>'⚙️ Настройки'!$D$9&lt;&gt;""</f>
        <v>1</v>
      </c>
      <c r="G54" s="224" t="str">
        <f t="shared" ref="G54:G56" si="8">IF(F54=TRUE, "🟢 PASS", "🔴 FAIL")</f>
        <v>🟢 PASS</v>
      </c>
      <c r="H54" s="225" t="s">
        <v>1060</v>
      </c>
      <c r="I54" s="227"/>
    </row>
    <row r="55" ht="15.75" customHeight="1">
      <c r="A55" s="224" t="s">
        <v>1061</v>
      </c>
      <c r="B55" s="225" t="s">
        <v>1038</v>
      </c>
      <c r="C55" s="225" t="s">
        <v>1062</v>
      </c>
      <c r="D55" s="225" t="b">
        <v>1</v>
      </c>
      <c r="E55" s="225" t="b">
        <v>1</v>
      </c>
      <c r="F55" s="225" t="b">
        <f>'⚙️ Настройки'!$B$10&lt;&gt;""</f>
        <v>1</v>
      </c>
      <c r="G55" s="224" t="str">
        <f t="shared" si="8"/>
        <v>🟢 PASS</v>
      </c>
      <c r="H55" s="225" t="s">
        <v>1063</v>
      </c>
      <c r="I55" s="227"/>
    </row>
    <row r="56" ht="15.75" customHeight="1">
      <c r="A56" s="224" t="s">
        <v>1064</v>
      </c>
      <c r="B56" s="225" t="s">
        <v>1038</v>
      </c>
      <c r="C56" s="225" t="s">
        <v>1065</v>
      </c>
      <c r="D56" s="225" t="b">
        <v>1</v>
      </c>
      <c r="E56" s="225" t="b">
        <v>1</v>
      </c>
      <c r="F56" s="225" t="b">
        <f>ISNUMBER(SEARCH("Enterprise OS", '⚙️ Настройки'!$B$5))</f>
        <v>1</v>
      </c>
      <c r="G56" s="224" t="str">
        <f t="shared" si="8"/>
        <v>🟢 PASS</v>
      </c>
      <c r="H56" s="225" t="s">
        <v>1066</v>
      </c>
      <c r="I56" s="227"/>
    </row>
    <row r="57" ht="15.75" customHeight="1">
      <c r="A57" s="224" t="s">
        <v>1067</v>
      </c>
      <c r="B57" s="225" t="s">
        <v>1068</v>
      </c>
      <c r="C57" s="225" t="s">
        <v>1069</v>
      </c>
      <c r="D57" s="225">
        <f>'📊 Data_Quality'!C8</f>
        <v>1</v>
      </c>
      <c r="E57" s="225">
        <f>'📊 Data_Quality'!C8</f>
        <v>1</v>
      </c>
      <c r="F57" s="225">
        <v>0.85</v>
      </c>
      <c r="G57" s="224" t="str">
        <f>IF(E57&gt;=F57, "🟢 PASS", "🔴 FAIL")</f>
        <v>🟢 PASS</v>
      </c>
      <c r="H57" s="225" t="s">
        <v>1070</v>
      </c>
      <c r="I57" s="227"/>
    </row>
    <row r="58" ht="15.75" customHeight="1">
      <c r="A58" s="224" t="s">
        <v>1071</v>
      </c>
      <c r="B58" s="225" t="s">
        <v>1068</v>
      </c>
      <c r="C58" s="225" t="s">
        <v>1072</v>
      </c>
      <c r="D58" s="225">
        <f>COUNTIFS(raw_deals!$A$2:$A$1000, "", raw_deals!$B$2:$B$1000, "&lt;&gt;")</f>
        <v>0</v>
      </c>
      <c r="E58" s="225">
        <f>COUNTIFS(raw_deals!$A$2:$A$1000, "", raw_deals!$B$2:$B$1000, "&lt;&gt;")</f>
        <v>0</v>
      </c>
      <c r="F58" s="225">
        <v>0.0</v>
      </c>
      <c r="G58" s="224" t="str">
        <f t="shared" ref="G58:G60" si="9">IF(E58=F58, "🟢 PASS", "🔴 FAIL")</f>
        <v>🟢 PASS</v>
      </c>
      <c r="H58" s="225" t="s">
        <v>1073</v>
      </c>
      <c r="I58" s="227"/>
    </row>
    <row r="59" ht="15.75" customHeight="1">
      <c r="A59" s="224" t="s">
        <v>1074</v>
      </c>
      <c r="B59" s="225" t="s">
        <v>1068</v>
      </c>
      <c r="C59" s="225" t="s">
        <v>1075</v>
      </c>
      <c r="D59" s="225">
        <f t="array" ref="D59">SUMPRODUCT((raw_deals!$A$2:$A$1000&lt;&gt;"")*(COUNTIF(raw_deals!$A$2:$A$1000, raw_deals!$A$2:$A$1000)&gt;1))</f>
        <v>0</v>
      </c>
      <c r="E59" s="225">
        <f t="array" ref="E59">SUMPRODUCT((raw_deals!$A$2:$A$1000&lt;&gt;"")*(COUNTIF(raw_deals!$A$2:$A$1000, raw_deals!$A$2:$A$1000)&gt;1))</f>
        <v>0</v>
      </c>
      <c r="F59" s="225">
        <v>0.0</v>
      </c>
      <c r="G59" s="224" t="str">
        <f t="shared" si="9"/>
        <v>🟢 PASS</v>
      </c>
      <c r="H59" s="225" t="s">
        <v>1078</v>
      </c>
      <c r="I59" s="227"/>
    </row>
    <row r="60" ht="15.75" customHeight="1">
      <c r="A60" s="224" t="s">
        <v>1080</v>
      </c>
      <c r="B60" s="225" t="s">
        <v>1081</v>
      </c>
      <c r="C60" s="225" t="s">
        <v>1083</v>
      </c>
      <c r="D60" s="225" t="b">
        <f>AND(COUNTIF('📊 Stage_History'!$A$2:$A$1000, "D-101")&gt;0, COUNTIF('📊 Stage_History'!$A$2:$A$1000, "D-102")&gt;0)</f>
        <v>1</v>
      </c>
      <c r="E60" s="225" t="b">
        <f>AND(COUNTIF('📊 Stage_History'!$A$2:$A$1000, "D-101")&gt;0, COUNTIF('📊 Stage_History'!$A$2:$A$1000, "D-102")&gt;0)</f>
        <v>1</v>
      </c>
      <c r="F60" s="225" t="b">
        <v>1</v>
      </c>
      <c r="G60" s="224" t="str">
        <f t="shared" si="9"/>
        <v>🟢 PASS</v>
      </c>
      <c r="H60" s="225" t="s">
        <v>1087</v>
      </c>
      <c r="I60" s="227"/>
    </row>
    <row r="61" ht="15.75" customHeight="1">
      <c r="A61" s="224" t="s">
        <v>1088</v>
      </c>
      <c r="B61" s="225" t="s">
        <v>1081</v>
      </c>
      <c r="C61" s="225" t="s">
        <v>1089</v>
      </c>
      <c r="D61" s="225">
        <f>MIN(COUNTIF('📊 Stage_History'!$A$2:$A$1000, raw_deals!$A$2), COUNTIF('📊 Stage_History'!$A$2:$A$1000, raw_deals!$A$3), COUNTIF('📊 Stage_History'!$A$2:$A$1000, raw_deals!$A$4), COUNTIF('📊 Stage_History'!$A$2:$A$1000, raw_deals!$A$5), COUNTIF('📊 Stage_History'!$A$2:$A$1000, raw_deals!$A$6), COUNTIF('📊 Stage_History'!$A$2:$A$1000, raw_deals!$A$7), COUNTIF('📊 Stage_History'!$A$2:$A$1000, raw_deals!$A$8), COUNTIF('📊 Stage_History'!$A$2:$A$1000, raw_deals!$A$9), COUNTIF('📊 Stage_History'!$A$2:$A$1000, raw_deals!$A$10), COUNTIF('📊 Stage_History'!$A$2:$A$1000, raw_deals!$A$11), COUNTIF('📊 Stage_History'!$A$2:$A$1000, raw_deals!$A$12))</f>
        <v>1</v>
      </c>
      <c r="E61" s="225">
        <f>MIN(COUNTIF('📊 Stage_History'!$A$2:$A$1000, raw_deals!$A$2), COUNTIF('📊 Stage_History'!$A$2:$A$1000, raw_deals!$A$3), COUNTIF('📊 Stage_History'!$A$2:$A$1000, raw_deals!$A$4), COUNTIF('📊 Stage_History'!$A$2:$A$1000, raw_deals!$A$5), COUNTIF('📊 Stage_History'!$A$2:$A$1000, raw_deals!$A$6), COUNTIF('📊 Stage_History'!$A$2:$A$1000, raw_deals!$A$7), COUNTIF('📊 Stage_History'!$A$2:$A$1000, raw_deals!$A$8), COUNTIF('📊 Stage_History'!$A$2:$A$1000, raw_deals!$A$9), COUNTIF('📊 Stage_History'!$A$2:$A$1000, raw_deals!$A$10), COUNTIF('📊 Stage_History'!$A$2:$A$1000, raw_deals!$A$11), COUNTIF('📊 Stage_History'!$A$2:$A$1000, raw_deals!$A$12))</f>
        <v>1</v>
      </c>
      <c r="F61" s="225">
        <v>1.0</v>
      </c>
      <c r="G61" s="224" t="str">
        <f>IF(E61&gt;=F61, "🟢 PASS", "🔴 FAIL")</f>
        <v>🟢 PASS</v>
      </c>
      <c r="H61" s="225" t="s">
        <v>1101</v>
      </c>
      <c r="I61" s="227"/>
    </row>
    <row r="62" ht="15.75" customHeight="1">
      <c r="A62" s="224" t="s">
        <v>1102</v>
      </c>
      <c r="B62" s="225" t="s">
        <v>1081</v>
      </c>
      <c r="C62" s="225" t="s">
        <v>1103</v>
      </c>
      <c r="D62" s="225">
        <f>COUNTIFS('📊 Stage_History'!$G$2:$G$1000, "&lt;&gt;🟢 В НОРМЕ", '📊 Stage_History'!$G$2:$G$1000, "&lt;&gt;🔴 СРЫВ", '📊 Stage_History'!$G$2:$G$1000, "&lt;&gt;")</f>
        <v>0</v>
      </c>
      <c r="E62" s="225">
        <f>COUNTIFS('📊 Stage_History'!$G$2:$G$1000, "&lt;&gt;🟢 В НОРМЕ", '📊 Stage_History'!$G$2:$G$1000, "&lt;&gt;🔴 СРЫВ", '📊 Stage_History'!$G$2:$G$1000, "&lt;&gt;")</f>
        <v>0</v>
      </c>
      <c r="F62" s="225">
        <v>0.0</v>
      </c>
      <c r="G62" s="224" t="str">
        <f t="shared" ref="G62:G88" si="10">IF(E62=F62, "🟢 PASS", "🔴 FAIL")</f>
        <v>🟢 PASS</v>
      </c>
      <c r="H62" s="225" t="s">
        <v>1108</v>
      </c>
      <c r="I62" s="227"/>
    </row>
    <row r="63" ht="15.75" customHeight="1">
      <c r="A63" s="224" t="s">
        <v>1109</v>
      </c>
      <c r="B63" s="225" t="s">
        <v>1110</v>
      </c>
      <c r="C63" s="225" t="s">
        <v>1111</v>
      </c>
      <c r="D63" s="225">
        <f>COUNTIFS(raw_deals!$AE$2:$AE$1000, "&lt;&gt;", raw_deals!$AE$2:$AE$1000, "&lt;2026-09-01")</f>
        <v>0</v>
      </c>
      <c r="E63" s="225">
        <f>COUNTIFS(raw_deals!$AE$2:$AE$1000, "&lt;&gt;", raw_deals!$AE$2:$AE$1000, "&lt;2026-09-01")</f>
        <v>0</v>
      </c>
      <c r="F63" s="225">
        <v>0.0</v>
      </c>
      <c r="G63" s="224" t="str">
        <f t="shared" si="10"/>
        <v>🟢 PASS</v>
      </c>
      <c r="H63" s="225" t="s">
        <v>1113</v>
      </c>
      <c r="I63" s="227"/>
    </row>
    <row r="64" ht="15.75" customHeight="1">
      <c r="A64" s="224" t="s">
        <v>1114</v>
      </c>
      <c r="B64" s="225" t="s">
        <v>1110</v>
      </c>
      <c r="C64" s="225" t="s">
        <v>1115</v>
      </c>
      <c r="D64" s="225">
        <f>COUNTIFS(raw_deals!$AI$2:$AI$1000, "&lt;0") + COUNTIFS(raw_deals!$AI$2:$AI$1000, "&gt;100")</f>
        <v>0</v>
      </c>
      <c r="E64" s="225">
        <f>COUNTIFS(raw_deals!$AI$2:$AI$1000, "&lt;0") + COUNTIFS(raw_deals!$AI$2:$AI$1000, "&gt;100")</f>
        <v>0</v>
      </c>
      <c r="F64" s="225">
        <v>0.0</v>
      </c>
      <c r="G64" s="224" t="str">
        <f t="shared" si="10"/>
        <v>🟢 PASS</v>
      </c>
      <c r="H64" s="225" t="s">
        <v>1116</v>
      </c>
      <c r="I64" s="227"/>
    </row>
    <row r="65" ht="15.75" customHeight="1">
      <c r="A65" s="224" t="s">
        <v>1117</v>
      </c>
      <c r="B65" s="225" t="s">
        <v>1118</v>
      </c>
      <c r="C65" s="225" t="s">
        <v>1119</v>
      </c>
      <c r="D65" s="225">
        <f>COUNTIF('⏱️ SLA_Matrix'!$A$2:$A$100, "TR-*")</f>
        <v>5</v>
      </c>
      <c r="E65" s="225">
        <f>COUNTIF('⏱️ SLA_Matrix'!$A$2:$A$100, "TR-*")</f>
        <v>5</v>
      </c>
      <c r="F65" s="225">
        <v>5.0</v>
      </c>
      <c r="G65" s="224" t="str">
        <f t="shared" si="10"/>
        <v>🟢 PASS</v>
      </c>
      <c r="H65" s="225" t="s">
        <v>1120</v>
      </c>
      <c r="I65" s="227"/>
    </row>
    <row r="66" ht="15.75" customHeight="1">
      <c r="A66" s="224" t="s">
        <v>1121</v>
      </c>
      <c r="B66" s="225" t="s">
        <v>1118</v>
      </c>
      <c r="C66" s="225" t="s">
        <v>1122</v>
      </c>
      <c r="D66" s="225" t="b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>1</v>
      </c>
      <c r="E66" s="225" t="b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>1</v>
      </c>
      <c r="F66" s="225" t="b">
        <v>1</v>
      </c>
      <c r="G66" s="224" t="str">
        <f t="shared" si="10"/>
        <v>🟢 PASS</v>
      </c>
      <c r="H66" s="225" t="s">
        <v>1123</v>
      </c>
      <c r="I66" s="227"/>
    </row>
    <row r="67" ht="15.75" customHeight="1">
      <c r="A67" s="227" t="s">
        <v>1124</v>
      </c>
      <c r="B67" s="227" t="s">
        <v>1118</v>
      </c>
      <c r="C67" s="227" t="s">
        <v>1125</v>
      </c>
      <c r="D67" s="227" t="b">
        <f>AND(calc_engine!B31&gt;=0, calc_engine!B31&lt;=1)</f>
        <v>1</v>
      </c>
      <c r="E67" s="227" t="b">
        <f>AND(calc_engine!B31&gt;=0, calc_engine!B31&lt;=1)</f>
        <v>1</v>
      </c>
      <c r="F67" s="227" t="b">
        <v>1</v>
      </c>
      <c r="G67" s="227" t="str">
        <f t="shared" si="10"/>
        <v>🟢 PASS</v>
      </c>
      <c r="H67" s="227" t="s">
        <v>1126</v>
      </c>
      <c r="I67" s="227"/>
    </row>
    <row r="68" ht="15.75" customHeight="1">
      <c r="A68" s="227" t="s">
        <v>1127</v>
      </c>
      <c r="B68" s="227" t="s">
        <v>1118</v>
      </c>
      <c r="C68" s="227" t="s">
        <v>1128</v>
      </c>
      <c r="D68" s="227">
        <f>COUNTIFS('🎯 Action_Center'!$E$2:$E$100, "", '🎯 Action_Center'!$A$2:$A$100, "?*")</f>
        <v>0</v>
      </c>
      <c r="E68" s="227">
        <f>COUNTIFS('🎯 Action_Center'!$E$2:$E$100, "", '🎯 Action_Center'!$A$2:$A$100, "?*")</f>
        <v>0</v>
      </c>
      <c r="F68" s="227">
        <v>0.0</v>
      </c>
      <c r="G68" s="227" t="str">
        <f t="shared" si="10"/>
        <v>🟢 PASS</v>
      </c>
      <c r="H68" s="227" t="s">
        <v>1129</v>
      </c>
      <c r="I68" s="227"/>
    </row>
    <row r="69" ht="15.75" customHeight="1">
      <c r="A69" s="227" t="s">
        <v>1130</v>
      </c>
      <c r="B69" s="227" t="s">
        <v>1131</v>
      </c>
      <c r="C69" s="227" t="s">
        <v>841</v>
      </c>
      <c r="D69" s="227">
        <f>calc_engine!B19</f>
        <v>1650000</v>
      </c>
      <c r="E69" s="227">
        <f>SUMIF(raw_deals!$D$2:$D$1000, 6, raw_deals!$C$2:$C$1000)</f>
        <v>1650000</v>
      </c>
      <c r="F69" s="227">
        <f>calc_engine!B19</f>
        <v>1650000</v>
      </c>
      <c r="G69" s="227" t="str">
        <f t="shared" si="10"/>
        <v>🟢 PASS</v>
      </c>
      <c r="H69" s="227" t="s">
        <v>1132</v>
      </c>
      <c r="I69" s="227" t="s">
        <v>1133</v>
      </c>
    </row>
    <row r="70" ht="15.75" customHeight="1">
      <c r="A70" s="227" t="s">
        <v>1134</v>
      </c>
      <c r="B70" s="227" t="s">
        <v>1131</v>
      </c>
      <c r="C70" s="227" t="s">
        <v>1135</v>
      </c>
      <c r="D70" s="244">
        <f>calc_engine!B144</f>
        <v>1650000</v>
      </c>
      <c r="E70" s="227">
        <f>SUMIF(raw_invoices!$H$2:$H$1000, "paid", raw_invoices!$G$2:$G$1000)</f>
        <v>1650000</v>
      </c>
      <c r="F70" s="244">
        <f>calc_engine!B144</f>
        <v>1650000</v>
      </c>
      <c r="G70" s="227" t="str">
        <f t="shared" si="10"/>
        <v>🟢 PASS</v>
      </c>
      <c r="H70" s="227" t="s">
        <v>1136</v>
      </c>
      <c r="I70" s="227" t="s">
        <v>1137</v>
      </c>
    </row>
    <row r="71" ht="15.75" customHeight="1">
      <c r="A71" s="227" t="s">
        <v>1138</v>
      </c>
      <c r="B71" s="227" t="s">
        <v>1131</v>
      </c>
      <c r="C71" s="227" t="s">
        <v>1139</v>
      </c>
      <c r="D71" s="244">
        <f>calc_engine!B146</f>
        <v>330000</v>
      </c>
      <c r="E71" s="227">
        <f>SUMIF(raw_invoices!$H$2:$H$1000, "overdue", raw_invoices!$G$2:$G$1000)</f>
        <v>330000</v>
      </c>
      <c r="F71" s="244">
        <f>calc_engine!B146</f>
        <v>330000</v>
      </c>
      <c r="G71" s="227" t="str">
        <f t="shared" si="10"/>
        <v>🟢 PASS</v>
      </c>
      <c r="H71" s="227" t="s">
        <v>1140</v>
      </c>
      <c r="I71" s="227" t="s">
        <v>1141</v>
      </c>
    </row>
    <row r="72" ht="15.75" customHeight="1">
      <c r="A72" s="227" t="s">
        <v>1142</v>
      </c>
      <c r="B72" s="227" t="s">
        <v>1131</v>
      </c>
      <c r="C72" s="227" t="s">
        <v>1143</v>
      </c>
      <c r="D72" s="227">
        <f>ROUND(calc_marketing!B6, 2)</f>
        <v>2330.1</v>
      </c>
      <c r="E72" s="227">
        <f>ROUND(calc_engine!B137 / MAX(SUM(raw_marketing!$H$2:$H$1000), 1), 2)</f>
        <v>2330.1</v>
      </c>
      <c r="F72" s="227">
        <f>ROUND(calc_marketing!B6, 2)</f>
        <v>2330.1</v>
      </c>
      <c r="G72" s="227" t="str">
        <f t="shared" si="10"/>
        <v>🟢 PASS</v>
      </c>
      <c r="H72" s="227" t="s">
        <v>1144</v>
      </c>
      <c r="I72" s="227" t="s">
        <v>1145</v>
      </c>
    </row>
    <row r="73" ht="15.75" customHeight="1">
      <c r="A73" s="227" t="s">
        <v>1146</v>
      </c>
      <c r="B73" s="227" t="s">
        <v>1131</v>
      </c>
      <c r="C73" s="227" t="s">
        <v>1147</v>
      </c>
      <c r="D73" s="227">
        <f>ROUND(calc_marketing!B8, 4)</f>
        <v>5.875</v>
      </c>
      <c r="E73" s="227">
        <f>ROUND((calc_engine!E137 - calc_engine!B137) / MAX(calc_engine!B137, 1), 4)</f>
        <v>5.875</v>
      </c>
      <c r="F73" s="227">
        <f>ROUND(calc_marketing!B8, 4)</f>
        <v>5.875</v>
      </c>
      <c r="G73" s="227" t="str">
        <f t="shared" si="10"/>
        <v>🟢 PASS</v>
      </c>
      <c r="H73" s="227" t="s">
        <v>1148</v>
      </c>
      <c r="I73" s="227" t="s">
        <v>1149</v>
      </c>
    </row>
    <row r="74" ht="15.75" customHeight="1">
      <c r="A74" s="227" t="s">
        <v>1150</v>
      </c>
      <c r="B74" s="227" t="s">
        <v>1151</v>
      </c>
      <c r="C74" s="227" t="s">
        <v>1152</v>
      </c>
      <c r="D74" s="227">
        <f>COUNTIFS(raw_calls!$B$2:$B$1000, "?*", raw_calls!$A$2:$A$1000, "?*") - SUMPRODUCT((raw_calls!$B$2:$B$1000&lt;&gt;"") * (ISNUMBER(MATCH(raw_calls!$B$2:$B$1000, raw_deals!$A$2:$A$1000, 0))))</f>
        <v>0</v>
      </c>
      <c r="E74" s="227">
        <f>COUNTIFS(raw_calls!$B$2:$B$1000, "?*", raw_calls!$A$2:$A$1000, "?*") - SUMPRODUCT((raw_calls!$B$2:$B$1000&lt;&gt;"") * (ISNUMBER(MATCH(raw_calls!$B$2:$B$1000, raw_deals!$A$2:$A$1000, 0))))</f>
        <v>0</v>
      </c>
      <c r="F74" s="227">
        <v>0.0</v>
      </c>
      <c r="G74" s="227" t="str">
        <f t="shared" si="10"/>
        <v>🟢 PASS</v>
      </c>
      <c r="H74" s="227" t="s">
        <v>1153</v>
      </c>
      <c r="I74" s="227" t="s">
        <v>1154</v>
      </c>
    </row>
    <row r="75" ht="15.75" customHeight="1">
      <c r="A75" s="227" t="s">
        <v>1155</v>
      </c>
      <c r="B75" s="227" t="s">
        <v>1151</v>
      </c>
      <c r="C75" s="227" t="s">
        <v>1156</v>
      </c>
      <c r="D75" s="227">
        <f>COUNTIFS(raw_invoices!$B$2:$B$1000, "?*", raw_invoices!$A$2:$A$1000, "?*") - SUMPRODUCT((raw_invoices!$B$2:$B$1000&lt;&gt;"") * (ISNUMBER(MATCH(raw_invoices!$B$2:$B$1000, raw_deals!$A$2:$A$1000, 0))))</f>
        <v>0</v>
      </c>
      <c r="E75" s="227">
        <f>COUNTIFS(raw_invoices!$B$2:$B$1000, "?*", raw_invoices!$A$2:$A$1000, "?*") - SUMPRODUCT((raw_invoices!$B$2:$B$1000&lt;&gt;"") * (ISNUMBER(MATCH(raw_invoices!$B$2:$B$1000, raw_deals!$A$2:$A$1000, 0))))</f>
        <v>0</v>
      </c>
      <c r="F75" s="227">
        <v>0.0</v>
      </c>
      <c r="G75" s="227" t="str">
        <f t="shared" si="10"/>
        <v>🟢 PASS</v>
      </c>
      <c r="H75" s="227" t="s">
        <v>1157</v>
      </c>
      <c r="I75" s="227" t="s">
        <v>1158</v>
      </c>
    </row>
    <row r="76" ht="15.75" customHeight="1">
      <c r="A76" s="227" t="s">
        <v>1159</v>
      </c>
      <c r="B76" s="227" t="s">
        <v>1151</v>
      </c>
      <c r="C76" s="227" t="s">
        <v>1160</v>
      </c>
      <c r="D76" s="227">
        <f>COUNTIFS(raw_payments!$B$2:$B$1000, "?*", raw_payments!$A$2:$A$1000, "?*") - SUMPRODUCT((raw_payments!$B$2:$B$1000&lt;&gt;"") * (ISNUMBER(MATCH(raw_payments!$B$2:$B$1000, raw_deals!$A$2:$A$1000, 0))))</f>
        <v>0</v>
      </c>
      <c r="E76" s="227">
        <f>COUNTIFS(raw_payments!$B$2:$B$1000, "?*", raw_payments!$A$2:$A$1000, "?*") - SUMPRODUCT((raw_payments!$B$2:$B$1000&lt;&gt;"") * (ISNUMBER(MATCH(raw_payments!$B$2:$B$1000, raw_deals!$A$2:$A$1000, 0))))</f>
        <v>0</v>
      </c>
      <c r="F76" s="227">
        <v>0.0</v>
      </c>
      <c r="G76" s="227" t="str">
        <f t="shared" si="10"/>
        <v>🟢 PASS</v>
      </c>
      <c r="H76" s="227" t="s">
        <v>1161</v>
      </c>
      <c r="I76" s="227" t="s">
        <v>1162</v>
      </c>
    </row>
    <row r="77" ht="15.75" customHeight="1">
      <c r="A77" s="227" t="s">
        <v>1163</v>
      </c>
      <c r="B77" s="227" t="s">
        <v>1151</v>
      </c>
      <c r="C77" s="227" t="s">
        <v>1164</v>
      </c>
      <c r="D77" s="227">
        <f>COUNTIFS(raw_touchpoints!$B$2:$B$1000, "?*", raw_touchpoints!$A$2:$A$1000, "?*") - SUMPRODUCT((raw_touchpoints!$B$2:$B$1000&lt;&gt;"") * (ISNUMBER(MATCH(raw_touchpoints!$B$2:$B$1000, raw_deals!$A$2:$A$1000, 0))))</f>
        <v>0</v>
      </c>
      <c r="E77" s="227">
        <f>COUNTIFS(raw_touchpoints!$B$2:$B$1000, "?*", raw_touchpoints!$A$2:$A$1000, "?*") - SUMPRODUCT((raw_touchpoints!$B$2:$B$1000&lt;&gt;"") * (ISNUMBER(MATCH(raw_touchpoints!$B$2:$B$1000, raw_deals!$A$2:$A$1000, 0))))</f>
        <v>0</v>
      </c>
      <c r="F77" s="227">
        <v>0.0</v>
      </c>
      <c r="G77" s="227" t="str">
        <f t="shared" si="10"/>
        <v>🟢 PASS</v>
      </c>
      <c r="H77" s="227" t="s">
        <v>1165</v>
      </c>
      <c r="I77" s="227" t="s">
        <v>1166</v>
      </c>
    </row>
    <row r="78" ht="15.75" customHeight="1">
      <c r="A78" s="227" t="s">
        <v>1167</v>
      </c>
      <c r="B78" s="227" t="s">
        <v>1168</v>
      </c>
      <c r="C78" s="227" t="s">
        <v>1169</v>
      </c>
      <c r="D78" s="227">
        <f t="array" ref="D78">SUMPRODUCT((raw_deals!$A$2:$A$1000&lt;&gt;"")*(COUNTIF(raw_deals!$A$2:$A$1000, raw_deals!$A$2:$A$1000)&gt;1))</f>
        <v>0</v>
      </c>
      <c r="E78" s="227">
        <f t="array" ref="E78">SUMPRODUCT((raw_deals!$A$2:$A$1000&lt;&gt;"")*(COUNTIF(raw_deals!$A$2:$A$1000, raw_deals!$A$2:$A$1000)&gt;1))</f>
        <v>0</v>
      </c>
      <c r="F78" s="227">
        <v>0.0</v>
      </c>
      <c r="G78" s="227" t="str">
        <f t="shared" si="10"/>
        <v>🟢 PASS</v>
      </c>
      <c r="H78" s="227" t="s">
        <v>1185</v>
      </c>
      <c r="I78" s="227" t="s">
        <v>1186</v>
      </c>
    </row>
    <row r="79" ht="15.75" customHeight="1">
      <c r="A79" s="227" t="s">
        <v>1187</v>
      </c>
      <c r="B79" s="227" t="s">
        <v>1168</v>
      </c>
      <c r="C79" s="227" t="s">
        <v>1188</v>
      </c>
      <c r="D79" s="227">
        <f t="array" ref="D79">SUMPRODUCT((raw_calls!$A$2:$A$1000&lt;&gt;"")*(COUNTIF(raw_calls!$A$2:$A$1000, raw_calls!$A$2:$A$1000)&gt;1))</f>
        <v>0</v>
      </c>
      <c r="E79" s="227">
        <f t="array" ref="E79">SUMPRODUCT((raw_calls!$A$2:$A$1000&lt;&gt;"")*(COUNTIF(raw_calls!$A$2:$A$1000, raw_calls!$A$2:$A$1000)&gt;1))</f>
        <v>0</v>
      </c>
      <c r="F79" s="227">
        <v>0.0</v>
      </c>
      <c r="G79" s="227" t="str">
        <f t="shared" si="10"/>
        <v>🟢 PASS</v>
      </c>
      <c r="H79" s="227" t="s">
        <v>1280</v>
      </c>
      <c r="I79" s="227" t="s">
        <v>1281</v>
      </c>
    </row>
    <row r="80" ht="15.75" customHeight="1">
      <c r="A80" s="227" t="s">
        <v>1282</v>
      </c>
      <c r="B80" s="227" t="s">
        <v>1168</v>
      </c>
      <c r="C80" s="227" t="s">
        <v>1283</v>
      </c>
      <c r="D80" s="227">
        <f t="array" ref="D80">SUMPRODUCT((raw_invoices!$A$2:$A$1000&lt;&gt;"")*(COUNTIF(raw_invoices!$A$2:$A$1000, raw_invoices!$A$2:$A$1000)&gt;1))</f>
        <v>0</v>
      </c>
      <c r="E80" s="227">
        <f t="array" ref="E80">SUMPRODUCT((raw_invoices!$A$2:$A$1000&lt;&gt;"")*(COUNTIF(raw_invoices!$A$2:$A$1000, raw_invoices!$A$2:$A$1000)&gt;1))</f>
        <v>0</v>
      </c>
      <c r="F80" s="227">
        <v>0.0</v>
      </c>
      <c r="G80" s="227" t="str">
        <f t="shared" si="10"/>
        <v>🟢 PASS</v>
      </c>
      <c r="H80" s="227" t="s">
        <v>1286</v>
      </c>
      <c r="I80" s="227" t="s">
        <v>1287</v>
      </c>
    </row>
    <row r="81" ht="15.75" customHeight="1">
      <c r="A81" s="227" t="s">
        <v>1288</v>
      </c>
      <c r="B81" s="227" t="s">
        <v>1289</v>
      </c>
      <c r="C81" s="227" t="s">
        <v>1290</v>
      </c>
      <c r="D81" s="227">
        <f>COUNTIF('📅 Deal_Event_Log'!$C$2:$C$1000, "&gt;" &amp; TEXT(calc_engine!$B$1, "YYYY-MM-DD 23:59:59"))</f>
        <v>0</v>
      </c>
      <c r="E81" s="227">
        <f>COUNTIF('📅 Deal_Event_Log'!$C$2:$C$1000, "&gt;" &amp; TEXT(calc_engine!$B$1, "YYYY-MM-DD 23:59:59"))</f>
        <v>0</v>
      </c>
      <c r="F81" s="227">
        <v>0.0</v>
      </c>
      <c r="G81" s="227" t="str">
        <f t="shared" si="10"/>
        <v>🟢 PASS</v>
      </c>
      <c r="H81" s="227" t="s">
        <v>1294</v>
      </c>
      <c r="I81" s="227" t="s">
        <v>1295</v>
      </c>
    </row>
    <row r="82" ht="15.75" customHeight="1">
      <c r="A82" s="227" t="s">
        <v>1296</v>
      </c>
      <c r="B82" s="227" t="s">
        <v>1289</v>
      </c>
      <c r="C82" s="227" t="s">
        <v>1297</v>
      </c>
      <c r="D82" s="227">
        <f>COUNTIF(raw_deals!$T$2:$T$1000, "&lt;0")</f>
        <v>0</v>
      </c>
      <c r="E82" s="227">
        <f>COUNTIF(raw_deals!$T$2:$T$1000, "&lt;0")</f>
        <v>0</v>
      </c>
      <c r="F82" s="227">
        <v>0.0</v>
      </c>
      <c r="G82" s="227" t="str">
        <f t="shared" si="10"/>
        <v>🟢 PASS</v>
      </c>
      <c r="H82" s="227" t="s">
        <v>1298</v>
      </c>
      <c r="I82" s="227" t="s">
        <v>1299</v>
      </c>
    </row>
    <row r="83" ht="15.75" customHeight="1">
      <c r="A83" s="227" t="s">
        <v>1300</v>
      </c>
      <c r="B83" s="227" t="s">
        <v>1289</v>
      </c>
      <c r="C83" s="227" t="s">
        <v>1301</v>
      </c>
      <c r="D83" s="227">
        <f>COUNTIFS(raw_touchpoints!$B$2:$B$1000, "D-101", raw_touchpoints!$C$2:$C$1000, "&gt;2026-09-12") + COUNTIFS(raw_touchpoints!$B$2:$B$1000, "D-102", raw_touchpoints!$C$2:$C$1000, "&gt;2026-09-16")</f>
        <v>0</v>
      </c>
      <c r="E83" s="227">
        <f>COUNTIFS(raw_touchpoints!$B$2:$B$1000, "D-101", raw_touchpoints!$C$2:$C$1000, "&gt;2026-09-12") + COUNTIFS(raw_touchpoints!$B$2:$B$1000, "D-102", raw_touchpoints!$C$2:$C$1000, "&gt;2026-09-16")</f>
        <v>0</v>
      </c>
      <c r="F83" s="227">
        <v>0.0</v>
      </c>
      <c r="G83" s="227" t="str">
        <f t="shared" si="10"/>
        <v>🟢 PASS</v>
      </c>
      <c r="H83" s="227" t="s">
        <v>1303</v>
      </c>
      <c r="I83" s="227" t="s">
        <v>1304</v>
      </c>
    </row>
    <row r="84" ht="15.75" customHeight="1">
      <c r="A84" s="227" t="s">
        <v>1306</v>
      </c>
      <c r="B84" s="227" t="s">
        <v>1307</v>
      </c>
      <c r="C84" s="227" t="s">
        <v>1308</v>
      </c>
      <c r="D84" s="227" t="b">
        <f>AND(COUNTIF(raw_payments!$B$2:$B$1000, "D-101")&gt;0, COUNTIF(raw_payments!$B$2:$B$1000, "D-102")&gt;0)</f>
        <v>1</v>
      </c>
      <c r="E84" s="227" t="b">
        <f>AND(COUNTIF(raw_payments!$B$2:$B$1000, "D-101")&gt;0, COUNTIF(raw_payments!$B$2:$B$1000, "D-102")&gt;0)</f>
        <v>1</v>
      </c>
      <c r="F84" s="227" t="b">
        <v>1</v>
      </c>
      <c r="G84" s="227" t="str">
        <f t="shared" si="10"/>
        <v>🟢 PASS</v>
      </c>
      <c r="H84" s="227" t="s">
        <v>1309</v>
      </c>
      <c r="I84" s="227" t="s">
        <v>1310</v>
      </c>
    </row>
    <row r="85" ht="15.75" customHeight="1">
      <c r="A85" s="227" t="s">
        <v>1311</v>
      </c>
      <c r="B85" s="227" t="s">
        <v>1307</v>
      </c>
      <c r="C85" s="227" t="s">
        <v>1312</v>
      </c>
      <c r="D85" s="227">
        <f>COUNTIF('⚙️ Настройки'!$E$21:$E$24, "&gt;1.5")</f>
        <v>0</v>
      </c>
      <c r="E85" s="227">
        <f>COUNTIF('⚙️ Настройки'!$E$21:$E$24, "&gt;1.5")</f>
        <v>0</v>
      </c>
      <c r="F85" s="227">
        <v>0.0</v>
      </c>
      <c r="G85" s="227" t="str">
        <f t="shared" si="10"/>
        <v>🟢 PASS</v>
      </c>
      <c r="H85" s="227" t="s">
        <v>1313</v>
      </c>
      <c r="I85" s="227" t="s">
        <v>1314</v>
      </c>
    </row>
    <row r="86" ht="15.75" customHeight="1">
      <c r="A86" s="227" t="s">
        <v>1315</v>
      </c>
      <c r="B86" s="227" t="s">
        <v>1307</v>
      </c>
      <c r="C86" s="227" t="s">
        <v>1316</v>
      </c>
      <c r="D86" s="227">
        <f>COUNTIF(raw_deals!$C$2:$C$1000, "&lt;0")</f>
        <v>0</v>
      </c>
      <c r="E86" s="227">
        <f>COUNTIF(raw_deals!$C$2:$C$1000, "&lt;0")</f>
        <v>0</v>
      </c>
      <c r="F86" s="227">
        <v>0.0</v>
      </c>
      <c r="G86" s="227" t="str">
        <f t="shared" si="10"/>
        <v>🟢 PASS</v>
      </c>
      <c r="H86" s="227" t="s">
        <v>1317</v>
      </c>
      <c r="I86" s="227" t="s">
        <v>1318</v>
      </c>
    </row>
    <row r="87" ht="15.75" customHeight="1">
      <c r="A87" s="227" t="s">
        <v>1319</v>
      </c>
      <c r="B87" s="227" t="s">
        <v>1307</v>
      </c>
      <c r="C87" s="227" t="s">
        <v>1320</v>
      </c>
      <c r="D87" s="227" t="b">
        <f>AND(COUNTIF(raw_invoices!$B$2:$B$1000, "D-103")&gt;0, COUNTIF(raw_invoices!$B$2:$B$1000, "D-099")&gt;0)</f>
        <v>1</v>
      </c>
      <c r="E87" s="227" t="b">
        <f>AND(COUNTIF(raw_invoices!$B$2:$B$1000, "D-103")&gt;0, COUNTIF(raw_invoices!$B$2:$B$1000, "D-099")&gt;0)</f>
        <v>1</v>
      </c>
      <c r="F87" s="227" t="b">
        <v>1</v>
      </c>
      <c r="G87" s="227" t="str">
        <f t="shared" si="10"/>
        <v>🟢 PASS</v>
      </c>
      <c r="H87" s="227" t="s">
        <v>1322</v>
      </c>
      <c r="I87" s="227" t="s">
        <v>1323</v>
      </c>
    </row>
    <row r="88" ht="15.75" customHeight="1">
      <c r="A88" s="227" t="s">
        <v>1324</v>
      </c>
      <c r="B88" s="227" t="s">
        <v>1307</v>
      </c>
      <c r="C88" s="227" t="s">
        <v>1325</v>
      </c>
      <c r="D88" s="227">
        <f>COUNTIFS(raw_deals!$A$2:$A$1000, "?*", raw_deals!$J$2:$J$1000, "")</f>
        <v>0</v>
      </c>
      <c r="E88" s="227">
        <f>COUNTIFS(raw_deals!$A$2:$A$1000, "?*", raw_deals!$J$2:$J$1000, "")</f>
        <v>0</v>
      </c>
      <c r="F88" s="227">
        <v>0.0</v>
      </c>
      <c r="G88" s="227" t="str">
        <f t="shared" si="10"/>
        <v>🟢 PASS</v>
      </c>
      <c r="H88" s="227" t="s">
        <v>1326</v>
      </c>
      <c r="I88" s="227" t="s">
        <v>1327</v>
      </c>
    </row>
    <row r="89" ht="15.75" customHeight="1">
      <c r="A89" s="224" t="s">
        <v>1328</v>
      </c>
      <c r="B89" s="225" t="s">
        <v>1329</v>
      </c>
      <c r="C89" s="225" t="s">
        <v>1330</v>
      </c>
      <c r="D89" s="225" t="b">
        <f>COUNTIF('🎯 Action_Center'!$A$2:$A$50, "ACT*")=COUNTA('🎯 Action_Center'!$A$2:$A$50)</f>
        <v>1</v>
      </c>
      <c r="E89" s="225" t="b">
        <v>1</v>
      </c>
      <c r="F89" s="225" t="b">
        <f>COUNTIF('🎯 Action_Center'!$A$2:$A$50, "ACT*")=COUNTA('🎯 Action_Center'!$A$2:$A$50)</f>
        <v>1</v>
      </c>
      <c r="G89" s="224" t="str">
        <f t="shared" ref="G89:G109" si="11">IF(D89=E89, "🟢 PASS", "🔴 FAIL")</f>
        <v>🟢 PASS</v>
      </c>
      <c r="H89" s="225" t="s">
        <v>1331</v>
      </c>
      <c r="I89" s="225" t="s">
        <v>1332</v>
      </c>
    </row>
    <row r="90" ht="15.75" customHeight="1">
      <c r="A90" s="224" t="s">
        <v>1333</v>
      </c>
      <c r="B90" s="225" t="s">
        <v>1329</v>
      </c>
      <c r="C90" s="225" t="s">
        <v>1334</v>
      </c>
      <c r="D90" s="225" t="b">
        <f>MIN('🎯 Action_Center'!$F$2:$F$50)&gt;=0</f>
        <v>1</v>
      </c>
      <c r="E90" s="225" t="b">
        <v>1</v>
      </c>
      <c r="F90" s="225" t="b">
        <f>MIN('🎯 Action_Center'!$F$2:$F$50)&gt;=0</f>
        <v>1</v>
      </c>
      <c r="G90" s="224" t="str">
        <f t="shared" si="11"/>
        <v>🟢 PASS</v>
      </c>
      <c r="H90" s="225" t="s">
        <v>1335</v>
      </c>
      <c r="I90" s="225" t="s">
        <v>1336</v>
      </c>
    </row>
    <row r="91" ht="15.75" customHeight="1">
      <c r="A91" s="224" t="s">
        <v>1337</v>
      </c>
      <c r="B91" s="225" t="s">
        <v>1329</v>
      </c>
      <c r="C91" s="225" t="s">
        <v>1338</v>
      </c>
      <c r="D91" s="225" t="b">
        <f>COUNTIFS('🎯 Action_Center'!$H$2:$H$50, "OPEN", '🎯 Action_Center'!$G$2:$G$50, "")=0</f>
        <v>1</v>
      </c>
      <c r="E91" s="225" t="b">
        <v>1</v>
      </c>
      <c r="F91" s="225" t="b">
        <f>COUNTIFS('🎯 Action_Center'!$H$2:$H$50, "OPEN", '🎯 Action_Center'!$G$2:$G$50, "")=0</f>
        <v>1</v>
      </c>
      <c r="G91" s="224" t="str">
        <f t="shared" si="11"/>
        <v>🟢 PASS</v>
      </c>
      <c r="H91" s="225" t="s">
        <v>1347</v>
      </c>
      <c r="I91" s="225" t="s">
        <v>1348</v>
      </c>
    </row>
    <row r="92" ht="15.75" customHeight="1">
      <c r="A92" s="224" t="s">
        <v>1349</v>
      </c>
      <c r="B92" s="225" t="s">
        <v>1329</v>
      </c>
      <c r="C92" s="225" t="s">
        <v>1350</v>
      </c>
      <c r="D92" s="225" t="b">
        <f>COUNTIF('🎯 Action_Center'!$J$2:$J$50, "&gt;0")=COUNTA('🎯 Action_Center'!$J$2:$J$50)</f>
        <v>1</v>
      </c>
      <c r="E92" s="225" t="b">
        <v>1</v>
      </c>
      <c r="F92" s="225" t="b">
        <f>COUNTIF('🎯 Action_Center'!$J$2:$J$50, "&gt;0")=COUNTA('🎯 Action_Center'!$J$2:$J$50)</f>
        <v>1</v>
      </c>
      <c r="G92" s="224" t="str">
        <f t="shared" si="11"/>
        <v>🟢 PASS</v>
      </c>
      <c r="H92" s="225" t="s">
        <v>1353</v>
      </c>
      <c r="I92" s="225" t="s">
        <v>1354</v>
      </c>
    </row>
    <row r="93" ht="15.75" customHeight="1">
      <c r="A93" s="224" t="s">
        <v>1355</v>
      </c>
      <c r="B93" s="225" t="s">
        <v>888</v>
      </c>
      <c r="C93" s="225" t="s">
        <v>1356</v>
      </c>
      <c r="D93" s="225" t="b">
        <f>MIN('⏱️ SLA_Matrix'!$D$2:$D$6)&gt;0</f>
        <v>1</v>
      </c>
      <c r="E93" s="225" t="b">
        <v>1</v>
      </c>
      <c r="F93" s="225" t="b">
        <f>MIN('⏱️ SLA_Matrix'!$D$2:$D$6)&gt;0</f>
        <v>1</v>
      </c>
      <c r="G93" s="224" t="str">
        <f t="shared" si="11"/>
        <v>🟢 PASS</v>
      </c>
      <c r="H93" s="225" t="s">
        <v>1359</v>
      </c>
      <c r="I93" s="225" t="s">
        <v>1360</v>
      </c>
    </row>
    <row r="94" ht="15.75" customHeight="1">
      <c r="A94" s="224" t="s">
        <v>1361</v>
      </c>
      <c r="B94" s="225" t="s">
        <v>888</v>
      </c>
      <c r="C94" s="225" t="s">
        <v>1363</v>
      </c>
      <c r="D94" s="225" t="b">
        <f>COUNTIF('⏱️ SLA_Matrix'!$F$2:$F$6, "&gt;0")=COUNTA('⏱️ SLA_Matrix'!$F$2:$F$6)</f>
        <v>1</v>
      </c>
      <c r="E94" s="225" t="b">
        <v>1</v>
      </c>
      <c r="F94" s="225" t="b">
        <f>COUNTIF('⏱️ SLA_Matrix'!$F$2:$F$6, "&gt;0")=COUNTA('⏱️ SLA_Matrix'!$F$2:$F$6)</f>
        <v>1</v>
      </c>
      <c r="G94" s="224" t="str">
        <f t="shared" si="11"/>
        <v>🟢 PASS</v>
      </c>
      <c r="H94" s="225" t="s">
        <v>1365</v>
      </c>
      <c r="I94" s="225" t="s">
        <v>1366</v>
      </c>
    </row>
    <row r="95" ht="15.75" customHeight="1">
      <c r="A95" s="224" t="s">
        <v>1367</v>
      </c>
      <c r="B95" s="225" t="s">
        <v>1368</v>
      </c>
      <c r="C95" s="225" t="s">
        <v>1369</v>
      </c>
      <c r="D95" s="225" t="b">
        <f>COUNTIF('📅 Deal_Event_Log'!$A$2:$A$100, "EVT*")=COUNTA('📅 Deal_Event_Log'!$A$2:$A$100)</f>
        <v>1</v>
      </c>
      <c r="E95" s="225" t="b">
        <v>1</v>
      </c>
      <c r="F95" s="225" t="b">
        <f>COUNTIF('📅 Deal_Event_Log'!$A$2:$A$100, "EVT*")=COUNTA('📅 Deal_Event_Log'!$A$2:$A$100)</f>
        <v>1</v>
      </c>
      <c r="G95" s="224" t="str">
        <f t="shared" si="11"/>
        <v>🟢 PASS</v>
      </c>
      <c r="H95" s="225" t="s">
        <v>1376</v>
      </c>
      <c r="I95" s="225" t="s">
        <v>1377</v>
      </c>
    </row>
    <row r="96" ht="15.75" customHeight="1">
      <c r="A96" s="224" t="s">
        <v>1378</v>
      </c>
      <c r="B96" s="225" t="s">
        <v>1368</v>
      </c>
      <c r="C96" s="225" t="s">
        <v>1379</v>
      </c>
      <c r="D96" s="225" t="b">
        <f>COUNTIF('📅 Deal_Event_Log'!$B$2:$B$100, "D-*")=COUNTA('📅 Deal_Event_Log'!$B$2:$B$100)</f>
        <v>1</v>
      </c>
      <c r="E96" s="225" t="b">
        <v>1</v>
      </c>
      <c r="F96" s="225" t="b">
        <f>COUNTIF('📅 Deal_Event_Log'!$B$2:$B$100, "D-*")=COUNTA('📅 Deal_Event_Log'!$B$2:$B$100)</f>
        <v>1</v>
      </c>
      <c r="G96" s="224" t="str">
        <f t="shared" si="11"/>
        <v>🟢 PASS</v>
      </c>
      <c r="H96" s="225" t="s">
        <v>1389</v>
      </c>
      <c r="I96" s="225" t="s">
        <v>1391</v>
      </c>
    </row>
    <row r="97" ht="15.75" customHeight="1">
      <c r="A97" s="224" t="s">
        <v>1392</v>
      </c>
      <c r="B97" s="225" t="s">
        <v>1368</v>
      </c>
      <c r="C97" s="225" t="s">
        <v>1395</v>
      </c>
      <c r="D97" s="225" t="b">
        <f>MIN('📊 Stage_History'!$E$2:$E$100)&gt;=0</f>
        <v>1</v>
      </c>
      <c r="E97" s="225" t="b">
        <v>1</v>
      </c>
      <c r="F97" s="225" t="b">
        <f>MIN('📊 Stage_History'!$E$2:$E$100)&gt;=0</f>
        <v>1</v>
      </c>
      <c r="G97" s="224" t="str">
        <f t="shared" si="11"/>
        <v>🟢 PASS</v>
      </c>
      <c r="H97" s="225" t="s">
        <v>1404</v>
      </c>
      <c r="I97" s="225" t="s">
        <v>1405</v>
      </c>
    </row>
    <row r="98" ht="15.75" customHeight="1">
      <c r="A98" s="224" t="s">
        <v>1406</v>
      </c>
      <c r="B98" s="225" t="s">
        <v>1368</v>
      </c>
      <c r="C98" s="225" t="s">
        <v>1407</v>
      </c>
      <c r="D98" s="225" t="b">
        <f>COUNTIF('📊 Stage_History'!$A$2:$A$100, "D-*")=COUNTA('📊 Stage_History'!$A$2:$A$100)</f>
        <v>1</v>
      </c>
      <c r="E98" s="225" t="b">
        <v>1</v>
      </c>
      <c r="F98" s="225" t="b">
        <f>COUNTIF('📊 Stage_History'!$A$2:$A$100, "D-*")=COUNTA('📊 Stage_History'!$A$2:$A$100)</f>
        <v>1</v>
      </c>
      <c r="G98" s="224" t="str">
        <f t="shared" si="11"/>
        <v>🟢 PASS</v>
      </c>
      <c r="H98" s="225" t="s">
        <v>1408</v>
      </c>
      <c r="I98" s="225" t="s">
        <v>1409</v>
      </c>
    </row>
    <row r="99" ht="15.75" customHeight="1">
      <c r="A99" s="224" t="s">
        <v>1410</v>
      </c>
      <c r="B99" s="225" t="s">
        <v>1411</v>
      </c>
      <c r="C99" s="225" t="s">
        <v>1412</v>
      </c>
      <c r="D99" s="225" t="b">
        <f>COUNTA('📋 Data_Contract'!$B$2:$B$100)&gt;=54</f>
        <v>1</v>
      </c>
      <c r="E99" s="225" t="b">
        <v>1</v>
      </c>
      <c r="F99" s="225" t="b">
        <f>COUNTA('📋 Data_Contract'!$B$2:$B$100)&gt;=54</f>
        <v>1</v>
      </c>
      <c r="G99" s="224" t="str">
        <f t="shared" si="11"/>
        <v>🟢 PASS</v>
      </c>
      <c r="H99" s="225" t="s">
        <v>1413</v>
      </c>
      <c r="I99" s="225" t="s">
        <v>1414</v>
      </c>
    </row>
    <row r="100" ht="15.75" customHeight="1">
      <c r="A100" s="224" t="s">
        <v>1415</v>
      </c>
      <c r="B100" s="225" t="s">
        <v>1411</v>
      </c>
      <c r="C100" s="225" t="s">
        <v>1416</v>
      </c>
      <c r="D100" s="225" t="b">
        <f>COUNTIF('🆔 ID_Registry'!$B$2:$B$9, "*-*")=COUNTA('🆔 ID_Registry'!$B$2:$B$9)</f>
        <v>1</v>
      </c>
      <c r="E100" s="225" t="b">
        <v>1</v>
      </c>
      <c r="F100" s="225" t="b">
        <f>COUNTIF('🆔 ID_Registry'!$B$2:$B$9, "*-*")=COUNTA('🆔 ID_Registry'!$B$2:$B$9)</f>
        <v>1</v>
      </c>
      <c r="G100" s="224" t="str">
        <f t="shared" si="11"/>
        <v>🟢 PASS</v>
      </c>
      <c r="H100" s="225" t="s">
        <v>1417</v>
      </c>
      <c r="I100" s="225" t="s">
        <v>1418</v>
      </c>
    </row>
    <row r="101" ht="15.75" customHeight="1">
      <c r="A101" s="224" t="s">
        <v>1419</v>
      </c>
      <c r="B101" s="225" t="s">
        <v>1420</v>
      </c>
      <c r="C101" s="225" t="s">
        <v>1421</v>
      </c>
      <c r="D101" s="225" t="b">
        <f>'📄 Executive_OnePager'!$A$5=calc_engine!$B$19</f>
        <v>1</v>
      </c>
      <c r="E101" s="225" t="b">
        <v>1</v>
      </c>
      <c r="F101" s="225" t="b">
        <f>'📄 Executive_OnePager'!$A$5=calc_engine!$B$19</f>
        <v>1</v>
      </c>
      <c r="G101" s="224" t="str">
        <f t="shared" si="11"/>
        <v>🟢 PASS</v>
      </c>
      <c r="H101" s="225" t="s">
        <v>1430</v>
      </c>
      <c r="I101" s="225" t="s">
        <v>1432</v>
      </c>
    </row>
    <row r="102" ht="15.75" customHeight="1">
      <c r="A102" s="224" t="s">
        <v>1433</v>
      </c>
      <c r="B102" s="225" t="s">
        <v>1420</v>
      </c>
      <c r="C102" s="225" t="s">
        <v>1435</v>
      </c>
      <c r="D102" s="225" t="b">
        <f>'📄 Executive_OnePager'!$E$5=calc_engine!$B$17</f>
        <v>1</v>
      </c>
      <c r="E102" s="225" t="b">
        <v>1</v>
      </c>
      <c r="F102" s="225" t="b">
        <f>'📄 Executive_OnePager'!$E$5=calc_engine!$B$17</f>
        <v>1</v>
      </c>
      <c r="G102" s="224" t="str">
        <f t="shared" si="11"/>
        <v>🟢 PASS</v>
      </c>
      <c r="H102" s="225" t="s">
        <v>1436</v>
      </c>
      <c r="I102" s="225" t="s">
        <v>1437</v>
      </c>
    </row>
    <row r="103" ht="15.75" customHeight="1">
      <c r="A103" s="224" t="s">
        <v>1438</v>
      </c>
      <c r="B103" s="225" t="s">
        <v>1439</v>
      </c>
      <c r="C103" s="225" t="s">
        <v>1440</v>
      </c>
      <c r="D103" s="225" t="b">
        <f>ISNUMBER(SEARCH("ACTIVE", '⚙️ Настройки'!$B$57))</f>
        <v>1</v>
      </c>
      <c r="E103" s="225" t="b">
        <v>1</v>
      </c>
      <c r="F103" s="225" t="b">
        <f>ISNUMBER(SEARCH("ACTIVE", '⚙️ Настройки'!$B$57))</f>
        <v>1</v>
      </c>
      <c r="G103" s="224" t="str">
        <f t="shared" si="11"/>
        <v>🟢 PASS</v>
      </c>
      <c r="H103" s="225" t="s">
        <v>1442</v>
      </c>
      <c r="I103" s="225" t="s">
        <v>1443</v>
      </c>
    </row>
    <row r="104" ht="15.75" customHeight="1">
      <c r="A104" s="224" t="s">
        <v>1444</v>
      </c>
      <c r="B104" s="225" t="s">
        <v>1445</v>
      </c>
      <c r="C104" s="225" t="s">
        <v>1446</v>
      </c>
      <c r="D104" s="225" t="b">
        <f>EXACT('🗄️ DWH_и_Безопасность'!$F$4, "✅ PASS 100% (45 листов)")</f>
        <v>1</v>
      </c>
      <c r="E104" s="225" t="b">
        <v>1</v>
      </c>
      <c r="F104" s="225" t="b">
        <f>EXACT('🗄️ DWH_и_Безопасность'!$F$4, "✅ PASS 100% (45 листов)")</f>
        <v>1</v>
      </c>
      <c r="G104" s="224" t="str">
        <f t="shared" si="11"/>
        <v>🟢 PASS</v>
      </c>
      <c r="H104" s="225" t="s">
        <v>1447</v>
      </c>
      <c r="I104" s="225" t="s">
        <v>1448</v>
      </c>
    </row>
    <row r="105" ht="15.75" customHeight="1">
      <c r="A105" s="224" t="s">
        <v>1449</v>
      </c>
      <c r="B105" s="225" t="s">
        <v>1450</v>
      </c>
      <c r="C105" s="225" t="s">
        <v>1451</v>
      </c>
      <c r="D105" s="225" t="b">
        <f>'📊 Data_Quality'!$C$8=1</f>
        <v>1</v>
      </c>
      <c r="E105" s="225" t="b">
        <v>1</v>
      </c>
      <c r="F105" s="225" t="b">
        <f>'📊 Data_Quality'!$C$8=1</f>
        <v>1</v>
      </c>
      <c r="G105" s="224" t="str">
        <f t="shared" si="11"/>
        <v>🟢 PASS</v>
      </c>
      <c r="H105" s="225" t="s">
        <v>1452</v>
      </c>
      <c r="I105" s="225" t="s">
        <v>1453</v>
      </c>
    </row>
    <row r="106" ht="15.75" customHeight="1">
      <c r="A106" s="224" t="s">
        <v>1454</v>
      </c>
      <c r="B106" s="225" t="s">
        <v>1455</v>
      </c>
      <c r="C106" s="225" t="s">
        <v>1456</v>
      </c>
      <c r="D106" s="225" t="b">
        <f>ISNUMBER(calc_engine!$B$19)*ISNUMBER(calc_engine!$B$17)*ISNUMBER('📄 Executive_OnePager'!$A$5)*('📊 Data_Quality'!$C$8=1)=1</f>
        <v>1</v>
      </c>
      <c r="E106" s="225" t="b">
        <v>1</v>
      </c>
      <c r="F106" s="225" t="b">
        <f>ISNUMBER(calc_engine!$B$19)*ISNUMBER(calc_engine!$B$17)*ISNUMBER('📄 Executive_OnePager'!$A$5)*('📊 Data_Quality'!$C$8=1)=1</f>
        <v>1</v>
      </c>
      <c r="G106" s="224" t="str">
        <f t="shared" si="11"/>
        <v>🟢 PASS</v>
      </c>
      <c r="H106" s="225" t="s">
        <v>1460</v>
      </c>
      <c r="I106" s="225" t="s">
        <v>1461</v>
      </c>
    </row>
    <row r="107" ht="15.75" customHeight="1">
      <c r="A107" s="224" t="s">
        <v>1462</v>
      </c>
      <c r="B107" s="225" t="s">
        <v>1463</v>
      </c>
      <c r="C107" s="225" t="s">
        <v>1464</v>
      </c>
      <c r="D107" s="225" t="b">
        <f>ISREF('🔐 RBAC_Matrix'!$A$1)</f>
        <v>1</v>
      </c>
      <c r="E107" s="225" t="b">
        <v>1</v>
      </c>
      <c r="F107" s="225" t="b">
        <f>ISREF('🔐 RBAC_Matrix'!$A$1)</f>
        <v>1</v>
      </c>
      <c r="G107" s="224" t="str">
        <f t="shared" si="11"/>
        <v>🟢 PASS</v>
      </c>
      <c r="H107" s="225" t="s">
        <v>1465</v>
      </c>
      <c r="I107" s="225" t="s">
        <v>1466</v>
      </c>
    </row>
    <row r="108" ht="15.75" customHeight="1">
      <c r="A108" s="224" t="s">
        <v>1467</v>
      </c>
      <c r="B108" s="225" t="s">
        <v>1463</v>
      </c>
      <c r="C108" s="225" t="s">
        <v>1468</v>
      </c>
      <c r="D108" s="225">
        <f>COUNTA('🔐 RBAC_Matrix'!$A$2:$A$46)</f>
        <v>45</v>
      </c>
      <c r="E108" s="225">
        <v>45.0</v>
      </c>
      <c r="F108" s="225">
        <f>COUNTA('🔐 RBAC_Matrix'!$A$2:$A$46)</f>
        <v>45</v>
      </c>
      <c r="G108" s="224" t="str">
        <f t="shared" si="11"/>
        <v>🟢 PASS</v>
      </c>
      <c r="H108" s="225" t="s">
        <v>1470</v>
      </c>
      <c r="I108" s="225" t="s">
        <v>1471</v>
      </c>
    </row>
    <row r="109" ht="15.75" customHeight="1">
      <c r="A109" s="224" t="s">
        <v>1472</v>
      </c>
      <c r="B109" s="225" t="s">
        <v>1463</v>
      </c>
      <c r="C109" s="225" t="s">
        <v>1473</v>
      </c>
      <c r="D109" s="225">
        <f>COUNTA('🔐 RBAC_Matrix'!$D$1:$J$1)</f>
        <v>7</v>
      </c>
      <c r="E109" s="225">
        <v>7.0</v>
      </c>
      <c r="F109" s="225">
        <f>COUNTA('🔐 RBAC_Matrix'!$D$1:$J$1)</f>
        <v>7</v>
      </c>
      <c r="G109" s="224" t="str">
        <f t="shared" si="11"/>
        <v>🟢 PASS</v>
      </c>
      <c r="H109" s="225" t="s">
        <v>1474</v>
      </c>
      <c r="I109" s="225" t="s">
        <v>1475</v>
      </c>
    </row>
    <row r="110" ht="15.75" customHeight="1">
      <c r="A110" s="224" t="s">
        <v>1476</v>
      </c>
      <c r="B110" s="225" t="s">
        <v>1478</v>
      </c>
      <c r="C110" s="225" t="s">
        <v>1479</v>
      </c>
      <c r="D110" s="225" t="b">
        <f>'🔐 RBAC_Matrix'!$C$2</f>
        <v>1</v>
      </c>
      <c r="E110" s="225" t="b">
        <v>1</v>
      </c>
      <c r="F110" s="225" t="b">
        <f>'🔐 RBAC_Matrix'!$C$2</f>
        <v>1</v>
      </c>
      <c r="G110" s="224" t="str">
        <f>IF(OR(D110=TRUE, TEXT(D110,"@")=TEXT(E110,"@"), D110="TRUE"), "🟢 PASS", "🔴 FAIL")</f>
        <v>🟢 PASS</v>
      </c>
      <c r="H110" s="225" t="s">
        <v>1486</v>
      </c>
      <c r="I110" s="225" t="s">
        <v>1487</v>
      </c>
    </row>
    <row r="111" ht="15.75" customHeight="1">
      <c r="A111" s="224" t="s">
        <v>1488</v>
      </c>
      <c r="B111" s="225" t="s">
        <v>1489</v>
      </c>
      <c r="C111" s="225" t="s">
        <v>1490</v>
      </c>
      <c r="D111" s="225" t="b">
        <f>'🔐 RBAC_Matrix'!$F$35="⛔"</f>
        <v>1</v>
      </c>
      <c r="E111" s="225" t="b">
        <v>1</v>
      </c>
      <c r="F111" s="225" t="b">
        <f>'🔐 RBAC_Matrix'!$F$35="⛔"</f>
        <v>1</v>
      </c>
      <c r="G111" s="224" t="str">
        <f t="shared" ref="G111:G124" si="12">IF(D111=E111, "🟢 PASS", "🔴 FAIL")</f>
        <v>🟢 PASS</v>
      </c>
      <c r="H111" s="225" t="s">
        <v>1491</v>
      </c>
      <c r="I111" s="225" t="s">
        <v>1492</v>
      </c>
    </row>
    <row r="112" ht="15.75" customHeight="1">
      <c r="A112" s="224" t="s">
        <v>1493</v>
      </c>
      <c r="B112" s="225" t="s">
        <v>1489</v>
      </c>
      <c r="C112" s="225" t="s">
        <v>1494</v>
      </c>
      <c r="D112" s="225" t="b">
        <f>AND('🔐 RBAC_Matrix'!$F$30="⛔", '🔐 RBAC_Matrix'!$G$30="⛔")</f>
        <v>1</v>
      </c>
      <c r="E112" s="225" t="b">
        <v>1</v>
      </c>
      <c r="F112" s="225" t="b">
        <f>AND('🔐 RBAC_Matrix'!$F$30="⛔", '🔐 RBAC_Matrix'!$G$30="⛔")</f>
        <v>1</v>
      </c>
      <c r="G112" s="224" t="str">
        <f t="shared" si="12"/>
        <v>🟢 PASS</v>
      </c>
      <c r="H112" s="225" t="s">
        <v>1495</v>
      </c>
      <c r="I112" s="225" t="s">
        <v>1496</v>
      </c>
    </row>
    <row r="113" ht="15.75" customHeight="1">
      <c r="A113" s="224" t="s">
        <v>1497</v>
      </c>
      <c r="B113" s="225" t="s">
        <v>1498</v>
      </c>
      <c r="C113" s="225" t="s">
        <v>1499</v>
      </c>
      <c r="D113" s="225" t="b">
        <f>AND('🔐 RBAC_Matrix'!$J$30="✏️", '🔐 RBAC_Matrix'!$J$34="✏️")</f>
        <v>1</v>
      </c>
      <c r="E113" s="225" t="b">
        <v>1</v>
      </c>
      <c r="F113" s="225" t="b">
        <f>AND('🔐 RBAC_Matrix'!$J$30="✏️", '🔐 RBAC_Matrix'!$J$34="✏️")</f>
        <v>1</v>
      </c>
      <c r="G113" s="224" t="str">
        <f t="shared" si="12"/>
        <v>🟢 PASS</v>
      </c>
      <c r="H113" s="225" t="s">
        <v>1500</v>
      </c>
      <c r="I113" s="225" t="s">
        <v>1501</v>
      </c>
    </row>
    <row r="114" ht="15.75" customHeight="1">
      <c r="A114" s="224" t="s">
        <v>1502</v>
      </c>
      <c r="B114" s="225" t="s">
        <v>1503</v>
      </c>
      <c r="C114" s="225" t="s">
        <v>1504</v>
      </c>
      <c r="D114" s="225" t="b">
        <f>'🔐 RBAC_Matrix'!$D$14="✏️"</f>
        <v>1</v>
      </c>
      <c r="E114" s="225" t="b">
        <v>1</v>
      </c>
      <c r="F114" s="225" t="b">
        <f>'🔐 RBAC_Matrix'!$D$14="✏️"</f>
        <v>1</v>
      </c>
      <c r="G114" s="224" t="str">
        <f t="shared" si="12"/>
        <v>🟢 PASS</v>
      </c>
      <c r="H114" s="225" t="s">
        <v>1505</v>
      </c>
      <c r="I114" s="225" t="s">
        <v>1506</v>
      </c>
    </row>
    <row r="115" ht="15.75" customHeight="1">
      <c r="A115" s="224" t="s">
        <v>1507</v>
      </c>
      <c r="B115" s="225" t="s">
        <v>1508</v>
      </c>
      <c r="C115" s="225" t="s">
        <v>1509</v>
      </c>
      <c r="D115" s="225" t="b">
        <f>ISNUMBER(MATCH('⚙️ Настройки'!$B$10, '🔐 RBAC_Matrix'!$D$1:$J$1, 0))</f>
        <v>1</v>
      </c>
      <c r="E115" s="225" t="b">
        <v>1</v>
      </c>
      <c r="F115" s="225" t="b">
        <f>ISNUMBER(MATCH('⚙️ Настройки'!$B$10, '🔐 RBAC_Matrix'!$D$1:$J$1, 0))</f>
        <v>1</v>
      </c>
      <c r="G115" s="224" t="str">
        <f t="shared" si="12"/>
        <v>🟢 PASS</v>
      </c>
      <c r="H115" s="225" t="s">
        <v>1510</v>
      </c>
      <c r="I115" s="225" t="s">
        <v>1511</v>
      </c>
    </row>
    <row r="116" ht="15.75" customHeight="1">
      <c r="A116" s="224" t="s">
        <v>1512</v>
      </c>
      <c r="B116" s="225" t="s">
        <v>1489</v>
      </c>
      <c r="C116" s="225" t="s">
        <v>1513</v>
      </c>
      <c r="D116" s="225" t="b">
        <f>AND('🔐 RBAC_Matrix'!$E$29="⛔", '🔐 RBAC_Matrix'!$F$29="⛔")</f>
        <v>1</v>
      </c>
      <c r="E116" s="225" t="b">
        <v>1</v>
      </c>
      <c r="F116" s="225" t="b">
        <f>AND('🔐 RBAC_Matrix'!$E$29="⛔", '🔐 RBAC_Matrix'!$F$29="⛔")</f>
        <v>1</v>
      </c>
      <c r="G116" s="224" t="str">
        <f t="shared" si="12"/>
        <v>🟢 PASS</v>
      </c>
      <c r="H116" s="225" t="s">
        <v>1514</v>
      </c>
      <c r="I116" s="225" t="s">
        <v>1515</v>
      </c>
    </row>
    <row r="117" ht="15.75" customHeight="1">
      <c r="A117" s="224" t="s">
        <v>1516</v>
      </c>
      <c r="B117" s="225" t="s">
        <v>1517</v>
      </c>
      <c r="C117" s="225" t="s">
        <v>1518</v>
      </c>
      <c r="D117" s="225" t="b">
        <f>ISREF(raw_audit_log!$A$1)</f>
        <v>1</v>
      </c>
      <c r="E117" s="225" t="b">
        <v>1</v>
      </c>
      <c r="F117" s="225" t="b">
        <f>ISREF(raw_audit_log!$A$1)</f>
        <v>1</v>
      </c>
      <c r="G117" s="224" t="str">
        <f t="shared" si="12"/>
        <v>🟢 PASS</v>
      </c>
      <c r="H117" s="225" t="s">
        <v>1519</v>
      </c>
      <c r="I117" s="225" t="s">
        <v>1520</v>
      </c>
    </row>
    <row r="118" ht="15.75" customHeight="1">
      <c r="A118" s="224" t="s">
        <v>1521</v>
      </c>
      <c r="B118" s="225" t="s">
        <v>1522</v>
      </c>
      <c r="C118" s="225" t="s">
        <v>1523</v>
      </c>
      <c r="D118" s="225" t="b">
        <f>AND(ISREF('📄 Executive_OnePager'!$A$1), ISREF('📋 Пульт_РОПа_15_Минут'!$A$1), ISREF('⚡ Пульс_Компании'!$A$1))</f>
        <v>1</v>
      </c>
      <c r="E118" s="225" t="b">
        <v>1</v>
      </c>
      <c r="F118" s="225" t="b">
        <f>AND(ISREF('📄 Executive_OnePager'!$A$1), ISREF('📋 Пульт_РОПа_15_Минут'!$A$1), ISREF('⚡ Пульс_Компании'!$A$1))</f>
        <v>1</v>
      </c>
      <c r="G118" s="224" t="str">
        <f t="shared" si="12"/>
        <v>🟢 PASS</v>
      </c>
      <c r="H118" s="225" t="s">
        <v>1525</v>
      </c>
      <c r="I118" s="225" t="s">
        <v>1526</v>
      </c>
    </row>
    <row r="119" ht="15.75" customHeight="1">
      <c r="A119" s="224" t="s">
        <v>1527</v>
      </c>
      <c r="B119" s="225" t="s">
        <v>1528</v>
      </c>
      <c r="C119" s="225" t="s">
        <v>1529</v>
      </c>
      <c r="D119" s="225" t="b">
        <f>COUNTA('⚙️ Настройки'!$J$10:$J$100)&gt;=7</f>
        <v>1</v>
      </c>
      <c r="E119" s="225" t="b">
        <v>1</v>
      </c>
      <c r="F119" s="225" t="b">
        <f t="shared" ref="F119:F124" si="13">D119</f>
        <v>1</v>
      </c>
      <c r="G119" s="224" t="str">
        <f t="shared" si="12"/>
        <v>🟢 PASS</v>
      </c>
      <c r="H119" s="225" t="s">
        <v>1534</v>
      </c>
      <c r="I119" s="225" t="s">
        <v>1535</v>
      </c>
    </row>
    <row r="120" ht="15.75" customHeight="1">
      <c r="A120" s="224" t="s">
        <v>1545</v>
      </c>
      <c r="B120" s="225" t="s">
        <v>1528</v>
      </c>
      <c r="C120" s="225" t="s">
        <v>1546</v>
      </c>
      <c r="D120" s="225" t="b">
        <f>COUNTIF('⚙️ Настройки'!$K$10:$K$100,"*")=COUNTA('⚙️ Настройки'!$K$10:$K$100)</f>
        <v>1</v>
      </c>
      <c r="E120" s="225" t="b">
        <v>1</v>
      </c>
      <c r="F120" s="225" t="b">
        <f t="shared" si="13"/>
        <v>1</v>
      </c>
      <c r="G120" s="224" t="str">
        <f t="shared" si="12"/>
        <v>🟢 PASS</v>
      </c>
      <c r="H120" s="225" t="s">
        <v>1547</v>
      </c>
      <c r="I120" s="225" t="s">
        <v>1548</v>
      </c>
    </row>
    <row r="121" ht="15.75" customHeight="1">
      <c r="A121" s="224" t="s">
        <v>1549</v>
      </c>
      <c r="B121" s="225" t="s">
        <v>1528</v>
      </c>
      <c r="C121" s="225" t="s">
        <v>1550</v>
      </c>
      <c r="D121" s="225" t="b">
        <f>AND(COUNTA('⚙️ Настройки'!$L$10:$L$100)&gt;=7, COUNTIF('⚙️ Настройки'!$L$10:$L$100,"*")=COUNTA('⚙️ Настройки'!$J$10:$J$100))</f>
        <v>1</v>
      </c>
      <c r="E121" s="225" t="b">
        <v>1</v>
      </c>
      <c r="F121" s="225" t="b">
        <f t="shared" si="13"/>
        <v>1</v>
      </c>
      <c r="G121" s="224" t="str">
        <f t="shared" si="12"/>
        <v>🟢 PASS</v>
      </c>
      <c r="H121" s="225" t="s">
        <v>1552</v>
      </c>
      <c r="I121" s="225" t="s">
        <v>1553</v>
      </c>
    </row>
    <row r="122" ht="15.75" customHeight="1">
      <c r="A122" s="224" t="s">
        <v>1554</v>
      </c>
      <c r="B122" s="225" t="s">
        <v>1555</v>
      </c>
      <c r="C122" s="225" t="s">
        <v>1556</v>
      </c>
      <c r="D122" s="225" t="b">
        <f>OR(ISNUMBER(SEARCH("Свободна",'⚙️ Настройки'!$H$9)),ISNUMBER(SEARCH("Сессия",'⚙️ Настройки'!$H$9)))</f>
        <v>1</v>
      </c>
      <c r="E122" s="225" t="b">
        <v>1</v>
      </c>
      <c r="F122" s="225" t="b">
        <f t="shared" si="13"/>
        <v>1</v>
      </c>
      <c r="G122" s="224" t="str">
        <f t="shared" si="12"/>
        <v>🟢 PASS</v>
      </c>
      <c r="H122" s="225" t="s">
        <v>1557</v>
      </c>
      <c r="I122" s="225" t="s">
        <v>1558</v>
      </c>
    </row>
    <row r="123" ht="15.75" customHeight="1">
      <c r="A123" s="224" t="s">
        <v>1559</v>
      </c>
      <c r="B123" s="225" t="s">
        <v>1560</v>
      </c>
      <c r="C123" s="225" t="s">
        <v>1561</v>
      </c>
      <c r="D123" s="225" t="b">
        <f>ISNUMBER(MATCH('⚙️ Настройки'!$L$10,'🔐 RBAC_Matrix'!$A$2:$A$46,0))</f>
        <v>1</v>
      </c>
      <c r="E123" s="225" t="b">
        <v>1</v>
      </c>
      <c r="F123" s="225" t="b">
        <f t="shared" si="13"/>
        <v>1</v>
      </c>
      <c r="G123" s="224" t="str">
        <f t="shared" si="12"/>
        <v>🟢 PASS</v>
      </c>
      <c r="H123" s="225" t="s">
        <v>1563</v>
      </c>
      <c r="I123" s="225" t="s">
        <v>1564</v>
      </c>
    </row>
    <row r="124" ht="15.75" customHeight="1">
      <c r="A124" s="224" t="s">
        <v>1565</v>
      </c>
      <c r="B124" s="225" t="s">
        <v>1560</v>
      </c>
      <c r="C124" s="225" t="s">
        <v>1566</v>
      </c>
      <c r="D124" s="225" t="b">
        <f>ISNUMBER(MATCH('⚙️ Настройки'!$L$16,'🔐 RBAC_Matrix'!$A$2:$A$46,0))</f>
        <v>1</v>
      </c>
      <c r="E124" s="225" t="b">
        <v>1</v>
      </c>
      <c r="F124" s="225" t="b">
        <f t="shared" si="13"/>
        <v>1</v>
      </c>
      <c r="G124" s="224" t="str">
        <f t="shared" si="12"/>
        <v>🟢 PASS</v>
      </c>
      <c r="H124" s="225" t="s">
        <v>1575</v>
      </c>
      <c r="I124" s="225" t="s">
        <v>1576</v>
      </c>
    </row>
    <row r="125" ht="15.75" customHeight="1">
      <c r="A125" s="224"/>
      <c r="B125" s="225"/>
      <c r="C125" s="225"/>
      <c r="D125" s="225"/>
      <c r="E125" s="225"/>
      <c r="F125" s="225"/>
      <c r="G125" s="224"/>
      <c r="H125" s="225"/>
      <c r="I125" s="225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📄 1. One-Pager" location="null!A1" ref="A2"/>
    <hyperlink display="⚡ 2. Пульс компании" location="null!A1" ref="B2"/>
    <hyperlink display="📋 3. Пульт РОПа" location="null!A1" ref="C2"/>
    <hyperlink display="💸 4. 7 Грехов ОП" location="null!A1" ref="D2"/>
    <hyperlink display="🎯 5. Action Center" location="null!A1" ref="E2"/>
    <hyperlink display="🎙️ 6. ИИ-Аудит" location="null!A1" ref="F2"/>
    <hyperlink display="⚡ 7. Экспресс 3 цифры" location="null!A1" ref="G2"/>
    <hyperlink display="🧪 8. QA Suite" location="null!A1" ref="H2"/>
    <hyperlink display="⚙️ 9. Настройки" location="null!A1" ref="I2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/>
  </sheetViews>
  <sheetFormatPr customHeight="1" defaultColWidth="12.63" defaultRowHeight="15.0"/>
  <cols>
    <col customWidth="1" min="1" max="1" width="82.88"/>
    <col customWidth="1" min="2" max="3" width="19.13"/>
    <col customWidth="1" min="4" max="4" width="18.88"/>
    <col customWidth="1" min="5" max="5" width="48.38"/>
    <col customWidth="1" min="6" max="6" width="83.0"/>
    <col customWidth="1" min="7" max="7" width="18.38"/>
    <col customWidth="1" min="8" max="8" width="26.63"/>
    <col customWidth="1" min="9" max="9" width="24.25"/>
  </cols>
  <sheetData>
    <row r="1" ht="36.0" customHeight="1">
      <c r="A1" s="199" t="s">
        <v>893</v>
      </c>
    </row>
    <row r="2" ht="25.5" customHeight="1"/>
    <row r="3" ht="25.5" customHeight="1">
      <c r="A3" s="229" t="s">
        <v>894</v>
      </c>
      <c r="B3" s="229" t="s">
        <v>895</v>
      </c>
      <c r="C3" s="229" t="s">
        <v>896</v>
      </c>
      <c r="D3" s="229" t="s">
        <v>897</v>
      </c>
      <c r="E3" s="229" t="s">
        <v>898</v>
      </c>
      <c r="F3" s="229" t="s">
        <v>899</v>
      </c>
    </row>
    <row r="4" ht="24.0" customHeight="1">
      <c r="A4" s="202">
        <f>calc_engine!B144</f>
        <v>1650000</v>
      </c>
      <c r="B4" s="202">
        <f>calc_engine!B147</f>
        <v>4075000</v>
      </c>
      <c r="C4" s="202">
        <f>calc_engine!B145</f>
        <v>0</v>
      </c>
      <c r="D4" s="202">
        <f>calc_engine!B146</f>
        <v>330000</v>
      </c>
      <c r="E4" s="204" t="str">
        <f>calc_engine!B148 &amp; " дн."</f>
        <v>6 дн.</v>
      </c>
      <c r="F4" s="202">
        <f>calc_engine!B154</f>
        <v>1000000</v>
      </c>
    </row>
    <row r="5" ht="24.0" customHeight="1"/>
    <row r="6" ht="24.0" customHeight="1">
      <c r="A6" s="205" t="s">
        <v>906</v>
      </c>
    </row>
    <row r="7" ht="24.0" customHeight="1">
      <c r="A7" s="206" t="s">
        <v>907</v>
      </c>
      <c r="B7" s="206" t="s">
        <v>908</v>
      </c>
      <c r="C7" s="206" t="s">
        <v>909</v>
      </c>
      <c r="D7" s="206" t="s">
        <v>910</v>
      </c>
      <c r="E7" s="206" t="s">
        <v>911</v>
      </c>
      <c r="F7" s="206" t="s">
        <v>912</v>
      </c>
      <c r="G7" s="206" t="s">
        <v>913</v>
      </c>
      <c r="H7" s="206" t="s">
        <v>914</v>
      </c>
      <c r="I7" s="206" t="s">
        <v>915</v>
      </c>
    </row>
    <row r="8" ht="24.0" customHeight="1">
      <c r="A8" s="22" t="str">
        <f>raw_invoices!A2</f>
        <v>INV-201</v>
      </c>
      <c r="B8" s="22" t="str">
        <f>raw_invoices!B2</f>
        <v>D-101</v>
      </c>
      <c r="C8" s="22" t="str">
        <f>raw_invoices!D2</f>
        <v>ООО "Альфа Трейд"</v>
      </c>
      <c r="D8" s="148">
        <f>raw_invoices!F2</f>
        <v>46277</v>
      </c>
      <c r="E8" s="151">
        <f>raw_invoices!G2</f>
        <v>450000</v>
      </c>
      <c r="F8" s="22" t="str">
        <f>raw_invoices!H2</f>
        <v>paid</v>
      </c>
      <c r="G8" s="189">
        <f>raw_invoices!J2</f>
        <v>0</v>
      </c>
      <c r="H8" s="22" t="str">
        <f>IF(raw_invoices!H2="overdue", "🔴 ВЫСОКИЙ РИСК (ПРОСРОЧКА)", IF(raw_invoices!H2="forecast", "🟡 В ПЛАНЕ (FORECAST)", IF(raw_invoices!H2="paid", "🟢 ОПЛАЧЕНО", "⚪ ИНФО")))</f>
        <v>🟢 ОПЛАЧЕНО</v>
      </c>
      <c r="I8" s="22" t="str">
        <f t="shared" ref="I8:I13" si="1">IF(F8="overdue", "Претензия + автозвонок РОПа", IF(F8="pending", "Контроль оплаты бухгалтерией", "Поступление зафиксировано"))</f>
        <v>Поступление зафиксировано</v>
      </c>
    </row>
    <row r="9" ht="16.5" customHeight="1">
      <c r="A9" s="22" t="str">
        <f>raw_invoices!A3</f>
        <v>INV-202</v>
      </c>
      <c r="B9" s="22" t="str">
        <f>raw_invoices!B3</f>
        <v>D-102</v>
      </c>
      <c r="C9" s="22" t="str">
        <f>raw_invoices!D3</f>
        <v>АО "Северсталь Ресурс"</v>
      </c>
      <c r="D9" s="148">
        <f>raw_invoices!F3</f>
        <v>46281</v>
      </c>
      <c r="E9" s="151">
        <f>raw_invoices!G3</f>
        <v>1200000</v>
      </c>
      <c r="F9" s="22" t="str">
        <f>raw_invoices!H3</f>
        <v>paid</v>
      </c>
      <c r="G9" s="189">
        <f>raw_invoices!J3</f>
        <v>0</v>
      </c>
      <c r="H9" s="22" t="str">
        <f>IF(raw_invoices!H3="overdue", "🔴 ВЫСОКИЙ РИСК (ПРОСРОЧКА)", IF(raw_invoices!H3="forecast", "🟡 В ПЛАНЕ (FORECAST)", IF(raw_invoices!H3="paid", "🟢 ОПЛАЧЕНО", "⚪ ИНФО")))</f>
        <v>🟢 ОПЛАЧЕНО</v>
      </c>
      <c r="I9" s="22" t="str">
        <f t="shared" si="1"/>
        <v>Поступление зафиксировано</v>
      </c>
    </row>
    <row r="10" ht="16.5" customHeight="1">
      <c r="A10" s="22" t="str">
        <f>raw_invoices!A4</f>
        <v>INV-203</v>
      </c>
      <c r="B10" s="22" t="str">
        <f>raw_invoices!B4</f>
        <v>D-103</v>
      </c>
      <c r="C10" s="22" t="str">
        <f>raw_invoices!D4</f>
        <v>ИП Смирнов О.В.</v>
      </c>
      <c r="D10" s="148">
        <f>raw_invoices!F4</f>
        <v>46285</v>
      </c>
      <c r="E10" s="151">
        <f>raw_invoices!G4</f>
        <v>150000</v>
      </c>
      <c r="F10" s="22" t="str">
        <f>raw_invoices!H4</f>
        <v>overdue</v>
      </c>
      <c r="G10" s="189">
        <f>raw_invoices!J4</f>
        <v>9</v>
      </c>
      <c r="H10" s="22" t="str">
        <f>IF(raw_invoices!H4="overdue", "🔴 ВЫСОКИЙ РИСК (ПРОСРОЧКА)", IF(raw_invoices!H4="forecast", "🟡 В ПЛАНЕ (FORECAST)", IF(raw_invoices!H4="paid", "🟢 ОПЛАЧЕНО", "⚪ ИНФО")))</f>
        <v>🔴 ВЫСОКИЙ РИСК (ПРОСРОЧКА)</v>
      </c>
      <c r="I10" s="22" t="str">
        <f t="shared" si="1"/>
        <v>Претензия + автозвонок РОПа</v>
      </c>
    </row>
    <row r="11" ht="16.5" customHeight="1">
      <c r="A11" s="22" t="str">
        <f>raw_invoices!A5</f>
        <v>INV-204</v>
      </c>
      <c r="B11" s="22" t="str">
        <f>raw_invoices!B5</f>
        <v>D-104</v>
      </c>
      <c r="C11" s="22" t="str">
        <f>raw_invoices!D5</f>
        <v>ООО "Вектор Плюс"</v>
      </c>
      <c r="D11" s="148">
        <f>raw_invoices!F5</f>
        <v>46293</v>
      </c>
      <c r="E11" s="151">
        <f>raw_invoices!G5</f>
        <v>850000</v>
      </c>
      <c r="F11" s="22" t="str">
        <f>raw_invoices!H5</f>
        <v>forecast</v>
      </c>
      <c r="G11" s="189">
        <f>raw_invoices!J5</f>
        <v>1</v>
      </c>
      <c r="H11" s="22" t="str">
        <f>IF(raw_invoices!H5="overdue", "🔴 ВЫСОКИЙ РИСК (ПРОСРОЧКА)", IF(raw_invoices!H5="forecast", "🟡 В ПЛАНЕ (FORECAST)", IF(raw_invoices!H5="paid", "🟢 ОПЛАЧЕНО", "⚪ ИНФО")))</f>
        <v>🟡 В ПЛАНЕ (FORECAST)</v>
      </c>
      <c r="I11" s="22" t="str">
        <f t="shared" si="1"/>
        <v>Поступление зафиксировано</v>
      </c>
    </row>
    <row r="12" ht="16.5" customHeight="1">
      <c r="A12" s="22" t="str">
        <f>raw_invoices!A6</f>
        <v>INV-205</v>
      </c>
      <c r="B12" s="22" t="str">
        <f>raw_invoices!B6</f>
        <v>D-105</v>
      </c>
      <c r="C12" s="22" t="str">
        <f>raw_invoices!D6</f>
        <v>ООО "Глобал Инвест"</v>
      </c>
      <c r="D12" s="148">
        <f>raw_invoices!F6</f>
        <v>46300</v>
      </c>
      <c r="E12" s="151">
        <f>raw_invoices!G6</f>
        <v>3000000</v>
      </c>
      <c r="F12" s="22" t="str">
        <f>raw_invoices!H6</f>
        <v>forecast</v>
      </c>
      <c r="G12" s="189">
        <f>raw_invoices!J6</f>
        <v>0</v>
      </c>
      <c r="H12" s="22" t="str">
        <f>IF(raw_invoices!H6="overdue", "🔴 ВЫСОКИЙ РИСК (ПРОСРОЧКА)", IF(raw_invoices!H6="forecast", "🟡 В ПЛАНЕ (FORECAST)", IF(raw_invoices!H6="paid", "🟢 ОПЛАЧЕНО", "⚪ ИНФО")))</f>
        <v>🟡 В ПЛАНЕ (FORECAST)</v>
      </c>
      <c r="I12" s="22" t="str">
        <f t="shared" si="1"/>
        <v>Поступление зафиксировано</v>
      </c>
    </row>
    <row r="13" ht="16.5" customHeight="1">
      <c r="A13" s="22" t="str">
        <f>raw_invoices!A7</f>
        <v>INV-206</v>
      </c>
      <c r="B13" s="22" t="str">
        <f>raw_invoices!B7</f>
        <v>D-101</v>
      </c>
      <c r="C13" s="22" t="str">
        <f>raw_invoices!D7</f>
        <v>ООО "Альфа Трейд"</v>
      </c>
      <c r="D13" s="148">
        <f>raw_invoices!F7</f>
        <v>46307</v>
      </c>
      <c r="E13" s="151">
        <f>raw_invoices!G7</f>
        <v>75000</v>
      </c>
      <c r="F13" s="22" t="str">
        <f>raw_invoices!H7</f>
        <v>forecast</v>
      </c>
      <c r="G13" s="189">
        <f>raw_invoices!J7</f>
        <v>0</v>
      </c>
      <c r="H13" s="22" t="str">
        <f>IF(raw_invoices!H7="overdue", "🔴 ВЫСОКИЙ РИСК (ПРОСРОЧКА)", IF(raw_invoices!H7="forecast", "🟡 В ПЛАНЕ (FORECAST)", IF(raw_invoices!H7="paid", "🟢 ОПЛАЧЕНО", "⚪ ИНФО")))</f>
        <v>🟡 В ПЛАНЕ (FORECAST)</v>
      </c>
      <c r="I13" s="22" t="str">
        <f t="shared" si="1"/>
        <v>Поступление зафиксировано</v>
      </c>
    </row>
    <row r="14" ht="15.75" customHeight="1">
      <c r="A14" s="22" t="str">
        <f>raw_invoices!A8</f>
        <v>INV-207</v>
      </c>
      <c r="B14" s="22" t="str">
        <f>raw_invoices!B8</f>
        <v>D-102</v>
      </c>
      <c r="C14" s="22" t="str">
        <f>raw_invoices!D8</f>
        <v>АО "Северсталь Ресурс"</v>
      </c>
      <c r="D14" s="148">
        <f>raw_invoices!F8</f>
        <v>46311</v>
      </c>
      <c r="E14" s="151">
        <f>raw_invoices!G8</f>
        <v>150000</v>
      </c>
      <c r="F14" s="22" t="str">
        <f>raw_invoices!H8</f>
        <v>forecast</v>
      </c>
      <c r="G14" s="189">
        <f>raw_invoices!J8</f>
        <v>0</v>
      </c>
      <c r="H14" s="22" t="str">
        <f>IF(raw_invoices!H8="overdue", "🔴 ВЫСОКИЙ РИСК (ПРОСРОЧКА)", IF(raw_invoices!H8="forecast", "🟡 В ПЛАНЕ (FORECAST)", IF(raw_invoices!H8="paid", "🟢 ОПЛАЧЕНО", "⚪ ИНФО")))</f>
        <v>🟡 В ПЛАНЕ (FORECAST)</v>
      </c>
    </row>
    <row r="15" ht="19.5" customHeight="1">
      <c r="A15" s="230" t="str">
        <f>raw_invoices!A9</f>
        <v>INV-208</v>
      </c>
    </row>
    <row r="16" ht="18.0" customHeight="1">
      <c r="A16" s="231" t="s">
        <v>993</v>
      </c>
      <c r="B16" s="231" t="s">
        <v>997</v>
      </c>
      <c r="C16" s="231" t="s">
        <v>998</v>
      </c>
      <c r="D16" s="231" t="s">
        <v>999</v>
      </c>
      <c r="E16" s="231" t="s">
        <v>1000</v>
      </c>
      <c r="F16" s="231" t="s">
        <v>1001</v>
      </c>
      <c r="G16" s="231" t="s">
        <v>1002</v>
      </c>
      <c r="H16" s="231" t="s">
        <v>1003</v>
      </c>
      <c r="I16" s="231" t="s">
        <v>1004</v>
      </c>
    </row>
    <row r="17" ht="16.5" customHeight="1">
      <c r="A17" s="232" t="s">
        <v>694</v>
      </c>
      <c r="B17" s="22" t="s">
        <v>711</v>
      </c>
      <c r="C17" s="151">
        <v>3000000.0</v>
      </c>
      <c r="D17" s="22" t="s">
        <v>588</v>
      </c>
      <c r="E17" s="22" t="s">
        <v>1006</v>
      </c>
      <c r="F17" s="22" t="s">
        <v>591</v>
      </c>
      <c r="G17" s="232" t="s">
        <v>1008</v>
      </c>
      <c r="H17" s="22" t="s">
        <v>1010</v>
      </c>
      <c r="I17" s="233" t="s">
        <v>1011</v>
      </c>
    </row>
    <row r="18" ht="16.5" customHeight="1">
      <c r="A18" s="232" t="s">
        <v>636</v>
      </c>
      <c r="B18" s="22" t="s">
        <v>708</v>
      </c>
      <c r="C18" s="151">
        <v>850000.0</v>
      </c>
      <c r="D18" s="22" t="s">
        <v>588</v>
      </c>
      <c r="E18" s="22" t="s">
        <v>1012</v>
      </c>
      <c r="F18" s="22" t="s">
        <v>588</v>
      </c>
      <c r="G18" s="232" t="s">
        <v>1013</v>
      </c>
      <c r="H18" s="22" t="s">
        <v>1014</v>
      </c>
      <c r="I18" s="233" t="s">
        <v>1015</v>
      </c>
    </row>
    <row r="19" ht="16.5" customHeight="1">
      <c r="A19" s="232" t="s">
        <v>658</v>
      </c>
      <c r="B19" s="22" t="s">
        <v>697</v>
      </c>
      <c r="C19" s="151">
        <v>150000.0</v>
      </c>
      <c r="D19" s="22" t="s">
        <v>594</v>
      </c>
      <c r="E19" s="22" t="s">
        <v>1018</v>
      </c>
      <c r="F19" s="22" t="s">
        <v>594</v>
      </c>
      <c r="G19" s="232" t="s">
        <v>1013</v>
      </c>
      <c r="H19" s="22" t="s">
        <v>1020</v>
      </c>
      <c r="I19" s="233" t="s">
        <v>1015</v>
      </c>
    </row>
    <row r="20" ht="15.75" customHeight="1"/>
    <row r="21" ht="19.5" customHeight="1">
      <c r="A21" s="214" t="s">
        <v>1021</v>
      </c>
    </row>
    <row r="22" ht="18.0" customHeight="1">
      <c r="A22" s="215" t="s">
        <v>993</v>
      </c>
      <c r="B22" s="215" t="s">
        <v>1022</v>
      </c>
      <c r="C22" s="215" t="s">
        <v>1023</v>
      </c>
      <c r="D22" s="215" t="s">
        <v>598</v>
      </c>
      <c r="E22" s="215" t="s">
        <v>1025</v>
      </c>
      <c r="F22" s="215" t="s">
        <v>1027</v>
      </c>
      <c r="G22" s="215" t="s">
        <v>802</v>
      </c>
      <c r="H22" s="215" t="s">
        <v>1029</v>
      </c>
      <c r="I22" s="215" t="s">
        <v>1030</v>
      </c>
    </row>
    <row r="23" ht="19.5" customHeight="1">
      <c r="A23" s="232" t="s">
        <v>669</v>
      </c>
      <c r="B23" s="22" t="s">
        <v>786</v>
      </c>
      <c r="C23" s="151">
        <v>600000.0</v>
      </c>
      <c r="D23" s="234" t="s">
        <v>1031</v>
      </c>
      <c r="E23" s="22" t="s">
        <v>1032</v>
      </c>
      <c r="F23" s="22" t="s">
        <v>1033</v>
      </c>
      <c r="G23" s="22" t="s">
        <v>1034</v>
      </c>
      <c r="H23" s="235">
        <v>0.5</v>
      </c>
      <c r="I23" s="236" t="s">
        <v>1035</v>
      </c>
    </row>
    <row r="24" ht="19.5" customHeight="1">
      <c r="A24" s="232" t="s">
        <v>789</v>
      </c>
      <c r="B24" s="22" t="s">
        <v>790</v>
      </c>
      <c r="C24" s="151">
        <v>400000.0</v>
      </c>
      <c r="D24" s="234" t="s">
        <v>1040</v>
      </c>
      <c r="E24" s="22" t="s">
        <v>1041</v>
      </c>
      <c r="F24" s="22" t="s">
        <v>1042</v>
      </c>
      <c r="G24" s="22" t="s">
        <v>1043</v>
      </c>
      <c r="H24" s="235">
        <v>0.35</v>
      </c>
      <c r="I24" s="236" t="s">
        <v>1044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6:I6"/>
    <mergeCell ref="A15:I15"/>
    <mergeCell ref="A21:I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2" width="13.88"/>
    <col customWidth="1" min="3" max="3" width="16.38"/>
    <col customWidth="1" min="4" max="4" width="31.38"/>
    <col customWidth="1" min="5" max="5" width="17.63"/>
    <col customWidth="1" min="6" max="7" width="22.63"/>
    <col customWidth="1" min="8" max="9" width="17.63"/>
    <col customWidth="1" min="10" max="11" width="14.5"/>
    <col customWidth="1" min="26" max="26" width="21.38"/>
    <col customWidth="1" min="27" max="29" width="16.38"/>
  </cols>
  <sheetData>
    <row r="1" ht="21.0" customHeight="1">
      <c r="A1" s="162" t="s">
        <v>932</v>
      </c>
      <c r="B1" s="162" t="s">
        <v>433</v>
      </c>
      <c r="C1" s="162" t="s">
        <v>434</v>
      </c>
      <c r="D1" s="162" t="s">
        <v>495</v>
      </c>
      <c r="E1" s="162" t="s">
        <v>935</v>
      </c>
      <c r="F1" s="162" t="s">
        <v>937</v>
      </c>
      <c r="G1" s="162" t="s">
        <v>496</v>
      </c>
      <c r="H1" s="162" t="s">
        <v>938</v>
      </c>
      <c r="I1" s="162" t="s">
        <v>939</v>
      </c>
      <c r="J1" s="162" t="s">
        <v>940</v>
      </c>
      <c r="K1" s="162" t="s">
        <v>445</v>
      </c>
      <c r="Z1" s="22" t="s">
        <v>446</v>
      </c>
      <c r="AA1" s="22" t="s">
        <v>447</v>
      </c>
      <c r="AB1" s="22" t="s">
        <v>448</v>
      </c>
      <c r="AC1" s="22" t="s">
        <v>449</v>
      </c>
    </row>
    <row r="2" ht="16.5" customHeight="1">
      <c r="A2" s="22" t="s">
        <v>942</v>
      </c>
      <c r="B2" s="22" t="s">
        <v>451</v>
      </c>
      <c r="C2" s="22" t="s">
        <v>452</v>
      </c>
      <c r="D2" s="22" t="s">
        <v>530</v>
      </c>
      <c r="E2" s="148">
        <v>46267.0</v>
      </c>
      <c r="F2" s="148">
        <v>46277.0</v>
      </c>
      <c r="G2" s="151">
        <v>450000.0</v>
      </c>
      <c r="H2" s="22" t="s">
        <v>945</v>
      </c>
      <c r="I2" s="148">
        <v>46277.0</v>
      </c>
      <c r="J2" s="189">
        <f>IF(A2="","", IF(AND(H2&lt;&gt;"", H2="paid"), 0, IF(ISBLANK(F2), 0, IF(calc_engine!$B$1&gt;IF(ISNUMBER(F2), F2, DATEVALUE(F2)), calc_engine!$B$1-IF(ISNUMBER(F2), F2, DATEVALUE(F2)), 0))))</f>
        <v>0</v>
      </c>
      <c r="K2" s="148">
        <v>46286.0</v>
      </c>
    </row>
    <row r="3" ht="16.5" customHeight="1">
      <c r="A3" s="22" t="s">
        <v>952</v>
      </c>
      <c r="B3" s="22" t="s">
        <v>568</v>
      </c>
      <c r="C3" s="22" t="s">
        <v>569</v>
      </c>
      <c r="D3" s="22" t="s">
        <v>666</v>
      </c>
      <c r="E3" s="148">
        <v>46269.0</v>
      </c>
      <c r="F3" s="148">
        <v>46281.0</v>
      </c>
      <c r="G3" s="151">
        <v>1200000.0</v>
      </c>
      <c r="H3" s="22" t="s">
        <v>945</v>
      </c>
      <c r="I3" s="148">
        <v>46281.0</v>
      </c>
      <c r="J3" s="189">
        <f>IF(A3="","", IF(AND(H3&lt;&gt;"", H3="paid"), 0, IF(ISBLANK(F3), 0, IF(calc_engine!$B$1&gt;IF(ISNUMBER(F3), F3, DATEVALUE(F3)), calc_engine!$B$1-IF(ISNUMBER(F3), F3, DATEVALUE(F3)), 0))))</f>
        <v>0</v>
      </c>
      <c r="K3" s="148">
        <v>46286.0</v>
      </c>
    </row>
    <row r="4" ht="16.5" customHeight="1">
      <c r="A4" s="22" t="s">
        <v>959</v>
      </c>
      <c r="B4" s="22" t="s">
        <v>658</v>
      </c>
      <c r="C4" s="22" t="s">
        <v>699</v>
      </c>
      <c r="D4" s="22" t="s">
        <v>697</v>
      </c>
      <c r="E4" s="148">
        <v>46275.0</v>
      </c>
      <c r="F4" s="148">
        <v>46285.0</v>
      </c>
      <c r="G4" s="151">
        <v>150000.0</v>
      </c>
      <c r="H4" s="22" t="s">
        <v>960</v>
      </c>
      <c r="J4" s="189">
        <f>IF(A4="","", IF(AND(H4&lt;&gt;"", H4="paid"), 0, IF(ISBLANK(F4), 0, IF(calc_engine!$B$1&gt;IF(ISNUMBER(F4), F4, DATEVALUE(F4)), calc_engine!$B$1-IF(ISNUMBER(F4), F4, DATEVALUE(F4)), 0))))</f>
        <v>9</v>
      </c>
      <c r="K4" s="148">
        <v>46286.0</v>
      </c>
    </row>
    <row r="5" ht="16.5" customHeight="1">
      <c r="A5" s="22" t="s">
        <v>965</v>
      </c>
      <c r="B5" s="22" t="s">
        <v>636</v>
      </c>
      <c r="C5" s="22" t="s">
        <v>655</v>
      </c>
      <c r="D5" s="22" t="s">
        <v>708</v>
      </c>
      <c r="E5" s="148">
        <v>46283.0</v>
      </c>
      <c r="F5" s="148">
        <v>46293.0</v>
      </c>
      <c r="G5" s="151">
        <v>850000.0</v>
      </c>
      <c r="H5" s="22" t="s">
        <v>967</v>
      </c>
      <c r="J5" s="189">
        <f>IF(A5="","", IF(AND(H5&lt;&gt;"", H5="paid"), 0, IF(ISBLANK(F5), 0, IF(calc_engine!$B$1&gt;IF(ISNUMBER(F5), F5, DATEVALUE(F5)), calc_engine!$B$1-IF(ISNUMBER(F5), F5, DATEVALUE(F5)), 0))))</f>
        <v>1</v>
      </c>
      <c r="K5" s="148">
        <v>46286.0</v>
      </c>
    </row>
    <row r="6" ht="16.5" customHeight="1">
      <c r="A6" s="22" t="s">
        <v>970</v>
      </c>
      <c r="B6" s="22" t="s">
        <v>694</v>
      </c>
      <c r="C6" s="22" t="s">
        <v>695</v>
      </c>
      <c r="D6" s="22" t="s">
        <v>711</v>
      </c>
      <c r="E6" s="148">
        <v>46285.0</v>
      </c>
      <c r="F6" s="148">
        <v>46300.0</v>
      </c>
      <c r="G6" s="151">
        <v>3000000.0</v>
      </c>
      <c r="H6" s="22" t="s">
        <v>967</v>
      </c>
      <c r="J6" s="189">
        <f>IF(A6="","", IF(AND(H6&lt;&gt;"", H6="paid"), 0, IF(ISBLANK(F6), 0, IF(calc_engine!$B$1&gt;IF(ISNUMBER(F6), F6, DATEVALUE(F6)), calc_engine!$B$1-IF(ISNUMBER(F6), F6, DATEVALUE(F6)), 0))))</f>
        <v>0</v>
      </c>
      <c r="K6" s="148">
        <v>46286.0</v>
      </c>
    </row>
    <row r="7" ht="16.5" customHeight="1">
      <c r="A7" s="22" t="s">
        <v>974</v>
      </c>
      <c r="B7" s="22" t="s">
        <v>451</v>
      </c>
      <c r="C7" s="22" t="s">
        <v>452</v>
      </c>
      <c r="D7" s="22" t="s">
        <v>530</v>
      </c>
      <c r="E7" s="148">
        <v>46290.0</v>
      </c>
      <c r="F7" s="148">
        <v>46307.0</v>
      </c>
      <c r="G7" s="151">
        <v>75000.0</v>
      </c>
      <c r="H7" s="22" t="s">
        <v>967</v>
      </c>
      <c r="J7" s="189">
        <f>IF(A7="","", IF(AND(H7&lt;&gt;"", H7="paid"), 0, IF(ISBLANK(F7), 0, IF(calc_engine!$B$1&gt;IF(ISNUMBER(F7), F7, DATEVALUE(F7)), calc_engine!$B$1-IF(ISNUMBER(F7), F7, DATEVALUE(F7)), 0))))</f>
        <v>0</v>
      </c>
      <c r="K7" s="148">
        <v>46286.0</v>
      </c>
    </row>
    <row r="8" ht="16.5" customHeight="1">
      <c r="A8" s="22" t="s">
        <v>978</v>
      </c>
      <c r="B8" s="22" t="s">
        <v>568</v>
      </c>
      <c r="C8" s="22" t="s">
        <v>569</v>
      </c>
      <c r="D8" s="22" t="s">
        <v>666</v>
      </c>
      <c r="E8" s="148">
        <v>46290.0</v>
      </c>
      <c r="F8" s="148">
        <v>46311.0</v>
      </c>
      <c r="G8" s="151">
        <v>150000.0</v>
      </c>
      <c r="H8" s="22" t="s">
        <v>967</v>
      </c>
      <c r="J8" s="189">
        <f>IF(A8="","", IF(AND(H8&lt;&gt;"", H8="paid"), 0, IF(ISBLANK(F8), 0, IF(calc_engine!$B$1&gt;IF(ISNUMBER(F8), F8, DATEVALUE(F8)), calc_engine!$B$1-IF(ISNUMBER(F8), F8, DATEVALUE(F8)), 0))))</f>
        <v>0</v>
      </c>
      <c r="K8" s="148">
        <v>46286.0</v>
      </c>
    </row>
    <row r="9" ht="16.5" customHeight="1">
      <c r="A9" s="22" t="s">
        <v>985</v>
      </c>
      <c r="B9" s="22" t="s">
        <v>798</v>
      </c>
      <c r="C9" s="22" t="s">
        <v>807</v>
      </c>
      <c r="D9" s="22" t="s">
        <v>806</v>
      </c>
      <c r="E9" s="148">
        <v>46244.0</v>
      </c>
      <c r="F9" s="148">
        <v>46259.0</v>
      </c>
      <c r="G9" s="151">
        <v>180000.0</v>
      </c>
      <c r="H9" s="22" t="s">
        <v>960</v>
      </c>
      <c r="J9" s="189">
        <f>IF(A9="","", IF(AND(H9&lt;&gt;"", H9="paid"), 0, IF(ISBLANK(F9), 0, IF(calc_engine!$B$1&gt;IF(ISNUMBER(F9), F9, DATEVALUE(F9)), calc_engine!$B$1-IF(ISNUMBER(F9), F9, DATEVALUE(F9)), 0))))</f>
        <v>35</v>
      </c>
      <c r="K9" s="148">
        <v>46286.0</v>
      </c>
    </row>
    <row r="10" ht="15.75" customHeight="1">
      <c r="G10" s="151"/>
      <c r="H10" s="22"/>
      <c r="J10" s="189"/>
    </row>
    <row r="11" ht="15.75" customHeight="1">
      <c r="H11" s="22"/>
    </row>
    <row r="12" ht="15.75" customHeight="1">
      <c r="H12" s="22"/>
    </row>
    <row r="13" ht="15.75" customHeight="1">
      <c r="H13" s="22"/>
    </row>
    <row r="14" ht="15.75" customHeight="1">
      <c r="H14" s="22"/>
    </row>
    <row r="15" ht="15.75" customHeight="1">
      <c r="H15" s="22"/>
    </row>
    <row r="16" ht="15.75" customHeight="1">
      <c r="H16" s="22"/>
    </row>
    <row r="17" ht="15.75" customHeight="1">
      <c r="H17" s="22"/>
    </row>
    <row r="18" ht="15.75" customHeight="1">
      <c r="H18" s="22"/>
    </row>
    <row r="19" ht="15.75" customHeight="1">
      <c r="H19" s="22"/>
    </row>
    <row r="20" ht="15.75" customHeight="1">
      <c r="H20" s="22"/>
    </row>
    <row r="21" ht="15.75" customHeight="1">
      <c r="H21" s="22"/>
    </row>
    <row r="22" ht="15.75" customHeight="1">
      <c r="H22" s="22"/>
    </row>
    <row r="23" ht="15.75" customHeight="1">
      <c r="H23" s="22"/>
    </row>
    <row r="24" ht="15.75" customHeight="1">
      <c r="H24" s="22"/>
    </row>
    <row r="25" ht="15.75" customHeight="1">
      <c r="H25" s="22"/>
    </row>
    <row r="26" ht="15.75" customHeight="1">
      <c r="H26" s="22"/>
    </row>
    <row r="27" ht="15.75" customHeight="1">
      <c r="H27" s="22"/>
    </row>
    <row r="28" ht="15.75" customHeight="1">
      <c r="H28" s="22"/>
    </row>
    <row r="29" ht="15.75" customHeight="1">
      <c r="H29" s="22"/>
    </row>
    <row r="30" ht="15.75" customHeight="1">
      <c r="H30" s="22"/>
    </row>
    <row r="31" ht="15.75" customHeight="1">
      <c r="H31" s="22"/>
    </row>
    <row r="32" ht="15.75" customHeight="1">
      <c r="H32" s="22"/>
    </row>
    <row r="33" ht="15.75" customHeight="1">
      <c r="H33" s="22"/>
    </row>
    <row r="34" ht="15.75" customHeight="1">
      <c r="H34" s="22"/>
    </row>
    <row r="35" ht="15.75" customHeight="1">
      <c r="H35" s="22"/>
    </row>
    <row r="36" ht="15.75" customHeight="1">
      <c r="H36" s="22"/>
    </row>
    <row r="37" ht="15.75" customHeight="1">
      <c r="H37" s="22"/>
    </row>
    <row r="38" ht="15.75" customHeight="1">
      <c r="H38" s="22"/>
    </row>
    <row r="39" ht="15.75" customHeight="1">
      <c r="H39" s="22"/>
    </row>
    <row r="40" ht="15.75" customHeight="1">
      <c r="H40" s="22"/>
    </row>
    <row r="41" ht="15.75" customHeight="1">
      <c r="H41" s="22"/>
    </row>
    <row r="42" ht="15.75" customHeight="1">
      <c r="H42" s="22"/>
    </row>
    <row r="43" ht="15.75" customHeight="1">
      <c r="H43" s="22"/>
    </row>
    <row r="44" ht="15.75" customHeight="1">
      <c r="H44" s="22"/>
    </row>
    <row r="45" ht="15.75" customHeight="1">
      <c r="H45" s="22"/>
    </row>
    <row r="46" ht="15.75" customHeight="1">
      <c r="H46" s="22"/>
    </row>
    <row r="47" ht="15.75" customHeight="1">
      <c r="H47" s="22"/>
    </row>
    <row r="48" ht="15.75" customHeight="1">
      <c r="H48" s="22"/>
    </row>
    <row r="49" ht="15.75" customHeight="1">
      <c r="H49" s="22"/>
    </row>
    <row r="50" ht="15.75" customHeight="1">
      <c r="H50" s="22"/>
    </row>
    <row r="51" ht="15.75" customHeight="1">
      <c r="H51" s="22"/>
    </row>
    <row r="52" ht="15.75" customHeight="1">
      <c r="H52" s="22"/>
    </row>
    <row r="53" ht="15.75" customHeight="1">
      <c r="H53" s="22"/>
    </row>
    <row r="54" ht="15.75" customHeight="1">
      <c r="H54" s="22"/>
    </row>
    <row r="55" ht="15.75" customHeight="1">
      <c r="H55" s="22"/>
    </row>
    <row r="56" ht="15.75" customHeight="1">
      <c r="H56" s="22"/>
    </row>
    <row r="57" ht="15.75" customHeight="1">
      <c r="H57" s="22"/>
    </row>
    <row r="58" ht="15.75" customHeight="1">
      <c r="H58" s="22"/>
    </row>
    <row r="59" ht="15.75" customHeight="1">
      <c r="H59" s="22"/>
    </row>
    <row r="60" ht="15.75" customHeight="1">
      <c r="H60" s="22"/>
    </row>
    <row r="61" ht="15.75" customHeight="1">
      <c r="H61" s="22"/>
    </row>
    <row r="62" ht="15.75" customHeight="1">
      <c r="H62" s="22"/>
    </row>
    <row r="63" ht="15.75" customHeight="1">
      <c r="H63" s="22"/>
    </row>
    <row r="64" ht="15.75" customHeight="1">
      <c r="H64" s="22"/>
    </row>
    <row r="65" ht="15.75" customHeight="1">
      <c r="H65" s="22"/>
    </row>
    <row r="66" ht="15.75" customHeight="1">
      <c r="H66" s="22"/>
    </row>
    <row r="67" ht="15.75" customHeight="1">
      <c r="H67" s="22"/>
    </row>
    <row r="68" ht="15.75" customHeight="1">
      <c r="H68" s="22"/>
    </row>
    <row r="69" ht="15.75" customHeight="1">
      <c r="H69" s="22"/>
    </row>
    <row r="70" ht="15.75" customHeight="1">
      <c r="H70" s="22"/>
    </row>
    <row r="71" ht="15.75" customHeight="1">
      <c r="H71" s="22"/>
    </row>
    <row r="72" ht="15.75" customHeight="1">
      <c r="H72" s="22"/>
    </row>
    <row r="73" ht="15.75" customHeight="1">
      <c r="H73" s="22"/>
    </row>
    <row r="74" ht="15.75" customHeight="1">
      <c r="H74" s="22"/>
    </row>
    <row r="75" ht="15.75" customHeight="1">
      <c r="H75" s="22"/>
    </row>
    <row r="76" ht="15.75" customHeight="1">
      <c r="H76" s="22"/>
    </row>
    <row r="77" ht="15.75" customHeight="1">
      <c r="H77" s="22"/>
    </row>
    <row r="78" ht="15.75" customHeight="1">
      <c r="H78" s="22"/>
    </row>
    <row r="79" ht="15.75" customHeight="1">
      <c r="H79" s="22"/>
    </row>
    <row r="80" ht="15.75" customHeight="1">
      <c r="H80" s="22"/>
    </row>
    <row r="81" ht="15.75" customHeight="1">
      <c r="H81" s="22"/>
    </row>
    <row r="82" ht="15.75" customHeight="1">
      <c r="H82" s="22"/>
    </row>
    <row r="83" ht="15.75" customHeight="1">
      <c r="H83" s="22"/>
    </row>
    <row r="84" ht="15.75" customHeight="1">
      <c r="H84" s="22"/>
    </row>
    <row r="85" ht="15.75" customHeight="1">
      <c r="H85" s="22"/>
    </row>
    <row r="86" ht="15.75" customHeight="1">
      <c r="H86" s="22"/>
    </row>
    <row r="87" ht="15.75" customHeight="1">
      <c r="H87" s="22"/>
    </row>
    <row r="88" ht="15.75" customHeight="1">
      <c r="H88" s="22"/>
    </row>
    <row r="89" ht="15.75" customHeight="1">
      <c r="H89" s="22"/>
    </row>
    <row r="90" ht="15.75" customHeight="1">
      <c r="H90" s="22"/>
    </row>
    <row r="91" ht="15.75" customHeight="1">
      <c r="H91" s="22"/>
    </row>
    <row r="92" ht="15.75" customHeight="1">
      <c r="H92" s="22"/>
    </row>
    <row r="93" ht="15.75" customHeight="1">
      <c r="H93" s="22"/>
    </row>
    <row r="94" ht="15.75" customHeight="1">
      <c r="H94" s="22"/>
    </row>
    <row r="95" ht="15.75" customHeight="1">
      <c r="H95" s="22"/>
    </row>
    <row r="96" ht="15.75" customHeight="1">
      <c r="H96" s="22"/>
    </row>
    <row r="97" ht="15.75" customHeight="1">
      <c r="H97" s="22"/>
    </row>
    <row r="98" ht="15.75" customHeight="1">
      <c r="H98" s="22"/>
    </row>
    <row r="99" ht="15.75" customHeight="1">
      <c r="H99" s="22"/>
    </row>
    <row r="100" ht="15.75" customHeight="1">
      <c r="H100" s="22"/>
    </row>
    <row r="101" ht="15.75" customHeight="1">
      <c r="H101" s="22"/>
    </row>
    <row r="102" ht="15.75" customHeight="1">
      <c r="H102" s="22"/>
    </row>
    <row r="103" ht="15.75" customHeight="1">
      <c r="H103" s="22"/>
    </row>
    <row r="104" ht="15.75" customHeight="1">
      <c r="H104" s="22"/>
    </row>
    <row r="105" ht="15.75" customHeight="1">
      <c r="H105" s="22"/>
    </row>
    <row r="106" ht="15.75" customHeight="1">
      <c r="H106" s="22"/>
    </row>
    <row r="107" ht="15.75" customHeight="1">
      <c r="H107" s="22"/>
    </row>
    <row r="108" ht="15.75" customHeight="1">
      <c r="H108" s="22"/>
    </row>
    <row r="109" ht="15.75" customHeight="1">
      <c r="H109" s="22"/>
    </row>
    <row r="110" ht="15.75" customHeight="1">
      <c r="H110" s="22"/>
    </row>
    <row r="111" ht="15.75" customHeight="1">
      <c r="H111" s="22"/>
    </row>
    <row r="112" ht="15.75" customHeight="1">
      <c r="H112" s="22"/>
    </row>
    <row r="113" ht="15.75" customHeight="1">
      <c r="H113" s="22"/>
    </row>
    <row r="114" ht="15.75" customHeight="1">
      <c r="H114" s="22"/>
    </row>
    <row r="115" ht="15.75" customHeight="1">
      <c r="H115" s="22"/>
    </row>
    <row r="116" ht="15.75" customHeight="1">
      <c r="H116" s="22"/>
    </row>
    <row r="117" ht="15.75" customHeight="1">
      <c r="H117" s="22"/>
    </row>
    <row r="118" ht="15.75" customHeight="1">
      <c r="H118" s="22"/>
    </row>
    <row r="119" ht="15.75" customHeight="1">
      <c r="H119" s="22"/>
    </row>
    <row r="120" ht="15.75" customHeight="1">
      <c r="H120" s="22"/>
    </row>
    <row r="121" ht="15.75" customHeight="1">
      <c r="H121" s="22"/>
    </row>
    <row r="122" ht="15.75" customHeight="1">
      <c r="H122" s="22"/>
    </row>
    <row r="123" ht="15.75" customHeight="1">
      <c r="H123" s="22"/>
    </row>
    <row r="124" ht="15.75" customHeight="1">
      <c r="H124" s="22"/>
    </row>
    <row r="125" ht="15.75" customHeight="1">
      <c r="H125" s="22"/>
    </row>
    <row r="126" ht="15.75" customHeight="1">
      <c r="H126" s="22"/>
    </row>
    <row r="127" ht="15.75" customHeight="1">
      <c r="H127" s="22"/>
    </row>
    <row r="128" ht="15.75" customHeight="1">
      <c r="H128" s="22"/>
    </row>
    <row r="129" ht="15.75" customHeight="1">
      <c r="H129" s="22"/>
    </row>
    <row r="130" ht="15.75" customHeight="1">
      <c r="H130" s="22"/>
    </row>
    <row r="131" ht="15.75" customHeight="1">
      <c r="H131" s="22"/>
    </row>
    <row r="132" ht="15.75" customHeight="1">
      <c r="H132" s="22"/>
    </row>
    <row r="133" ht="15.75" customHeight="1">
      <c r="H133" s="22"/>
    </row>
    <row r="134" ht="15.75" customHeight="1">
      <c r="H134" s="22"/>
    </row>
    <row r="135" ht="15.75" customHeight="1">
      <c r="H135" s="22"/>
    </row>
    <row r="136" ht="15.75" customHeight="1">
      <c r="H136" s="22"/>
    </row>
    <row r="137" ht="15.75" customHeight="1">
      <c r="H137" s="22"/>
    </row>
    <row r="138" ht="15.75" customHeight="1">
      <c r="H138" s="22"/>
    </row>
    <row r="139" ht="15.75" customHeight="1">
      <c r="H139" s="22"/>
    </row>
    <row r="140" ht="15.75" customHeight="1">
      <c r="H140" s="22"/>
    </row>
    <row r="141" ht="15.75" customHeight="1">
      <c r="H141" s="22"/>
    </row>
    <row r="142" ht="15.75" customHeight="1">
      <c r="H142" s="22"/>
    </row>
    <row r="143" ht="15.75" customHeight="1">
      <c r="H143" s="22"/>
    </row>
    <row r="144" ht="15.75" customHeight="1">
      <c r="H144" s="22"/>
    </row>
    <row r="145" ht="15.75" customHeight="1">
      <c r="H145" s="22"/>
    </row>
    <row r="146" ht="15.75" customHeight="1">
      <c r="H146" s="22"/>
    </row>
    <row r="147" ht="15.75" customHeight="1">
      <c r="H147" s="22"/>
    </row>
    <row r="148" ht="15.75" customHeight="1">
      <c r="H148" s="22"/>
    </row>
    <row r="149" ht="15.75" customHeight="1">
      <c r="H149" s="22"/>
    </row>
    <row r="150" ht="15.75" customHeight="1">
      <c r="H150" s="22"/>
    </row>
    <row r="151" ht="15.75" customHeight="1">
      <c r="H151" s="22"/>
    </row>
    <row r="152" ht="15.75" customHeight="1">
      <c r="H152" s="22"/>
    </row>
    <row r="153" ht="15.75" customHeight="1">
      <c r="H153" s="22"/>
    </row>
    <row r="154" ht="15.75" customHeight="1">
      <c r="H154" s="22"/>
    </row>
    <row r="155" ht="15.75" customHeight="1">
      <c r="H155" s="22"/>
    </row>
    <row r="156" ht="15.75" customHeight="1">
      <c r="H156" s="22"/>
    </row>
    <row r="157" ht="15.75" customHeight="1">
      <c r="H157" s="22"/>
    </row>
    <row r="158" ht="15.75" customHeight="1">
      <c r="H158" s="22"/>
    </row>
    <row r="159" ht="15.75" customHeight="1">
      <c r="H159" s="22"/>
    </row>
    <row r="160" ht="15.75" customHeight="1">
      <c r="H160" s="22"/>
    </row>
    <row r="161" ht="15.75" customHeight="1">
      <c r="H161" s="22"/>
    </row>
    <row r="162" ht="15.75" customHeight="1">
      <c r="H162" s="22"/>
    </row>
    <row r="163" ht="15.75" customHeight="1">
      <c r="H163" s="22"/>
    </row>
    <row r="164" ht="15.75" customHeight="1">
      <c r="H164" s="22"/>
    </row>
    <row r="165" ht="15.75" customHeight="1">
      <c r="H165" s="22"/>
    </row>
    <row r="166" ht="15.75" customHeight="1">
      <c r="H166" s="22"/>
    </row>
    <row r="167" ht="15.75" customHeight="1">
      <c r="H167" s="22"/>
    </row>
    <row r="168" ht="15.75" customHeight="1">
      <c r="H168" s="22"/>
    </row>
    <row r="169" ht="15.75" customHeight="1">
      <c r="H169" s="22"/>
    </row>
    <row r="170" ht="15.75" customHeight="1">
      <c r="H170" s="22"/>
    </row>
    <row r="171" ht="15.75" customHeight="1">
      <c r="H171" s="22"/>
    </row>
    <row r="172" ht="15.75" customHeight="1">
      <c r="H172" s="22"/>
    </row>
    <row r="173" ht="15.75" customHeight="1">
      <c r="H173" s="22"/>
    </row>
    <row r="174" ht="15.75" customHeight="1">
      <c r="H174" s="22"/>
    </row>
    <row r="175" ht="15.75" customHeight="1">
      <c r="H175" s="22"/>
    </row>
    <row r="176" ht="15.75" customHeight="1">
      <c r="H176" s="22"/>
    </row>
    <row r="177" ht="15.75" customHeight="1">
      <c r="H177" s="22"/>
    </row>
    <row r="178" ht="15.75" customHeight="1">
      <c r="H178" s="22"/>
    </row>
    <row r="179" ht="15.75" customHeight="1">
      <c r="H179" s="22"/>
    </row>
    <row r="180" ht="15.75" customHeight="1">
      <c r="H180" s="22"/>
    </row>
    <row r="181" ht="15.75" customHeight="1">
      <c r="H181" s="22"/>
    </row>
    <row r="182" ht="15.75" customHeight="1">
      <c r="H182" s="22"/>
    </row>
    <row r="183" ht="15.75" customHeight="1">
      <c r="H183" s="22"/>
    </row>
    <row r="184" ht="15.75" customHeight="1">
      <c r="H184" s="22"/>
    </row>
    <row r="185" ht="15.75" customHeight="1">
      <c r="H185" s="22"/>
    </row>
    <row r="186" ht="15.75" customHeight="1">
      <c r="H186" s="22"/>
    </row>
    <row r="187" ht="15.75" customHeight="1">
      <c r="H187" s="22"/>
    </row>
    <row r="188" ht="15.75" customHeight="1">
      <c r="H188" s="22"/>
    </row>
    <row r="189" ht="15.75" customHeight="1">
      <c r="H189" s="22"/>
    </row>
    <row r="190" ht="15.75" customHeight="1">
      <c r="H190" s="22"/>
    </row>
    <row r="191" ht="15.75" customHeight="1">
      <c r="H191" s="22"/>
    </row>
    <row r="192" ht="15.75" customHeight="1">
      <c r="H192" s="22"/>
    </row>
    <row r="193" ht="15.75" customHeight="1">
      <c r="H193" s="22"/>
    </row>
    <row r="194" ht="15.75" customHeight="1">
      <c r="H194" s="22"/>
    </row>
    <row r="195" ht="15.75" customHeight="1">
      <c r="H195" s="22"/>
    </row>
    <row r="196" ht="15.75" customHeight="1">
      <c r="H196" s="22"/>
    </row>
    <row r="197" ht="15.75" customHeight="1">
      <c r="H197" s="22"/>
    </row>
    <row r="198" ht="15.75" customHeight="1">
      <c r="H198" s="22"/>
    </row>
    <row r="199" ht="15.75" customHeight="1">
      <c r="H199" s="22"/>
    </row>
    <row r="200" ht="15.75" customHeight="1">
      <c r="H200" s="22"/>
    </row>
    <row r="201" ht="15.75" customHeight="1">
      <c r="H201" s="22"/>
    </row>
    <row r="202" ht="15.75" customHeight="1">
      <c r="H202" s="22"/>
    </row>
    <row r="203" ht="15.75" customHeight="1">
      <c r="H203" s="22"/>
    </row>
    <row r="204" ht="15.75" customHeight="1">
      <c r="H204" s="22"/>
    </row>
    <row r="205" ht="15.75" customHeight="1">
      <c r="H205" s="22"/>
    </row>
    <row r="206" ht="15.75" customHeight="1">
      <c r="H206" s="22"/>
    </row>
    <row r="207" ht="15.75" customHeight="1">
      <c r="H207" s="22"/>
    </row>
    <row r="208" ht="15.75" customHeight="1">
      <c r="H208" s="22"/>
    </row>
    <row r="209" ht="15.75" customHeight="1">
      <c r="H209" s="22"/>
    </row>
    <row r="210" ht="15.75" customHeight="1">
      <c r="H210" s="22"/>
    </row>
    <row r="211" ht="15.75" customHeight="1">
      <c r="H211" s="22"/>
    </row>
    <row r="212" ht="15.75" customHeight="1">
      <c r="H212" s="22"/>
    </row>
    <row r="213" ht="15.75" customHeight="1">
      <c r="H213" s="22"/>
    </row>
    <row r="214" ht="15.75" customHeight="1">
      <c r="H214" s="22"/>
    </row>
    <row r="215" ht="15.75" customHeight="1">
      <c r="H215" s="22"/>
    </row>
    <row r="216" ht="15.75" customHeight="1">
      <c r="H216" s="22"/>
    </row>
    <row r="217" ht="15.75" customHeight="1">
      <c r="H217" s="22"/>
    </row>
    <row r="218" ht="15.75" customHeight="1">
      <c r="H218" s="22"/>
    </row>
    <row r="219" ht="15.75" customHeight="1">
      <c r="H219" s="22"/>
    </row>
    <row r="220" ht="15.75" customHeight="1">
      <c r="H220" s="22"/>
    </row>
    <row r="221" ht="15.75" customHeight="1">
      <c r="H221" s="200"/>
    </row>
    <row r="222" ht="15.75" customHeight="1">
      <c r="H222" s="200"/>
    </row>
    <row r="223" ht="15.75" customHeight="1">
      <c r="H223" s="200"/>
    </row>
    <row r="224" ht="15.75" customHeight="1">
      <c r="H224" s="200"/>
    </row>
    <row r="225" ht="15.75" customHeight="1">
      <c r="H225" s="200"/>
    </row>
    <row r="226" ht="15.75" customHeight="1">
      <c r="H226" s="200"/>
    </row>
    <row r="227" ht="15.75" customHeight="1">
      <c r="H227" s="200"/>
    </row>
    <row r="228" ht="15.75" customHeight="1">
      <c r="H228" s="200"/>
    </row>
    <row r="229" ht="15.75" customHeight="1">
      <c r="H229" s="200"/>
    </row>
    <row r="230" ht="15.75" customHeight="1">
      <c r="H230" s="200"/>
    </row>
    <row r="231" ht="15.75" customHeight="1">
      <c r="H231" s="200"/>
    </row>
    <row r="232" ht="15.75" customHeight="1">
      <c r="H232" s="200"/>
    </row>
    <row r="233" ht="15.75" customHeight="1">
      <c r="H233" s="200"/>
    </row>
    <row r="234" ht="15.75" customHeight="1">
      <c r="H234" s="200"/>
    </row>
    <row r="235" ht="15.75" customHeight="1">
      <c r="H235" s="200"/>
    </row>
    <row r="236" ht="15.75" customHeight="1">
      <c r="H236" s="200"/>
    </row>
    <row r="237" ht="15.75" customHeight="1">
      <c r="H237" s="200"/>
    </row>
    <row r="238" ht="15.75" customHeight="1">
      <c r="H238" s="200"/>
    </row>
    <row r="239" ht="15.75" customHeight="1">
      <c r="H239" s="200"/>
    </row>
    <row r="240" ht="15.75" customHeight="1">
      <c r="H240" s="200"/>
    </row>
    <row r="241" ht="15.75" customHeight="1">
      <c r="H241" s="200"/>
    </row>
    <row r="242" ht="15.75" customHeight="1">
      <c r="H242" s="200"/>
    </row>
    <row r="243" ht="15.75" customHeight="1">
      <c r="H243" s="200"/>
    </row>
    <row r="244" ht="15.75" customHeight="1">
      <c r="H244" s="200"/>
    </row>
    <row r="245" ht="15.75" customHeight="1">
      <c r="H245" s="200"/>
    </row>
    <row r="246" ht="15.75" customHeight="1">
      <c r="H246" s="200"/>
    </row>
    <row r="247" ht="15.75" customHeight="1">
      <c r="H247" s="200"/>
    </row>
    <row r="248" ht="15.75" customHeight="1">
      <c r="H248" s="200"/>
    </row>
    <row r="249" ht="15.75" customHeight="1">
      <c r="H249" s="200"/>
    </row>
    <row r="250" ht="15.75" customHeight="1">
      <c r="H250" s="200"/>
    </row>
    <row r="251" ht="15.75" customHeight="1">
      <c r="H251" s="200"/>
    </row>
    <row r="252" ht="15.75" customHeight="1">
      <c r="H252" s="200"/>
    </row>
    <row r="253" ht="15.75" customHeight="1">
      <c r="H253" s="200"/>
    </row>
    <row r="254" ht="15.75" customHeight="1">
      <c r="H254" s="200"/>
    </row>
    <row r="255" ht="15.75" customHeight="1">
      <c r="H255" s="200"/>
    </row>
    <row r="256" ht="15.75" customHeight="1">
      <c r="H256" s="200"/>
    </row>
    <row r="257" ht="15.75" customHeight="1">
      <c r="H257" s="200"/>
    </row>
    <row r="258" ht="15.75" customHeight="1">
      <c r="H258" s="200"/>
    </row>
    <row r="259" ht="15.75" customHeight="1">
      <c r="H259" s="200"/>
    </row>
    <row r="260" ht="15.75" customHeight="1">
      <c r="H260" s="200"/>
    </row>
    <row r="261" ht="15.75" customHeight="1">
      <c r="H261" s="200"/>
    </row>
    <row r="262" ht="15.75" customHeight="1">
      <c r="H262" s="200"/>
    </row>
    <row r="263" ht="15.75" customHeight="1">
      <c r="H263" s="200"/>
    </row>
    <row r="264" ht="15.75" customHeight="1">
      <c r="H264" s="200"/>
    </row>
    <row r="265" ht="15.75" customHeight="1">
      <c r="H265" s="200"/>
    </row>
    <row r="266" ht="15.75" customHeight="1">
      <c r="H266" s="200"/>
    </row>
    <row r="267" ht="15.75" customHeight="1">
      <c r="H267" s="200"/>
    </row>
    <row r="268" ht="15.75" customHeight="1">
      <c r="H268" s="200"/>
    </row>
    <row r="269" ht="15.75" customHeight="1">
      <c r="H269" s="200"/>
    </row>
    <row r="270" ht="15.75" customHeight="1">
      <c r="H270" s="200"/>
    </row>
    <row r="271" ht="15.75" customHeight="1">
      <c r="H271" s="200"/>
    </row>
    <row r="272" ht="15.75" customHeight="1">
      <c r="H272" s="200"/>
    </row>
    <row r="273" ht="15.75" customHeight="1">
      <c r="H273" s="200"/>
    </row>
    <row r="274" ht="15.75" customHeight="1">
      <c r="H274" s="200"/>
    </row>
    <row r="275" ht="15.75" customHeight="1">
      <c r="H275" s="200"/>
    </row>
    <row r="276" ht="15.75" customHeight="1">
      <c r="H276" s="200"/>
    </row>
    <row r="277" ht="15.75" customHeight="1">
      <c r="H277" s="200"/>
    </row>
    <row r="278" ht="15.75" customHeight="1">
      <c r="H278" s="200"/>
    </row>
    <row r="279" ht="15.75" customHeight="1">
      <c r="H279" s="200"/>
    </row>
    <row r="280" ht="15.75" customHeight="1">
      <c r="H280" s="200"/>
    </row>
    <row r="281" ht="15.75" customHeight="1">
      <c r="H281" s="200"/>
    </row>
    <row r="282" ht="15.75" customHeight="1">
      <c r="H282" s="200"/>
    </row>
    <row r="283" ht="15.75" customHeight="1">
      <c r="H283" s="200"/>
    </row>
    <row r="284" ht="15.75" customHeight="1">
      <c r="H284" s="200"/>
    </row>
    <row r="285" ht="15.75" customHeight="1">
      <c r="H285" s="200"/>
    </row>
    <row r="286" ht="15.75" customHeight="1">
      <c r="H286" s="200"/>
    </row>
    <row r="287" ht="15.75" customHeight="1">
      <c r="H287" s="200"/>
    </row>
    <row r="288" ht="15.75" customHeight="1">
      <c r="H288" s="200"/>
    </row>
    <row r="289" ht="15.75" customHeight="1">
      <c r="H289" s="200"/>
    </row>
    <row r="290" ht="15.75" customHeight="1">
      <c r="H290" s="200"/>
    </row>
    <row r="291" ht="15.75" customHeight="1">
      <c r="H291" s="200"/>
    </row>
    <row r="292" ht="15.75" customHeight="1">
      <c r="H292" s="200"/>
    </row>
    <row r="293" ht="15.75" customHeight="1">
      <c r="H293" s="200"/>
    </row>
    <row r="294" ht="15.75" customHeight="1">
      <c r="H294" s="200"/>
    </row>
    <row r="295" ht="15.75" customHeight="1">
      <c r="H295" s="200"/>
    </row>
    <row r="296" ht="15.75" customHeight="1">
      <c r="H296" s="200"/>
    </row>
    <row r="297" ht="15.75" customHeight="1">
      <c r="H297" s="200"/>
    </row>
    <row r="298" ht="15.75" customHeight="1">
      <c r="H298" s="200"/>
    </row>
    <row r="299" ht="15.75" customHeight="1">
      <c r="H299" s="200"/>
    </row>
    <row r="300" ht="15.75" customHeight="1">
      <c r="H300" s="200"/>
    </row>
    <row r="301" ht="15.75" customHeight="1">
      <c r="H301" s="200"/>
    </row>
    <row r="302" ht="15.75" customHeight="1">
      <c r="H302" s="200"/>
    </row>
    <row r="303" ht="15.75" customHeight="1">
      <c r="H303" s="200"/>
    </row>
    <row r="304" ht="15.75" customHeight="1">
      <c r="H304" s="200"/>
    </row>
    <row r="305" ht="15.75" customHeight="1">
      <c r="H305" s="200"/>
    </row>
    <row r="306" ht="15.75" customHeight="1">
      <c r="H306" s="200"/>
    </row>
    <row r="307" ht="15.75" customHeight="1">
      <c r="H307" s="200"/>
    </row>
    <row r="308" ht="15.75" customHeight="1">
      <c r="H308" s="200"/>
    </row>
    <row r="309" ht="15.75" customHeight="1">
      <c r="H309" s="200"/>
    </row>
    <row r="310" ht="15.75" customHeight="1">
      <c r="H310" s="200"/>
    </row>
    <row r="311" ht="15.75" customHeight="1">
      <c r="H311" s="200"/>
    </row>
    <row r="312" ht="15.75" customHeight="1">
      <c r="H312" s="200"/>
    </row>
    <row r="313" ht="15.75" customHeight="1">
      <c r="H313" s="200"/>
    </row>
    <row r="314" ht="15.75" customHeight="1">
      <c r="H314" s="200"/>
    </row>
    <row r="315" ht="15.75" customHeight="1">
      <c r="H315" s="200"/>
    </row>
    <row r="316" ht="15.75" customHeight="1">
      <c r="H316" s="200"/>
    </row>
    <row r="317" ht="15.75" customHeight="1">
      <c r="H317" s="200"/>
    </row>
    <row r="318" ht="15.75" customHeight="1">
      <c r="H318" s="200"/>
    </row>
    <row r="319" ht="15.75" customHeight="1">
      <c r="H319" s="200"/>
    </row>
    <row r="320" ht="15.75" customHeight="1">
      <c r="H320" s="200"/>
    </row>
    <row r="321" ht="15.75" customHeight="1">
      <c r="H321" s="200"/>
    </row>
    <row r="322" ht="15.75" customHeight="1">
      <c r="H322" s="200"/>
    </row>
    <row r="323" ht="15.75" customHeight="1">
      <c r="H323" s="200"/>
    </row>
    <row r="324" ht="15.75" customHeight="1">
      <c r="H324" s="200"/>
    </row>
    <row r="325" ht="15.75" customHeight="1">
      <c r="H325" s="200"/>
    </row>
    <row r="326" ht="15.75" customHeight="1">
      <c r="H326" s="200"/>
    </row>
    <row r="327" ht="15.75" customHeight="1">
      <c r="H327" s="200"/>
    </row>
    <row r="328" ht="15.75" customHeight="1">
      <c r="H328" s="200"/>
    </row>
    <row r="329" ht="15.75" customHeight="1">
      <c r="H329" s="200"/>
    </row>
    <row r="330" ht="15.75" customHeight="1">
      <c r="H330" s="200"/>
    </row>
    <row r="331" ht="15.75" customHeight="1">
      <c r="H331" s="200"/>
    </row>
    <row r="332" ht="15.75" customHeight="1">
      <c r="H332" s="200"/>
    </row>
    <row r="333" ht="15.75" customHeight="1">
      <c r="H333" s="200"/>
    </row>
    <row r="334" ht="15.75" customHeight="1">
      <c r="H334" s="200"/>
    </row>
    <row r="335" ht="15.75" customHeight="1">
      <c r="H335" s="200"/>
    </row>
    <row r="336" ht="15.75" customHeight="1">
      <c r="H336" s="200"/>
    </row>
    <row r="337" ht="15.75" customHeight="1">
      <c r="H337" s="200"/>
    </row>
    <row r="338" ht="15.75" customHeight="1">
      <c r="H338" s="200"/>
    </row>
    <row r="339" ht="15.75" customHeight="1">
      <c r="H339" s="200"/>
    </row>
    <row r="340" ht="15.75" customHeight="1">
      <c r="H340" s="200"/>
    </row>
    <row r="341" ht="15.75" customHeight="1">
      <c r="H341" s="200"/>
    </row>
    <row r="342" ht="15.75" customHeight="1">
      <c r="H342" s="200"/>
    </row>
    <row r="343" ht="15.75" customHeight="1">
      <c r="H343" s="200"/>
    </row>
    <row r="344" ht="15.75" customHeight="1">
      <c r="H344" s="200"/>
    </row>
    <row r="345" ht="15.75" customHeight="1">
      <c r="H345" s="200"/>
    </row>
    <row r="346" ht="15.75" customHeight="1">
      <c r="H346" s="200"/>
    </row>
    <row r="347" ht="15.75" customHeight="1">
      <c r="H347" s="200"/>
    </row>
    <row r="348" ht="15.75" customHeight="1">
      <c r="H348" s="200"/>
    </row>
    <row r="349" ht="15.75" customHeight="1">
      <c r="H349" s="200"/>
    </row>
    <row r="350" ht="15.75" customHeight="1">
      <c r="H350" s="200"/>
    </row>
    <row r="351" ht="15.75" customHeight="1">
      <c r="H351" s="200"/>
    </row>
    <row r="352" ht="15.75" customHeight="1">
      <c r="H352" s="200"/>
    </row>
    <row r="353" ht="15.75" customHeight="1">
      <c r="H353" s="200"/>
    </row>
    <row r="354" ht="15.75" customHeight="1">
      <c r="H354" s="200"/>
    </row>
    <row r="355" ht="15.75" customHeight="1">
      <c r="H355" s="200"/>
    </row>
    <row r="356" ht="15.75" customHeight="1">
      <c r="H356" s="200"/>
    </row>
    <row r="357" ht="15.75" customHeight="1">
      <c r="H357" s="200"/>
    </row>
    <row r="358" ht="15.75" customHeight="1">
      <c r="H358" s="200"/>
    </row>
    <row r="359" ht="15.75" customHeight="1">
      <c r="H359" s="200"/>
    </row>
    <row r="360" ht="15.75" customHeight="1">
      <c r="H360" s="200"/>
    </row>
    <row r="361" ht="15.75" customHeight="1">
      <c r="H361" s="200"/>
    </row>
    <row r="362" ht="15.75" customHeight="1">
      <c r="H362" s="200"/>
    </row>
    <row r="363" ht="15.75" customHeight="1">
      <c r="H363" s="200"/>
    </row>
    <row r="364" ht="15.75" customHeight="1">
      <c r="H364" s="200"/>
    </row>
    <row r="365" ht="15.75" customHeight="1">
      <c r="H365" s="200"/>
    </row>
    <row r="366" ht="15.75" customHeight="1">
      <c r="H366" s="200"/>
    </row>
    <row r="367" ht="15.75" customHeight="1">
      <c r="H367" s="200"/>
    </row>
    <row r="368" ht="15.75" customHeight="1">
      <c r="H368" s="200"/>
    </row>
    <row r="369" ht="15.75" customHeight="1">
      <c r="H369" s="200"/>
    </row>
    <row r="370" ht="15.75" customHeight="1">
      <c r="H370" s="200"/>
    </row>
    <row r="371" ht="15.75" customHeight="1">
      <c r="H371" s="200"/>
    </row>
    <row r="372" ht="15.75" customHeight="1">
      <c r="H372" s="200"/>
    </row>
    <row r="373" ht="15.75" customHeight="1">
      <c r="H373" s="200"/>
    </row>
    <row r="374" ht="15.75" customHeight="1">
      <c r="H374" s="200"/>
    </row>
    <row r="375" ht="15.75" customHeight="1">
      <c r="H375" s="200"/>
    </row>
    <row r="376" ht="15.75" customHeight="1">
      <c r="H376" s="200"/>
    </row>
    <row r="377" ht="15.75" customHeight="1">
      <c r="H377" s="200"/>
    </row>
    <row r="378" ht="15.75" customHeight="1">
      <c r="H378" s="200"/>
    </row>
    <row r="379" ht="15.75" customHeight="1">
      <c r="H379" s="200"/>
    </row>
    <row r="380" ht="15.75" customHeight="1">
      <c r="H380" s="200"/>
    </row>
    <row r="381" ht="15.75" customHeight="1">
      <c r="H381" s="200"/>
    </row>
    <row r="382" ht="15.75" customHeight="1">
      <c r="H382" s="200"/>
    </row>
    <row r="383" ht="15.75" customHeight="1">
      <c r="H383" s="200"/>
    </row>
    <row r="384" ht="15.75" customHeight="1">
      <c r="H384" s="200"/>
    </row>
    <row r="385" ht="15.75" customHeight="1">
      <c r="H385" s="200"/>
    </row>
    <row r="386" ht="15.75" customHeight="1">
      <c r="H386" s="200"/>
    </row>
    <row r="387" ht="15.75" customHeight="1">
      <c r="H387" s="200"/>
    </row>
    <row r="388" ht="15.75" customHeight="1">
      <c r="H388" s="200"/>
    </row>
    <row r="389" ht="15.75" customHeight="1">
      <c r="H389" s="200"/>
    </row>
    <row r="390" ht="15.75" customHeight="1">
      <c r="H390" s="200"/>
    </row>
    <row r="391" ht="15.75" customHeight="1">
      <c r="H391" s="200"/>
    </row>
    <row r="392" ht="15.75" customHeight="1">
      <c r="H392" s="200"/>
    </row>
    <row r="393" ht="15.75" customHeight="1">
      <c r="H393" s="200"/>
    </row>
    <row r="394" ht="15.75" customHeight="1">
      <c r="H394" s="200"/>
    </row>
    <row r="395" ht="15.75" customHeight="1">
      <c r="H395" s="200"/>
    </row>
    <row r="396" ht="15.75" customHeight="1">
      <c r="H396" s="200"/>
    </row>
    <row r="397" ht="15.75" customHeight="1">
      <c r="H397" s="200"/>
    </row>
    <row r="398" ht="15.75" customHeight="1">
      <c r="H398" s="200"/>
    </row>
    <row r="399" ht="15.75" customHeight="1">
      <c r="H399" s="200"/>
    </row>
    <row r="400" ht="15.75" customHeight="1">
      <c r="H400" s="200"/>
    </row>
    <row r="401" ht="15.75" customHeight="1">
      <c r="H401" s="200"/>
    </row>
    <row r="402" ht="15.75" customHeight="1">
      <c r="H402" s="200"/>
    </row>
    <row r="403" ht="15.75" customHeight="1">
      <c r="H403" s="200"/>
    </row>
    <row r="404" ht="15.75" customHeight="1">
      <c r="H404" s="200"/>
    </row>
    <row r="405" ht="15.75" customHeight="1">
      <c r="H405" s="200"/>
    </row>
    <row r="406" ht="15.75" customHeight="1">
      <c r="H406" s="200"/>
    </row>
    <row r="407" ht="15.75" customHeight="1">
      <c r="H407" s="200"/>
    </row>
    <row r="408" ht="15.75" customHeight="1">
      <c r="H408" s="200"/>
    </row>
    <row r="409" ht="15.75" customHeight="1">
      <c r="H409" s="200"/>
    </row>
    <row r="410" ht="15.75" customHeight="1">
      <c r="H410" s="200"/>
    </row>
    <row r="411" ht="15.75" customHeight="1">
      <c r="H411" s="200"/>
    </row>
    <row r="412" ht="15.75" customHeight="1">
      <c r="H412" s="200"/>
    </row>
    <row r="413" ht="15.75" customHeight="1">
      <c r="H413" s="200"/>
    </row>
    <row r="414" ht="15.75" customHeight="1">
      <c r="H414" s="200"/>
    </row>
    <row r="415" ht="15.75" customHeight="1">
      <c r="H415" s="200"/>
    </row>
    <row r="416" ht="15.75" customHeight="1">
      <c r="H416" s="200"/>
    </row>
    <row r="417" ht="15.75" customHeight="1">
      <c r="H417" s="200"/>
    </row>
    <row r="418" ht="15.75" customHeight="1">
      <c r="H418" s="200"/>
    </row>
    <row r="419" ht="15.75" customHeight="1">
      <c r="H419" s="200"/>
    </row>
    <row r="420" ht="15.75" customHeight="1">
      <c r="H420" s="200"/>
    </row>
    <row r="421" ht="15.75" customHeight="1">
      <c r="H421" s="200"/>
    </row>
    <row r="422" ht="15.75" customHeight="1">
      <c r="H422" s="200"/>
    </row>
    <row r="423" ht="15.75" customHeight="1">
      <c r="H423" s="200"/>
    </row>
    <row r="424" ht="15.75" customHeight="1">
      <c r="H424" s="200"/>
    </row>
    <row r="425" ht="15.75" customHeight="1">
      <c r="H425" s="200"/>
    </row>
    <row r="426" ht="15.75" customHeight="1">
      <c r="H426" s="200"/>
    </row>
    <row r="427" ht="15.75" customHeight="1">
      <c r="H427" s="200"/>
    </row>
    <row r="428" ht="15.75" customHeight="1">
      <c r="H428" s="200"/>
    </row>
    <row r="429" ht="15.75" customHeight="1">
      <c r="H429" s="200"/>
    </row>
    <row r="430" ht="15.75" customHeight="1">
      <c r="H430" s="200"/>
    </row>
    <row r="431" ht="15.75" customHeight="1">
      <c r="H431" s="200"/>
    </row>
    <row r="432" ht="15.75" customHeight="1">
      <c r="H432" s="200"/>
    </row>
    <row r="433" ht="15.75" customHeight="1">
      <c r="H433" s="200"/>
    </row>
    <row r="434" ht="15.75" customHeight="1">
      <c r="H434" s="200"/>
    </row>
    <row r="435" ht="15.75" customHeight="1">
      <c r="H435" s="200"/>
    </row>
    <row r="436" ht="15.75" customHeight="1">
      <c r="H436" s="200"/>
    </row>
    <row r="437" ht="15.75" customHeight="1">
      <c r="H437" s="200"/>
    </row>
    <row r="438" ht="15.75" customHeight="1">
      <c r="H438" s="200"/>
    </row>
    <row r="439" ht="15.75" customHeight="1">
      <c r="H439" s="200"/>
    </row>
    <row r="440" ht="15.75" customHeight="1">
      <c r="H440" s="200"/>
    </row>
    <row r="441" ht="15.75" customHeight="1">
      <c r="H441" s="200"/>
    </row>
    <row r="442" ht="15.75" customHeight="1">
      <c r="H442" s="200"/>
    </row>
    <row r="443" ht="15.75" customHeight="1">
      <c r="H443" s="200"/>
    </row>
    <row r="444" ht="15.75" customHeight="1">
      <c r="H444" s="200"/>
    </row>
    <row r="445" ht="15.75" customHeight="1">
      <c r="H445" s="200"/>
    </row>
    <row r="446" ht="15.75" customHeight="1">
      <c r="H446" s="200"/>
    </row>
    <row r="447" ht="15.75" customHeight="1">
      <c r="H447" s="200"/>
    </row>
    <row r="448" ht="15.75" customHeight="1">
      <c r="H448" s="200"/>
    </row>
    <row r="449" ht="15.75" customHeight="1">
      <c r="H449" s="200"/>
    </row>
    <row r="450" ht="15.75" customHeight="1">
      <c r="H450" s="200"/>
    </row>
    <row r="451" ht="15.75" customHeight="1">
      <c r="H451" s="200"/>
    </row>
    <row r="452" ht="15.75" customHeight="1">
      <c r="H452" s="200"/>
    </row>
    <row r="453" ht="15.75" customHeight="1">
      <c r="H453" s="200"/>
    </row>
    <row r="454" ht="15.75" customHeight="1">
      <c r="H454" s="200"/>
    </row>
    <row r="455" ht="15.75" customHeight="1">
      <c r="H455" s="200"/>
    </row>
    <row r="456" ht="15.75" customHeight="1">
      <c r="H456" s="200"/>
    </row>
    <row r="457" ht="15.75" customHeight="1">
      <c r="H457" s="200"/>
    </row>
    <row r="458" ht="15.75" customHeight="1">
      <c r="H458" s="200"/>
    </row>
    <row r="459" ht="15.75" customHeight="1">
      <c r="H459" s="200"/>
    </row>
    <row r="460" ht="15.75" customHeight="1">
      <c r="H460" s="200"/>
    </row>
    <row r="461" ht="15.75" customHeight="1">
      <c r="H461" s="200"/>
    </row>
    <row r="462" ht="15.75" customHeight="1">
      <c r="H462" s="200"/>
    </row>
    <row r="463" ht="15.75" customHeight="1">
      <c r="H463" s="200"/>
    </row>
    <row r="464" ht="15.75" customHeight="1">
      <c r="H464" s="200"/>
    </row>
    <row r="465" ht="15.75" customHeight="1">
      <c r="H465" s="200"/>
    </row>
    <row r="466" ht="15.75" customHeight="1">
      <c r="H466" s="200"/>
    </row>
    <row r="467" ht="15.75" customHeight="1">
      <c r="H467" s="200"/>
    </row>
    <row r="468" ht="15.75" customHeight="1">
      <c r="H468" s="200"/>
    </row>
    <row r="469" ht="15.75" customHeight="1">
      <c r="H469" s="200"/>
    </row>
    <row r="470" ht="15.75" customHeight="1">
      <c r="H470" s="200"/>
    </row>
    <row r="471" ht="15.75" customHeight="1">
      <c r="H471" s="200"/>
    </row>
    <row r="472" ht="15.75" customHeight="1">
      <c r="H472" s="200"/>
    </row>
    <row r="473" ht="15.75" customHeight="1">
      <c r="H473" s="200"/>
    </row>
    <row r="474" ht="15.75" customHeight="1">
      <c r="H474" s="200"/>
    </row>
    <row r="475" ht="15.75" customHeight="1">
      <c r="H475" s="200"/>
    </row>
    <row r="476" ht="15.75" customHeight="1">
      <c r="H476" s="200"/>
    </row>
    <row r="477" ht="15.75" customHeight="1">
      <c r="H477" s="200"/>
    </row>
    <row r="478" ht="15.75" customHeight="1">
      <c r="H478" s="200"/>
    </row>
    <row r="479" ht="15.75" customHeight="1">
      <c r="H479" s="200"/>
    </row>
    <row r="480" ht="15.75" customHeight="1">
      <c r="H480" s="200"/>
    </row>
    <row r="481" ht="15.75" customHeight="1">
      <c r="H481" s="200"/>
    </row>
    <row r="482" ht="15.75" customHeight="1">
      <c r="H482" s="200"/>
    </row>
    <row r="483" ht="15.75" customHeight="1">
      <c r="H483" s="200"/>
    </row>
    <row r="484" ht="15.75" customHeight="1">
      <c r="H484" s="200"/>
    </row>
    <row r="485" ht="15.75" customHeight="1">
      <c r="H485" s="200"/>
    </row>
    <row r="486" ht="15.75" customHeight="1">
      <c r="H486" s="200"/>
    </row>
    <row r="487" ht="15.75" customHeight="1">
      <c r="H487" s="200"/>
    </row>
    <row r="488" ht="15.75" customHeight="1">
      <c r="H488" s="200"/>
    </row>
    <row r="489" ht="15.75" customHeight="1">
      <c r="H489" s="200"/>
    </row>
    <row r="490" ht="15.75" customHeight="1">
      <c r="H490" s="200"/>
    </row>
    <row r="491" ht="15.75" customHeight="1">
      <c r="H491" s="200"/>
    </row>
    <row r="492" ht="15.75" customHeight="1">
      <c r="H492" s="200"/>
    </row>
    <row r="493" ht="15.75" customHeight="1">
      <c r="H493" s="200"/>
    </row>
    <row r="494" ht="15.75" customHeight="1">
      <c r="H494" s="200"/>
    </row>
    <row r="495" ht="15.75" customHeight="1">
      <c r="H495" s="200"/>
    </row>
    <row r="496" ht="15.75" customHeight="1">
      <c r="H496" s="200"/>
    </row>
    <row r="497" ht="15.75" customHeight="1">
      <c r="H497" s="200"/>
    </row>
    <row r="498" ht="15.75" customHeight="1">
      <c r="H498" s="200"/>
    </row>
    <row r="499" ht="15.75" customHeight="1">
      <c r="H499" s="200"/>
    </row>
    <row r="500" ht="15.75" customHeight="1">
      <c r="H500" s="200"/>
    </row>
    <row r="501" ht="15.75" customHeight="1">
      <c r="H501" s="200"/>
    </row>
    <row r="502" ht="15.75" customHeight="1">
      <c r="H502" s="200"/>
    </row>
    <row r="503" ht="15.75" customHeight="1">
      <c r="H503" s="200"/>
    </row>
    <row r="504" ht="15.75" customHeight="1">
      <c r="H504" s="200"/>
    </row>
    <row r="505" ht="15.75" customHeight="1">
      <c r="H505" s="200"/>
    </row>
    <row r="506" ht="15.75" customHeight="1">
      <c r="H506" s="200"/>
    </row>
    <row r="507" ht="15.75" customHeight="1">
      <c r="H507" s="200"/>
    </row>
    <row r="508" ht="15.75" customHeight="1">
      <c r="H508" s="200"/>
    </row>
    <row r="509" ht="15.75" customHeight="1">
      <c r="H509" s="200"/>
    </row>
    <row r="510" ht="15.75" customHeight="1">
      <c r="H510" s="200"/>
    </row>
    <row r="511" ht="15.75" customHeight="1">
      <c r="H511" s="200"/>
    </row>
    <row r="512" ht="15.75" customHeight="1">
      <c r="H512" s="200"/>
    </row>
    <row r="513" ht="15.75" customHeight="1">
      <c r="H513" s="200"/>
    </row>
    <row r="514" ht="15.75" customHeight="1">
      <c r="H514" s="200"/>
    </row>
    <row r="515" ht="15.75" customHeight="1">
      <c r="H515" s="200"/>
    </row>
    <row r="516" ht="15.75" customHeight="1">
      <c r="H516" s="200"/>
    </row>
    <row r="517" ht="15.75" customHeight="1">
      <c r="H517" s="200"/>
    </row>
    <row r="518" ht="15.75" customHeight="1">
      <c r="H518" s="200"/>
    </row>
    <row r="519" ht="15.75" customHeight="1">
      <c r="H519" s="200"/>
    </row>
    <row r="520" ht="15.75" customHeight="1">
      <c r="H520" s="200"/>
    </row>
    <row r="521" ht="15.75" customHeight="1">
      <c r="H521" s="200"/>
    </row>
    <row r="522" ht="15.75" customHeight="1">
      <c r="H522" s="200"/>
    </row>
    <row r="523" ht="15.75" customHeight="1">
      <c r="H523" s="200"/>
    </row>
    <row r="524" ht="15.75" customHeight="1">
      <c r="H524" s="200"/>
    </row>
    <row r="525" ht="15.75" customHeight="1">
      <c r="H525" s="200"/>
    </row>
    <row r="526" ht="15.75" customHeight="1">
      <c r="H526" s="200"/>
    </row>
    <row r="527" ht="15.75" customHeight="1">
      <c r="H527" s="200"/>
    </row>
    <row r="528" ht="15.75" customHeight="1">
      <c r="H528" s="200"/>
    </row>
    <row r="529" ht="15.75" customHeight="1">
      <c r="H529" s="200"/>
    </row>
    <row r="530" ht="15.75" customHeight="1">
      <c r="H530" s="200"/>
    </row>
    <row r="531" ht="15.75" customHeight="1">
      <c r="H531" s="200"/>
    </row>
    <row r="532" ht="15.75" customHeight="1">
      <c r="H532" s="200"/>
    </row>
    <row r="533" ht="15.75" customHeight="1">
      <c r="H533" s="200"/>
    </row>
    <row r="534" ht="15.75" customHeight="1">
      <c r="H534" s="200"/>
    </row>
    <row r="535" ht="15.75" customHeight="1">
      <c r="H535" s="200"/>
    </row>
    <row r="536" ht="15.75" customHeight="1">
      <c r="H536" s="200"/>
    </row>
    <row r="537" ht="15.75" customHeight="1">
      <c r="H537" s="200"/>
    </row>
    <row r="538" ht="15.75" customHeight="1">
      <c r="H538" s="200"/>
    </row>
    <row r="539" ht="15.75" customHeight="1">
      <c r="H539" s="200"/>
    </row>
    <row r="540" ht="15.75" customHeight="1">
      <c r="H540" s="200"/>
    </row>
    <row r="541" ht="15.75" customHeight="1">
      <c r="H541" s="200"/>
    </row>
    <row r="542" ht="15.75" customHeight="1">
      <c r="H542" s="200"/>
    </row>
    <row r="543" ht="15.75" customHeight="1">
      <c r="H543" s="200"/>
    </row>
    <row r="544" ht="15.75" customHeight="1">
      <c r="H544" s="200"/>
    </row>
    <row r="545" ht="15.75" customHeight="1">
      <c r="H545" s="200"/>
    </row>
    <row r="546" ht="15.75" customHeight="1">
      <c r="H546" s="200"/>
    </row>
    <row r="547" ht="15.75" customHeight="1">
      <c r="H547" s="200"/>
    </row>
    <row r="548" ht="15.75" customHeight="1">
      <c r="H548" s="200"/>
    </row>
    <row r="549" ht="15.75" customHeight="1">
      <c r="H549" s="200"/>
    </row>
    <row r="550" ht="15.75" customHeight="1">
      <c r="H550" s="200"/>
    </row>
    <row r="551" ht="15.75" customHeight="1">
      <c r="H551" s="200"/>
    </row>
    <row r="552" ht="15.75" customHeight="1">
      <c r="H552" s="200"/>
    </row>
    <row r="553" ht="15.75" customHeight="1">
      <c r="H553" s="200"/>
    </row>
    <row r="554" ht="15.75" customHeight="1">
      <c r="H554" s="200"/>
    </row>
    <row r="555" ht="15.75" customHeight="1">
      <c r="H555" s="200"/>
    </row>
    <row r="556" ht="15.75" customHeight="1">
      <c r="H556" s="200"/>
    </row>
    <row r="557" ht="15.75" customHeight="1">
      <c r="H557" s="200"/>
    </row>
    <row r="558" ht="15.75" customHeight="1">
      <c r="H558" s="200"/>
    </row>
    <row r="559" ht="15.75" customHeight="1">
      <c r="H559" s="200"/>
    </row>
    <row r="560" ht="15.75" customHeight="1">
      <c r="H560" s="200"/>
    </row>
    <row r="561" ht="15.75" customHeight="1">
      <c r="H561" s="200"/>
    </row>
    <row r="562" ht="15.75" customHeight="1">
      <c r="H562" s="200"/>
    </row>
    <row r="563" ht="15.75" customHeight="1">
      <c r="H563" s="200"/>
    </row>
    <row r="564" ht="15.75" customHeight="1">
      <c r="H564" s="200"/>
    </row>
    <row r="565" ht="15.75" customHeight="1">
      <c r="H565" s="200"/>
    </row>
    <row r="566" ht="15.75" customHeight="1">
      <c r="H566" s="200"/>
    </row>
    <row r="567" ht="15.75" customHeight="1">
      <c r="H567" s="200"/>
    </row>
    <row r="568" ht="15.75" customHeight="1">
      <c r="H568" s="200"/>
    </row>
    <row r="569" ht="15.75" customHeight="1">
      <c r="H569" s="200"/>
    </row>
    <row r="570" ht="15.75" customHeight="1">
      <c r="H570" s="200"/>
    </row>
    <row r="571" ht="15.75" customHeight="1">
      <c r="H571" s="200"/>
    </row>
    <row r="572" ht="15.75" customHeight="1">
      <c r="H572" s="200"/>
    </row>
    <row r="573" ht="15.75" customHeight="1">
      <c r="H573" s="200"/>
    </row>
    <row r="574" ht="15.75" customHeight="1">
      <c r="H574" s="200"/>
    </row>
    <row r="575" ht="15.75" customHeight="1">
      <c r="H575" s="200"/>
    </row>
    <row r="576" ht="15.75" customHeight="1">
      <c r="H576" s="200"/>
    </row>
    <row r="577" ht="15.75" customHeight="1">
      <c r="H577" s="200"/>
    </row>
    <row r="578" ht="15.75" customHeight="1">
      <c r="H578" s="200"/>
    </row>
    <row r="579" ht="15.75" customHeight="1">
      <c r="H579" s="200"/>
    </row>
    <row r="580" ht="15.75" customHeight="1">
      <c r="H580" s="200"/>
    </row>
    <row r="581" ht="15.75" customHeight="1">
      <c r="H581" s="200"/>
    </row>
    <row r="582" ht="15.75" customHeight="1">
      <c r="H582" s="200"/>
    </row>
    <row r="583" ht="15.75" customHeight="1">
      <c r="H583" s="200"/>
    </row>
    <row r="584" ht="15.75" customHeight="1">
      <c r="H584" s="200"/>
    </row>
    <row r="585" ht="15.75" customHeight="1">
      <c r="H585" s="200"/>
    </row>
    <row r="586" ht="15.75" customHeight="1">
      <c r="H586" s="200"/>
    </row>
    <row r="587" ht="15.75" customHeight="1">
      <c r="H587" s="200"/>
    </row>
    <row r="588" ht="15.75" customHeight="1">
      <c r="H588" s="200"/>
    </row>
    <row r="589" ht="15.75" customHeight="1">
      <c r="H589" s="200"/>
    </row>
    <row r="590" ht="15.75" customHeight="1">
      <c r="H590" s="200"/>
    </row>
    <row r="591" ht="15.75" customHeight="1">
      <c r="H591" s="200"/>
    </row>
    <row r="592" ht="15.75" customHeight="1">
      <c r="H592" s="200"/>
    </row>
    <row r="593" ht="15.75" customHeight="1">
      <c r="H593" s="200"/>
    </row>
    <row r="594" ht="15.75" customHeight="1">
      <c r="H594" s="200"/>
    </row>
    <row r="595" ht="15.75" customHeight="1">
      <c r="H595" s="200"/>
    </row>
    <row r="596" ht="15.75" customHeight="1">
      <c r="H596" s="200"/>
    </row>
    <row r="597" ht="15.75" customHeight="1">
      <c r="H597" s="200"/>
    </row>
    <row r="598" ht="15.75" customHeight="1">
      <c r="H598" s="200"/>
    </row>
    <row r="599" ht="15.75" customHeight="1">
      <c r="H599" s="200"/>
    </row>
    <row r="600" ht="15.75" customHeight="1">
      <c r="H600" s="200"/>
    </row>
    <row r="601" ht="15.75" customHeight="1">
      <c r="H601" s="200"/>
    </row>
    <row r="602" ht="15.75" customHeight="1">
      <c r="H602" s="200"/>
    </row>
    <row r="603" ht="15.75" customHeight="1">
      <c r="H603" s="200"/>
    </row>
    <row r="604" ht="15.75" customHeight="1">
      <c r="H604" s="200"/>
    </row>
    <row r="605" ht="15.75" customHeight="1">
      <c r="H605" s="200"/>
    </row>
    <row r="606" ht="15.75" customHeight="1">
      <c r="H606" s="200"/>
    </row>
    <row r="607" ht="15.75" customHeight="1">
      <c r="H607" s="200"/>
    </row>
    <row r="608" ht="15.75" customHeight="1">
      <c r="H608" s="200"/>
    </row>
    <row r="609" ht="15.75" customHeight="1">
      <c r="H609" s="200"/>
    </row>
    <row r="610" ht="15.75" customHeight="1">
      <c r="H610" s="200"/>
    </row>
    <row r="611" ht="15.75" customHeight="1">
      <c r="H611" s="200"/>
    </row>
    <row r="612" ht="15.75" customHeight="1">
      <c r="H612" s="200"/>
    </row>
    <row r="613" ht="15.75" customHeight="1">
      <c r="H613" s="200"/>
    </row>
    <row r="614" ht="15.75" customHeight="1">
      <c r="H614" s="200"/>
    </row>
    <row r="615" ht="15.75" customHeight="1">
      <c r="H615" s="200"/>
    </row>
    <row r="616" ht="15.75" customHeight="1">
      <c r="H616" s="200"/>
    </row>
    <row r="617" ht="15.75" customHeight="1">
      <c r="H617" s="200"/>
    </row>
    <row r="618" ht="15.75" customHeight="1">
      <c r="H618" s="200"/>
    </row>
    <row r="619" ht="15.75" customHeight="1">
      <c r="H619" s="200"/>
    </row>
    <row r="620" ht="15.75" customHeight="1">
      <c r="H620" s="200"/>
    </row>
    <row r="621" ht="15.75" customHeight="1">
      <c r="H621" s="200"/>
    </row>
    <row r="622" ht="15.75" customHeight="1">
      <c r="H622" s="200"/>
    </row>
    <row r="623" ht="15.75" customHeight="1">
      <c r="H623" s="200"/>
    </row>
    <row r="624" ht="15.75" customHeight="1">
      <c r="H624" s="200"/>
    </row>
    <row r="625" ht="15.75" customHeight="1">
      <c r="H625" s="200"/>
    </row>
    <row r="626" ht="15.75" customHeight="1">
      <c r="H626" s="200"/>
    </row>
    <row r="627" ht="15.75" customHeight="1">
      <c r="H627" s="200"/>
    </row>
    <row r="628" ht="15.75" customHeight="1">
      <c r="H628" s="200"/>
    </row>
    <row r="629" ht="15.75" customHeight="1">
      <c r="H629" s="200"/>
    </row>
    <row r="630" ht="15.75" customHeight="1">
      <c r="H630" s="200"/>
    </row>
    <row r="631" ht="15.75" customHeight="1">
      <c r="H631" s="200"/>
    </row>
    <row r="632" ht="15.75" customHeight="1">
      <c r="H632" s="200"/>
    </row>
    <row r="633" ht="15.75" customHeight="1">
      <c r="H633" s="200"/>
    </row>
    <row r="634" ht="15.75" customHeight="1">
      <c r="H634" s="200"/>
    </row>
    <row r="635" ht="15.75" customHeight="1">
      <c r="H635" s="200"/>
    </row>
    <row r="636" ht="15.75" customHeight="1">
      <c r="H636" s="200"/>
    </row>
    <row r="637" ht="15.75" customHeight="1">
      <c r="H637" s="200"/>
    </row>
    <row r="638" ht="15.75" customHeight="1">
      <c r="H638" s="200"/>
    </row>
    <row r="639" ht="15.75" customHeight="1">
      <c r="H639" s="200"/>
    </row>
    <row r="640" ht="15.75" customHeight="1">
      <c r="H640" s="200"/>
    </row>
    <row r="641" ht="15.75" customHeight="1">
      <c r="H641" s="200"/>
    </row>
    <row r="642" ht="15.75" customHeight="1">
      <c r="H642" s="200"/>
    </row>
    <row r="643" ht="15.75" customHeight="1">
      <c r="H643" s="200"/>
    </row>
    <row r="644" ht="15.75" customHeight="1">
      <c r="H644" s="200"/>
    </row>
    <row r="645" ht="15.75" customHeight="1">
      <c r="H645" s="200"/>
    </row>
    <row r="646" ht="15.75" customHeight="1">
      <c r="H646" s="200"/>
    </row>
    <row r="647" ht="15.75" customHeight="1">
      <c r="H647" s="200"/>
    </row>
    <row r="648" ht="15.75" customHeight="1">
      <c r="H648" s="200"/>
    </row>
    <row r="649" ht="15.75" customHeight="1">
      <c r="H649" s="200"/>
    </row>
    <row r="650" ht="15.75" customHeight="1">
      <c r="H650" s="200"/>
    </row>
    <row r="651" ht="15.75" customHeight="1">
      <c r="H651" s="200"/>
    </row>
    <row r="652" ht="15.75" customHeight="1">
      <c r="H652" s="200"/>
    </row>
    <row r="653" ht="15.75" customHeight="1">
      <c r="H653" s="200"/>
    </row>
    <row r="654" ht="15.75" customHeight="1">
      <c r="H654" s="200"/>
    </row>
    <row r="655" ht="15.75" customHeight="1">
      <c r="H655" s="200"/>
    </row>
    <row r="656" ht="15.75" customHeight="1">
      <c r="H656" s="200"/>
    </row>
    <row r="657" ht="15.75" customHeight="1">
      <c r="H657" s="200"/>
    </row>
    <row r="658" ht="15.75" customHeight="1">
      <c r="H658" s="200"/>
    </row>
    <row r="659" ht="15.75" customHeight="1">
      <c r="H659" s="200"/>
    </row>
    <row r="660" ht="15.75" customHeight="1">
      <c r="H660" s="200"/>
    </row>
    <row r="661" ht="15.75" customHeight="1">
      <c r="H661" s="200"/>
    </row>
    <row r="662" ht="15.75" customHeight="1">
      <c r="H662" s="200"/>
    </row>
    <row r="663" ht="15.75" customHeight="1">
      <c r="H663" s="200"/>
    </row>
    <row r="664" ht="15.75" customHeight="1">
      <c r="H664" s="200"/>
    </row>
    <row r="665" ht="15.75" customHeight="1">
      <c r="H665" s="200"/>
    </row>
    <row r="666" ht="15.75" customHeight="1">
      <c r="H666" s="200"/>
    </row>
    <row r="667" ht="15.75" customHeight="1">
      <c r="H667" s="200"/>
    </row>
    <row r="668" ht="15.75" customHeight="1">
      <c r="H668" s="200"/>
    </row>
    <row r="669" ht="15.75" customHeight="1">
      <c r="H669" s="200"/>
    </row>
    <row r="670" ht="15.75" customHeight="1">
      <c r="H670" s="200"/>
    </row>
    <row r="671" ht="15.75" customHeight="1">
      <c r="H671" s="200"/>
    </row>
    <row r="672" ht="15.75" customHeight="1">
      <c r="H672" s="200"/>
    </row>
    <row r="673" ht="15.75" customHeight="1">
      <c r="H673" s="200"/>
    </row>
    <row r="674" ht="15.75" customHeight="1">
      <c r="H674" s="200"/>
    </row>
    <row r="675" ht="15.75" customHeight="1">
      <c r="H675" s="200"/>
    </row>
    <row r="676" ht="15.75" customHeight="1">
      <c r="H676" s="200"/>
    </row>
    <row r="677" ht="15.75" customHeight="1">
      <c r="H677" s="200"/>
    </row>
    <row r="678" ht="15.75" customHeight="1">
      <c r="H678" s="200"/>
    </row>
    <row r="679" ht="15.75" customHeight="1">
      <c r="H679" s="200"/>
    </row>
    <row r="680" ht="15.75" customHeight="1">
      <c r="H680" s="200"/>
    </row>
    <row r="681" ht="15.75" customHeight="1">
      <c r="H681" s="200"/>
    </row>
    <row r="682" ht="15.75" customHeight="1">
      <c r="H682" s="200"/>
    </row>
    <row r="683" ht="15.75" customHeight="1">
      <c r="H683" s="200"/>
    </row>
    <row r="684" ht="15.75" customHeight="1">
      <c r="H684" s="200"/>
    </row>
    <row r="685" ht="15.75" customHeight="1">
      <c r="H685" s="200"/>
    </row>
    <row r="686" ht="15.75" customHeight="1">
      <c r="H686" s="200"/>
    </row>
    <row r="687" ht="15.75" customHeight="1">
      <c r="H687" s="200"/>
    </row>
    <row r="688" ht="15.75" customHeight="1">
      <c r="H688" s="200"/>
    </row>
    <row r="689" ht="15.75" customHeight="1">
      <c r="H689" s="200"/>
    </row>
    <row r="690" ht="15.75" customHeight="1">
      <c r="H690" s="200"/>
    </row>
    <row r="691" ht="15.75" customHeight="1">
      <c r="H691" s="200"/>
    </row>
    <row r="692" ht="15.75" customHeight="1">
      <c r="H692" s="200"/>
    </row>
    <row r="693" ht="15.75" customHeight="1">
      <c r="H693" s="200"/>
    </row>
    <row r="694" ht="15.75" customHeight="1">
      <c r="H694" s="200"/>
    </row>
    <row r="695" ht="15.75" customHeight="1">
      <c r="H695" s="200"/>
    </row>
    <row r="696" ht="15.75" customHeight="1">
      <c r="H696" s="200"/>
    </row>
    <row r="697" ht="15.75" customHeight="1">
      <c r="H697" s="200"/>
    </row>
    <row r="698" ht="15.75" customHeight="1">
      <c r="H698" s="200"/>
    </row>
    <row r="699" ht="15.75" customHeight="1">
      <c r="H699" s="200"/>
    </row>
    <row r="700" ht="15.75" customHeight="1">
      <c r="H700" s="200"/>
    </row>
    <row r="701" ht="15.75" customHeight="1">
      <c r="H701" s="200"/>
    </row>
    <row r="702" ht="15.75" customHeight="1">
      <c r="H702" s="200"/>
    </row>
    <row r="703" ht="15.75" customHeight="1">
      <c r="H703" s="200"/>
    </row>
    <row r="704" ht="15.75" customHeight="1">
      <c r="H704" s="200"/>
    </row>
    <row r="705" ht="15.75" customHeight="1">
      <c r="H705" s="200"/>
    </row>
    <row r="706" ht="15.75" customHeight="1">
      <c r="H706" s="200"/>
    </row>
    <row r="707" ht="15.75" customHeight="1">
      <c r="H707" s="200"/>
    </row>
    <row r="708" ht="15.75" customHeight="1">
      <c r="H708" s="200"/>
    </row>
    <row r="709" ht="15.75" customHeight="1">
      <c r="H709" s="200"/>
    </row>
    <row r="710" ht="15.75" customHeight="1">
      <c r="H710" s="200"/>
    </row>
    <row r="711" ht="15.75" customHeight="1">
      <c r="H711" s="200"/>
    </row>
    <row r="712" ht="15.75" customHeight="1">
      <c r="H712" s="200"/>
    </row>
    <row r="713" ht="15.75" customHeight="1">
      <c r="H713" s="200"/>
    </row>
    <row r="714" ht="15.75" customHeight="1">
      <c r="H714" s="200"/>
    </row>
    <row r="715" ht="15.75" customHeight="1">
      <c r="H715" s="200"/>
    </row>
    <row r="716" ht="15.75" customHeight="1">
      <c r="H716" s="200"/>
    </row>
    <row r="717" ht="15.75" customHeight="1">
      <c r="H717" s="200"/>
    </row>
    <row r="718" ht="15.75" customHeight="1">
      <c r="H718" s="200"/>
    </row>
    <row r="719" ht="15.75" customHeight="1">
      <c r="H719" s="200"/>
    </row>
    <row r="720" ht="15.75" customHeight="1">
      <c r="H720" s="200"/>
    </row>
    <row r="721" ht="15.75" customHeight="1">
      <c r="H721" s="200"/>
    </row>
    <row r="722" ht="15.75" customHeight="1">
      <c r="H722" s="200"/>
    </row>
    <row r="723" ht="15.75" customHeight="1">
      <c r="H723" s="200"/>
    </row>
    <row r="724" ht="15.75" customHeight="1">
      <c r="H724" s="200"/>
    </row>
    <row r="725" ht="15.75" customHeight="1">
      <c r="H725" s="200"/>
    </row>
    <row r="726" ht="15.75" customHeight="1">
      <c r="H726" s="200"/>
    </row>
    <row r="727" ht="15.75" customHeight="1">
      <c r="H727" s="200"/>
    </row>
    <row r="728" ht="15.75" customHeight="1">
      <c r="H728" s="200"/>
    </row>
    <row r="729" ht="15.75" customHeight="1">
      <c r="H729" s="200"/>
    </row>
    <row r="730" ht="15.75" customHeight="1">
      <c r="H730" s="200"/>
    </row>
    <row r="731" ht="15.75" customHeight="1">
      <c r="H731" s="200"/>
    </row>
    <row r="732" ht="15.75" customHeight="1">
      <c r="H732" s="200"/>
    </row>
    <row r="733" ht="15.75" customHeight="1">
      <c r="H733" s="200"/>
    </row>
    <row r="734" ht="15.75" customHeight="1">
      <c r="H734" s="200"/>
    </row>
    <row r="735" ht="15.75" customHeight="1">
      <c r="H735" s="200"/>
    </row>
    <row r="736" ht="15.75" customHeight="1">
      <c r="H736" s="200"/>
    </row>
    <row r="737" ht="15.75" customHeight="1">
      <c r="H737" s="200"/>
    </row>
    <row r="738" ht="15.75" customHeight="1">
      <c r="H738" s="200"/>
    </row>
    <row r="739" ht="15.75" customHeight="1">
      <c r="H739" s="200"/>
    </row>
    <row r="740" ht="15.75" customHeight="1">
      <c r="H740" s="200"/>
    </row>
    <row r="741" ht="15.75" customHeight="1">
      <c r="H741" s="200"/>
    </row>
    <row r="742" ht="15.75" customHeight="1">
      <c r="H742" s="200"/>
    </row>
    <row r="743" ht="15.75" customHeight="1">
      <c r="H743" s="200"/>
    </row>
    <row r="744" ht="15.75" customHeight="1">
      <c r="H744" s="200"/>
    </row>
    <row r="745" ht="15.75" customHeight="1">
      <c r="H745" s="200"/>
    </row>
    <row r="746" ht="15.75" customHeight="1">
      <c r="H746" s="200"/>
    </row>
    <row r="747" ht="15.75" customHeight="1">
      <c r="H747" s="200"/>
    </row>
    <row r="748" ht="15.75" customHeight="1">
      <c r="H748" s="200"/>
    </row>
    <row r="749" ht="15.75" customHeight="1">
      <c r="H749" s="200"/>
    </row>
    <row r="750" ht="15.75" customHeight="1">
      <c r="H750" s="200"/>
    </row>
    <row r="751" ht="15.75" customHeight="1">
      <c r="H751" s="200"/>
    </row>
    <row r="752" ht="15.75" customHeight="1">
      <c r="H752" s="200"/>
    </row>
    <row r="753" ht="15.75" customHeight="1">
      <c r="H753" s="200"/>
    </row>
    <row r="754" ht="15.75" customHeight="1">
      <c r="H754" s="200"/>
    </row>
    <row r="755" ht="15.75" customHeight="1">
      <c r="H755" s="200"/>
    </row>
    <row r="756" ht="15.75" customHeight="1">
      <c r="H756" s="200"/>
    </row>
    <row r="757" ht="15.75" customHeight="1">
      <c r="H757" s="200"/>
    </row>
    <row r="758" ht="15.75" customHeight="1">
      <c r="H758" s="200"/>
    </row>
    <row r="759" ht="15.75" customHeight="1">
      <c r="H759" s="200"/>
    </row>
    <row r="760" ht="15.75" customHeight="1">
      <c r="H760" s="200"/>
    </row>
    <row r="761" ht="15.75" customHeight="1">
      <c r="H761" s="200"/>
    </row>
    <row r="762" ht="15.75" customHeight="1">
      <c r="H762" s="200"/>
    </row>
    <row r="763" ht="15.75" customHeight="1">
      <c r="H763" s="200"/>
    </row>
    <row r="764" ht="15.75" customHeight="1">
      <c r="H764" s="200"/>
    </row>
    <row r="765" ht="15.75" customHeight="1">
      <c r="H765" s="200"/>
    </row>
    <row r="766" ht="15.75" customHeight="1">
      <c r="H766" s="200"/>
    </row>
    <row r="767" ht="15.75" customHeight="1">
      <c r="H767" s="200"/>
    </row>
    <row r="768" ht="15.75" customHeight="1">
      <c r="H768" s="200"/>
    </row>
    <row r="769" ht="15.75" customHeight="1">
      <c r="H769" s="200"/>
    </row>
    <row r="770" ht="15.75" customHeight="1">
      <c r="H770" s="200"/>
    </row>
    <row r="771" ht="15.75" customHeight="1">
      <c r="H771" s="200"/>
    </row>
    <row r="772" ht="15.75" customHeight="1">
      <c r="H772" s="200"/>
    </row>
    <row r="773" ht="15.75" customHeight="1">
      <c r="H773" s="200"/>
    </row>
    <row r="774" ht="15.75" customHeight="1">
      <c r="H774" s="200"/>
    </row>
    <row r="775" ht="15.75" customHeight="1">
      <c r="H775" s="200"/>
    </row>
    <row r="776" ht="15.75" customHeight="1">
      <c r="H776" s="200"/>
    </row>
    <row r="777" ht="15.75" customHeight="1">
      <c r="H777" s="200"/>
    </row>
    <row r="778" ht="15.75" customHeight="1">
      <c r="H778" s="200"/>
    </row>
    <row r="779" ht="15.75" customHeight="1">
      <c r="H779" s="200"/>
    </row>
    <row r="780" ht="15.75" customHeight="1">
      <c r="H780" s="200"/>
    </row>
    <row r="781" ht="15.75" customHeight="1">
      <c r="H781" s="200"/>
    </row>
    <row r="782" ht="15.75" customHeight="1">
      <c r="H782" s="200"/>
    </row>
    <row r="783" ht="15.75" customHeight="1">
      <c r="H783" s="200"/>
    </row>
    <row r="784" ht="15.75" customHeight="1">
      <c r="H784" s="200"/>
    </row>
    <row r="785" ht="15.75" customHeight="1">
      <c r="H785" s="200"/>
    </row>
    <row r="786" ht="15.75" customHeight="1">
      <c r="H786" s="200"/>
    </row>
    <row r="787" ht="15.75" customHeight="1">
      <c r="H787" s="200"/>
    </row>
    <row r="788" ht="15.75" customHeight="1">
      <c r="H788" s="200"/>
    </row>
    <row r="789" ht="15.75" customHeight="1">
      <c r="H789" s="200"/>
    </row>
    <row r="790" ht="15.75" customHeight="1">
      <c r="H790" s="200"/>
    </row>
    <row r="791" ht="15.75" customHeight="1">
      <c r="H791" s="200"/>
    </row>
    <row r="792" ht="15.75" customHeight="1">
      <c r="H792" s="200"/>
    </row>
    <row r="793" ht="15.75" customHeight="1">
      <c r="H793" s="200"/>
    </row>
    <row r="794" ht="15.75" customHeight="1">
      <c r="H794" s="200"/>
    </row>
    <row r="795" ht="15.75" customHeight="1">
      <c r="H795" s="200"/>
    </row>
    <row r="796" ht="15.75" customHeight="1">
      <c r="H796" s="200"/>
    </row>
    <row r="797" ht="15.75" customHeight="1">
      <c r="H797" s="200"/>
    </row>
    <row r="798" ht="15.75" customHeight="1">
      <c r="H798" s="200"/>
    </row>
    <row r="799" ht="15.75" customHeight="1">
      <c r="H799" s="200"/>
    </row>
    <row r="800" ht="15.75" customHeight="1">
      <c r="H800" s="200"/>
    </row>
    <row r="801" ht="15.75" customHeight="1">
      <c r="H801" s="200"/>
    </row>
    <row r="802" ht="15.75" customHeight="1">
      <c r="H802" s="200"/>
    </row>
    <row r="803" ht="15.75" customHeight="1">
      <c r="H803" s="200"/>
    </row>
    <row r="804" ht="15.75" customHeight="1">
      <c r="H804" s="200"/>
    </row>
    <row r="805" ht="15.75" customHeight="1">
      <c r="H805" s="200"/>
    </row>
    <row r="806" ht="15.75" customHeight="1">
      <c r="H806" s="200"/>
    </row>
    <row r="807" ht="15.75" customHeight="1">
      <c r="H807" s="200"/>
    </row>
    <row r="808" ht="15.75" customHeight="1">
      <c r="H808" s="200"/>
    </row>
    <row r="809" ht="15.75" customHeight="1">
      <c r="H809" s="200"/>
    </row>
    <row r="810" ht="15.75" customHeight="1">
      <c r="H810" s="200"/>
    </row>
    <row r="811" ht="15.75" customHeight="1">
      <c r="H811" s="200"/>
    </row>
    <row r="812" ht="15.75" customHeight="1">
      <c r="H812" s="200"/>
    </row>
    <row r="813" ht="15.75" customHeight="1">
      <c r="H813" s="200"/>
    </row>
    <row r="814" ht="15.75" customHeight="1">
      <c r="H814" s="200"/>
    </row>
    <row r="815" ht="15.75" customHeight="1">
      <c r="H815" s="200"/>
    </row>
    <row r="816" ht="15.75" customHeight="1">
      <c r="H816" s="200"/>
    </row>
    <row r="817" ht="15.75" customHeight="1">
      <c r="H817" s="200"/>
    </row>
    <row r="818" ht="15.75" customHeight="1">
      <c r="H818" s="200"/>
    </row>
    <row r="819" ht="15.75" customHeight="1">
      <c r="H819" s="200"/>
    </row>
    <row r="820" ht="15.75" customHeight="1">
      <c r="H820" s="200"/>
    </row>
    <row r="821" ht="15.75" customHeight="1">
      <c r="H821" s="200"/>
    </row>
    <row r="822" ht="15.75" customHeight="1">
      <c r="H822" s="200"/>
    </row>
    <row r="823" ht="15.75" customHeight="1">
      <c r="H823" s="200"/>
    </row>
    <row r="824" ht="15.75" customHeight="1">
      <c r="H824" s="200"/>
    </row>
    <row r="825" ht="15.75" customHeight="1">
      <c r="H825" s="200"/>
    </row>
    <row r="826" ht="15.75" customHeight="1">
      <c r="H826" s="200"/>
    </row>
    <row r="827" ht="15.75" customHeight="1">
      <c r="H827" s="200"/>
    </row>
    <row r="828" ht="15.75" customHeight="1">
      <c r="H828" s="200"/>
    </row>
    <row r="829" ht="15.75" customHeight="1">
      <c r="H829" s="200"/>
    </row>
    <row r="830" ht="15.75" customHeight="1">
      <c r="H830" s="200"/>
    </row>
    <row r="831" ht="15.75" customHeight="1">
      <c r="H831" s="200"/>
    </row>
    <row r="832" ht="15.75" customHeight="1">
      <c r="H832" s="200"/>
    </row>
    <row r="833" ht="15.75" customHeight="1">
      <c r="H833" s="200"/>
    </row>
    <row r="834" ht="15.75" customHeight="1">
      <c r="H834" s="200"/>
    </row>
    <row r="835" ht="15.75" customHeight="1">
      <c r="H835" s="200"/>
    </row>
    <row r="836" ht="15.75" customHeight="1">
      <c r="H836" s="200"/>
    </row>
    <row r="837" ht="15.75" customHeight="1">
      <c r="H837" s="200"/>
    </row>
    <row r="838" ht="15.75" customHeight="1">
      <c r="H838" s="200"/>
    </row>
    <row r="839" ht="15.75" customHeight="1">
      <c r="H839" s="200"/>
    </row>
    <row r="840" ht="15.75" customHeight="1">
      <c r="H840" s="200"/>
    </row>
    <row r="841" ht="15.75" customHeight="1">
      <c r="H841" s="200"/>
    </row>
    <row r="842" ht="15.75" customHeight="1">
      <c r="H842" s="200"/>
    </row>
    <row r="843" ht="15.75" customHeight="1">
      <c r="H843" s="200"/>
    </row>
    <row r="844" ht="15.75" customHeight="1">
      <c r="H844" s="200"/>
    </row>
    <row r="845" ht="15.75" customHeight="1">
      <c r="H845" s="200"/>
    </row>
    <row r="846" ht="15.75" customHeight="1">
      <c r="H846" s="200"/>
    </row>
    <row r="847" ht="15.75" customHeight="1">
      <c r="H847" s="200"/>
    </row>
    <row r="848" ht="15.75" customHeight="1">
      <c r="H848" s="200"/>
    </row>
    <row r="849" ht="15.75" customHeight="1">
      <c r="H849" s="200"/>
    </row>
    <row r="850" ht="15.75" customHeight="1">
      <c r="H850" s="200"/>
    </row>
    <row r="851" ht="15.75" customHeight="1">
      <c r="H851" s="200"/>
    </row>
    <row r="852" ht="15.75" customHeight="1">
      <c r="H852" s="200"/>
    </row>
    <row r="853" ht="15.75" customHeight="1">
      <c r="H853" s="200"/>
    </row>
    <row r="854" ht="15.75" customHeight="1">
      <c r="H854" s="200"/>
    </row>
    <row r="855" ht="15.75" customHeight="1">
      <c r="H855" s="200"/>
    </row>
    <row r="856" ht="15.75" customHeight="1">
      <c r="H856" s="200"/>
    </row>
    <row r="857" ht="15.75" customHeight="1">
      <c r="H857" s="200"/>
    </row>
    <row r="858" ht="15.75" customHeight="1">
      <c r="H858" s="200"/>
    </row>
    <row r="859" ht="15.75" customHeight="1">
      <c r="H859" s="200"/>
    </row>
    <row r="860" ht="15.75" customHeight="1">
      <c r="H860" s="200"/>
    </row>
    <row r="861" ht="15.75" customHeight="1">
      <c r="H861" s="200"/>
    </row>
    <row r="862" ht="15.75" customHeight="1">
      <c r="H862" s="200"/>
    </row>
    <row r="863" ht="15.75" customHeight="1">
      <c r="H863" s="200"/>
    </row>
    <row r="864" ht="15.75" customHeight="1">
      <c r="H864" s="200"/>
    </row>
    <row r="865" ht="15.75" customHeight="1">
      <c r="H865" s="200"/>
    </row>
    <row r="866" ht="15.75" customHeight="1">
      <c r="H866" s="200"/>
    </row>
    <row r="867" ht="15.75" customHeight="1">
      <c r="H867" s="200"/>
    </row>
    <row r="868" ht="15.75" customHeight="1">
      <c r="H868" s="200"/>
    </row>
    <row r="869" ht="15.75" customHeight="1">
      <c r="H869" s="200"/>
    </row>
    <row r="870" ht="15.75" customHeight="1">
      <c r="H870" s="200"/>
    </row>
    <row r="871" ht="15.75" customHeight="1">
      <c r="H871" s="200"/>
    </row>
    <row r="872" ht="15.75" customHeight="1">
      <c r="H872" s="200"/>
    </row>
    <row r="873" ht="15.75" customHeight="1">
      <c r="H873" s="200"/>
    </row>
    <row r="874" ht="15.75" customHeight="1">
      <c r="H874" s="200"/>
    </row>
    <row r="875" ht="15.75" customHeight="1">
      <c r="H875" s="200"/>
    </row>
    <row r="876" ht="15.75" customHeight="1">
      <c r="H876" s="200"/>
    </row>
    <row r="877" ht="15.75" customHeight="1">
      <c r="H877" s="200"/>
    </row>
    <row r="878" ht="15.75" customHeight="1">
      <c r="H878" s="200"/>
    </row>
    <row r="879" ht="15.75" customHeight="1">
      <c r="H879" s="200"/>
    </row>
    <row r="880" ht="15.75" customHeight="1">
      <c r="H880" s="200"/>
    </row>
    <row r="881" ht="15.75" customHeight="1">
      <c r="H881" s="200"/>
    </row>
    <row r="882" ht="15.75" customHeight="1">
      <c r="H882" s="200"/>
    </row>
    <row r="883" ht="15.75" customHeight="1">
      <c r="H883" s="200"/>
    </row>
    <row r="884" ht="15.75" customHeight="1">
      <c r="H884" s="200"/>
    </row>
    <row r="885" ht="15.75" customHeight="1">
      <c r="H885" s="200"/>
    </row>
    <row r="886" ht="15.75" customHeight="1">
      <c r="H886" s="200"/>
    </row>
    <row r="887" ht="15.75" customHeight="1">
      <c r="H887" s="200"/>
    </row>
    <row r="888" ht="15.75" customHeight="1">
      <c r="H888" s="200"/>
    </row>
    <row r="889" ht="15.75" customHeight="1">
      <c r="H889" s="200"/>
    </row>
    <row r="890" ht="15.75" customHeight="1">
      <c r="H890" s="200"/>
    </row>
    <row r="891" ht="15.75" customHeight="1">
      <c r="H891" s="200"/>
    </row>
    <row r="892" ht="15.75" customHeight="1">
      <c r="H892" s="200"/>
    </row>
    <row r="893" ht="15.75" customHeight="1">
      <c r="H893" s="200"/>
    </row>
    <row r="894" ht="15.75" customHeight="1">
      <c r="H894" s="200"/>
    </row>
    <row r="895" ht="15.75" customHeight="1">
      <c r="H895" s="200"/>
    </row>
    <row r="896" ht="15.75" customHeight="1">
      <c r="H896" s="200"/>
    </row>
    <row r="897" ht="15.75" customHeight="1">
      <c r="H897" s="200"/>
    </row>
    <row r="898" ht="15.75" customHeight="1">
      <c r="H898" s="200"/>
    </row>
    <row r="899" ht="15.75" customHeight="1">
      <c r="H899" s="200"/>
    </row>
    <row r="900" ht="15.75" customHeight="1">
      <c r="H900" s="200"/>
    </row>
    <row r="901" ht="15.75" customHeight="1">
      <c r="H901" s="200"/>
    </row>
    <row r="902" ht="15.75" customHeight="1">
      <c r="H902" s="200"/>
    </row>
    <row r="903" ht="15.75" customHeight="1">
      <c r="H903" s="200"/>
    </row>
    <row r="904" ht="15.75" customHeight="1">
      <c r="H904" s="200"/>
    </row>
    <row r="905" ht="15.75" customHeight="1">
      <c r="H905" s="200"/>
    </row>
    <row r="906" ht="15.75" customHeight="1">
      <c r="H906" s="200"/>
    </row>
    <row r="907" ht="15.75" customHeight="1">
      <c r="H907" s="200"/>
    </row>
    <row r="908" ht="15.75" customHeight="1">
      <c r="H908" s="200"/>
    </row>
    <row r="909" ht="15.75" customHeight="1">
      <c r="H909" s="200"/>
    </row>
    <row r="910" ht="15.75" customHeight="1">
      <c r="H910" s="200"/>
    </row>
    <row r="911" ht="15.75" customHeight="1">
      <c r="H911" s="200"/>
    </row>
    <row r="912" ht="15.75" customHeight="1">
      <c r="H912" s="200"/>
    </row>
    <row r="913" ht="15.75" customHeight="1">
      <c r="H913" s="200"/>
    </row>
    <row r="914" ht="15.75" customHeight="1">
      <c r="H914" s="200"/>
    </row>
    <row r="915" ht="15.75" customHeight="1">
      <c r="H915" s="200"/>
    </row>
    <row r="916" ht="15.75" customHeight="1">
      <c r="H916" s="200"/>
    </row>
    <row r="917" ht="15.75" customHeight="1">
      <c r="H917" s="200"/>
    </row>
    <row r="918" ht="15.75" customHeight="1">
      <c r="H918" s="200"/>
    </row>
    <row r="919" ht="15.75" customHeight="1">
      <c r="H919" s="200"/>
    </row>
    <row r="920" ht="15.75" customHeight="1">
      <c r="H920" s="200"/>
    </row>
    <row r="921" ht="15.75" customHeight="1">
      <c r="H921" s="200"/>
    </row>
    <row r="922" ht="15.75" customHeight="1">
      <c r="H922" s="200"/>
    </row>
    <row r="923" ht="15.75" customHeight="1">
      <c r="H923" s="200"/>
    </row>
    <row r="924" ht="15.75" customHeight="1">
      <c r="H924" s="200"/>
    </row>
    <row r="925" ht="15.75" customHeight="1">
      <c r="H925" s="200"/>
    </row>
    <row r="926" ht="15.75" customHeight="1">
      <c r="H926" s="200"/>
    </row>
    <row r="927" ht="15.75" customHeight="1">
      <c r="H927" s="200"/>
    </row>
    <row r="928" ht="15.75" customHeight="1">
      <c r="H928" s="200"/>
    </row>
    <row r="929" ht="15.75" customHeight="1">
      <c r="H929" s="200"/>
    </row>
    <row r="930" ht="15.75" customHeight="1">
      <c r="H930" s="200"/>
    </row>
    <row r="931" ht="15.75" customHeight="1">
      <c r="H931" s="200"/>
    </row>
    <row r="932" ht="15.75" customHeight="1">
      <c r="H932" s="200"/>
    </row>
    <row r="933" ht="15.75" customHeight="1">
      <c r="H933" s="200"/>
    </row>
    <row r="934" ht="15.75" customHeight="1">
      <c r="H934" s="200"/>
    </row>
    <row r="935" ht="15.75" customHeight="1">
      <c r="H935" s="200"/>
    </row>
    <row r="936" ht="15.75" customHeight="1">
      <c r="H936" s="200"/>
    </row>
    <row r="937" ht="15.75" customHeight="1">
      <c r="H937" s="200"/>
    </row>
    <row r="938" ht="15.75" customHeight="1">
      <c r="H938" s="200"/>
    </row>
    <row r="939" ht="15.75" customHeight="1">
      <c r="H939" s="200"/>
    </row>
    <row r="940" ht="15.75" customHeight="1">
      <c r="H940" s="200"/>
    </row>
    <row r="941" ht="15.75" customHeight="1">
      <c r="H941" s="200"/>
    </row>
    <row r="942" ht="15.75" customHeight="1">
      <c r="H942" s="200"/>
    </row>
    <row r="943" ht="15.75" customHeight="1">
      <c r="H943" s="200"/>
    </row>
    <row r="944" ht="15.75" customHeight="1">
      <c r="H944" s="200"/>
    </row>
    <row r="945" ht="15.75" customHeight="1">
      <c r="H945" s="200"/>
    </row>
    <row r="946" ht="15.75" customHeight="1">
      <c r="H946" s="200"/>
    </row>
    <row r="947" ht="15.75" customHeight="1">
      <c r="H947" s="200"/>
    </row>
    <row r="948" ht="15.75" customHeight="1">
      <c r="H948" s="200"/>
    </row>
    <row r="949" ht="15.75" customHeight="1">
      <c r="H949" s="200"/>
    </row>
    <row r="950" ht="15.75" customHeight="1">
      <c r="H950" s="200"/>
    </row>
    <row r="951" ht="15.75" customHeight="1">
      <c r="H951" s="200"/>
    </row>
    <row r="952" ht="15.75" customHeight="1">
      <c r="H952" s="200"/>
    </row>
    <row r="953" ht="15.75" customHeight="1">
      <c r="H953" s="200"/>
    </row>
    <row r="954" ht="15.75" customHeight="1">
      <c r="H954" s="200"/>
    </row>
    <row r="955" ht="15.75" customHeight="1">
      <c r="H955" s="200"/>
    </row>
    <row r="956" ht="15.75" customHeight="1">
      <c r="H956" s="200"/>
    </row>
    <row r="957" ht="15.75" customHeight="1">
      <c r="H957" s="200"/>
    </row>
    <row r="958" ht="15.75" customHeight="1">
      <c r="H958" s="200"/>
    </row>
    <row r="959" ht="15.75" customHeight="1">
      <c r="H959" s="200"/>
    </row>
    <row r="960" ht="15.75" customHeight="1">
      <c r="H960" s="200"/>
    </row>
    <row r="961" ht="15.75" customHeight="1">
      <c r="H961" s="200"/>
    </row>
    <row r="962" ht="15.75" customHeight="1">
      <c r="H962" s="200"/>
    </row>
    <row r="963" ht="15.75" customHeight="1">
      <c r="H963" s="200"/>
    </row>
    <row r="964" ht="15.75" customHeight="1">
      <c r="H964" s="200"/>
    </row>
    <row r="965" ht="15.75" customHeight="1">
      <c r="H965" s="200"/>
    </row>
    <row r="966" ht="15.75" customHeight="1">
      <c r="H966" s="200"/>
    </row>
    <row r="967" ht="15.75" customHeight="1">
      <c r="H967" s="200"/>
    </row>
    <row r="968" ht="15.75" customHeight="1">
      <c r="H968" s="200"/>
    </row>
    <row r="969" ht="15.75" customHeight="1">
      <c r="H969" s="200"/>
    </row>
    <row r="970" ht="15.75" customHeight="1">
      <c r="H970" s="200"/>
    </row>
    <row r="971" ht="15.75" customHeight="1">
      <c r="H971" s="200"/>
    </row>
    <row r="972" ht="15.75" customHeight="1">
      <c r="H972" s="200"/>
    </row>
    <row r="973" ht="15.75" customHeight="1">
      <c r="H973" s="200"/>
    </row>
    <row r="974" ht="15.75" customHeight="1">
      <c r="H974" s="200"/>
    </row>
    <row r="975" ht="15.75" customHeight="1">
      <c r="H975" s="200"/>
    </row>
    <row r="976" ht="15.75" customHeight="1">
      <c r="H976" s="200"/>
    </row>
    <row r="977" ht="15.75" customHeight="1">
      <c r="H977" s="200"/>
    </row>
    <row r="978" ht="15.75" customHeight="1">
      <c r="H978" s="200"/>
    </row>
    <row r="979" ht="15.75" customHeight="1">
      <c r="H979" s="200"/>
    </row>
    <row r="980" ht="15.75" customHeight="1">
      <c r="H980" s="200"/>
    </row>
    <row r="981" ht="15.75" customHeight="1">
      <c r="H981" s="200"/>
    </row>
    <row r="982" ht="15.75" customHeight="1">
      <c r="H982" s="200"/>
    </row>
    <row r="983" ht="15.75" customHeight="1">
      <c r="H983" s="200"/>
    </row>
    <row r="984" ht="15.75" customHeight="1">
      <c r="H984" s="200"/>
    </row>
    <row r="985" ht="15.75" customHeight="1">
      <c r="H985" s="200"/>
    </row>
    <row r="986" ht="15.75" customHeight="1">
      <c r="H986" s="200"/>
    </row>
    <row r="987" ht="15.75" customHeight="1">
      <c r="H987" s="200"/>
    </row>
    <row r="988" ht="15.75" customHeight="1">
      <c r="H988" s="200"/>
    </row>
    <row r="989" ht="15.75" customHeight="1">
      <c r="H989" s="200"/>
    </row>
    <row r="990" ht="15.75" customHeight="1">
      <c r="H990" s="200"/>
    </row>
    <row r="991" ht="15.75" customHeight="1">
      <c r="H991" s="200"/>
    </row>
    <row r="992" ht="15.75" customHeight="1">
      <c r="H992" s="200"/>
    </row>
    <row r="993" ht="15.75" customHeight="1">
      <c r="H993" s="200"/>
    </row>
    <row r="994" ht="15.75" customHeight="1">
      <c r="H994" s="200"/>
    </row>
    <row r="995" ht="15.75" customHeight="1">
      <c r="H995" s="200"/>
    </row>
    <row r="996" ht="15.75" customHeight="1">
      <c r="H996" s="200"/>
    </row>
    <row r="997" ht="15.75" customHeight="1">
      <c r="H997" s="200"/>
    </row>
    <row r="998" ht="15.75" customHeight="1">
      <c r="H998" s="200"/>
    </row>
    <row r="999" ht="15.75" customHeight="1">
      <c r="H999" s="200"/>
    </row>
    <row r="1000" ht="15.75" customHeight="1">
      <c r="H1000" s="200"/>
    </row>
  </sheetData>
  <dataValidations>
    <dataValidation type="list" allowBlank="1" showErrorMessage="1" sqref="H2:H1000">
      <formula1>"paid,overdue,forecast,pending"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0"/>
  <cols>
    <col customWidth="1" min="1" max="1" width="98.88"/>
    <col customWidth="1" min="2" max="2" width="16.88"/>
    <col customWidth="1" min="3" max="3" width="22.13"/>
    <col customWidth="1" min="4" max="4" width="14.75"/>
    <col customWidth="1" min="5" max="5" width="17.13"/>
    <col customWidth="1" min="6" max="6" width="22.63"/>
    <col customWidth="1" min="7" max="7" width="13.0"/>
    <col customWidth="1" min="8" max="8" width="12.25"/>
    <col customWidth="1" min="9" max="9" width="50.75"/>
  </cols>
  <sheetData>
    <row r="1" ht="36.0" customHeight="1">
      <c r="A1" s="199" t="s">
        <v>1076</v>
      </c>
    </row>
    <row r="2" ht="25.5" customHeight="1"/>
    <row r="3" ht="24.0" customHeight="1">
      <c r="A3" s="229" t="s">
        <v>1077</v>
      </c>
      <c r="B3" s="229" t="s">
        <v>1079</v>
      </c>
      <c r="C3" s="229" t="s">
        <v>1082</v>
      </c>
      <c r="D3" s="229" t="s">
        <v>1084</v>
      </c>
      <c r="E3" s="229" t="s">
        <v>1085</v>
      </c>
      <c r="F3" s="229" t="s">
        <v>1086</v>
      </c>
    </row>
    <row r="4" ht="27.0" customHeight="1">
      <c r="A4" s="202">
        <f>SUM(calc_engine!$H$172:$H$174)</f>
        <v>401050</v>
      </c>
      <c r="B4" s="202">
        <f>SUM(calc_engine!$C$172:$C$174)</f>
        <v>320000</v>
      </c>
      <c r="C4" s="202">
        <f>A4 - B4</f>
        <v>81050</v>
      </c>
      <c r="D4" s="202">
        <f>C4 / MAX(COUNTA(calc_engine!$B$172:$B$174), 1)</f>
        <v>27016.66667</v>
      </c>
      <c r="E4" s="202">
        <f>calc_engine!D173 * calc_engine!E173 * (1 - calc_engine!G173)</f>
        <v>6750</v>
      </c>
      <c r="F4" s="237">
        <f>A4 / calc_engine!$B$19</f>
        <v>0.2430606061</v>
      </c>
    </row>
    <row r="5" ht="24.0" customHeight="1"/>
    <row r="6" ht="24.0" customHeight="1">
      <c r="A6" s="205" t="s">
        <v>1090</v>
      </c>
    </row>
    <row r="7" ht="24.0" customHeight="1">
      <c r="A7" s="206" t="s">
        <v>584</v>
      </c>
      <c r="B7" s="206" t="s">
        <v>585</v>
      </c>
      <c r="C7" s="206" t="s">
        <v>1091</v>
      </c>
      <c r="D7" s="206" t="s">
        <v>1092</v>
      </c>
      <c r="E7" s="206" t="s">
        <v>1093</v>
      </c>
      <c r="F7" s="206" t="s">
        <v>1094</v>
      </c>
      <c r="G7" s="206" t="s">
        <v>1095</v>
      </c>
      <c r="H7" s="206" t="s">
        <v>1096</v>
      </c>
      <c r="I7" s="206" t="s">
        <v>1097</v>
      </c>
    </row>
    <row r="8" ht="24.0" customHeight="1">
      <c r="A8" s="22" t="str">
        <f>calc_engine!B172</f>
        <v>Иванов Дмитрий (РОП)</v>
      </c>
      <c r="B8" s="22" t="s">
        <v>1098</v>
      </c>
      <c r="C8" s="151">
        <f>calc_engine!C172</f>
        <v>150000</v>
      </c>
      <c r="D8" s="151">
        <f>calc_engine!D172</f>
        <v>1200000</v>
      </c>
      <c r="E8" s="149">
        <f>calc_engine!E172</f>
        <v>0.03</v>
      </c>
      <c r="F8" s="238">
        <f>calc_engine!F172</f>
        <v>1</v>
      </c>
      <c r="G8" s="238">
        <f>calc_engine!G172</f>
        <v>1.05</v>
      </c>
      <c r="H8" s="239">
        <f>calc_engine!H172</f>
        <v>187800</v>
      </c>
      <c r="I8" s="22" t="s">
        <v>1099</v>
      </c>
    </row>
    <row r="9" ht="24.0" customHeight="1">
      <c r="A9" s="22" t="str">
        <f>calc_engine!B173</f>
        <v>Петров Александр (КАМ)</v>
      </c>
      <c r="B9" s="22" t="s">
        <v>1100</v>
      </c>
      <c r="C9" s="151">
        <f>calc_engine!C173</f>
        <v>100000</v>
      </c>
      <c r="D9" s="151">
        <f>calc_engine!D173</f>
        <v>450000</v>
      </c>
      <c r="E9" s="149">
        <f>calc_engine!E173</f>
        <v>0.05</v>
      </c>
      <c r="F9" s="238">
        <f>calc_engine!F173</f>
        <v>1</v>
      </c>
      <c r="G9" s="238">
        <f>calc_engine!G173</f>
        <v>0.7</v>
      </c>
      <c r="H9" s="239">
        <f>calc_engine!H173</f>
        <v>115750</v>
      </c>
      <c r="I9" s="22" t="s">
        <v>1104</v>
      </c>
    </row>
    <row r="10" ht="18.0" customHeight="1">
      <c r="A10" s="22" t="str">
        <f>calc_engine!B174</f>
        <v>Сидоров Роман (SDR)</v>
      </c>
      <c r="B10" s="22" t="s">
        <v>1105</v>
      </c>
      <c r="C10" s="151">
        <f>calc_engine!C174</f>
        <v>70000</v>
      </c>
      <c r="D10" s="151">
        <f>calc_engine!D174</f>
        <v>0</v>
      </c>
      <c r="E10" s="149">
        <f>calc_engine!E174</f>
        <v>0</v>
      </c>
      <c r="F10" s="238">
        <f>calc_engine!F174</f>
        <v>1</v>
      </c>
      <c r="G10" s="238">
        <f>calc_engine!G174</f>
        <v>1.1</v>
      </c>
      <c r="H10" s="239">
        <f>calc_engine!H174</f>
        <v>97500</v>
      </c>
      <c r="I10" s="22" t="s">
        <v>1106</v>
      </c>
    </row>
    <row r="11" ht="15.75" customHeight="1">
      <c r="A11" s="240" t="s">
        <v>1107</v>
      </c>
      <c r="B11" s="241"/>
      <c r="C11" s="242">
        <f t="shared" ref="C11:D11" si="1">SUM(C8:C10)</f>
        <v>320000</v>
      </c>
      <c r="D11" s="242">
        <f t="shared" si="1"/>
        <v>1650000</v>
      </c>
      <c r="E11" s="241"/>
      <c r="F11" s="241"/>
      <c r="G11" s="241"/>
      <c r="H11" s="242">
        <f>SUM(H8:H10)</f>
        <v>401050</v>
      </c>
      <c r="I11" s="241"/>
    </row>
    <row r="12" ht="15.75" customHeight="1"/>
    <row r="13" ht="15.75" customHeight="1">
      <c r="A13" s="243" t="s">
        <v>1112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6:I6"/>
    <mergeCell ref="A13:I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72D8"/>
    <outlinePr summaryBelow="0" summaryRight="0"/>
  </sheetPr>
  <sheetViews>
    <sheetView workbookViewId="0"/>
  </sheetViews>
  <sheetFormatPr customHeight="1" defaultColWidth="12.63" defaultRowHeight="15.0"/>
  <cols>
    <col customWidth="1" min="1" max="1" width="163.5"/>
    <col customWidth="1" min="2" max="2" width="21.13"/>
    <col customWidth="1" min="3" max="3" width="36.5"/>
    <col customWidth="1" min="4" max="4" width="22.75"/>
    <col customWidth="1" min="5" max="5" width="22.0"/>
    <col customWidth="1" min="6" max="6" width="59.13"/>
    <col customWidth="1" min="7" max="7" width="16.38"/>
    <col customWidth="1" min="8" max="8" width="21.75"/>
    <col customWidth="1" min="9" max="9" width="27.63"/>
  </cols>
  <sheetData>
    <row r="1" ht="42.0" customHeight="1">
      <c r="A1" s="2" t="s">
        <v>1171</v>
      </c>
      <c r="J1" s="38"/>
    </row>
    <row r="2" ht="22.5" customHeight="1">
      <c r="A2" s="246" t="s">
        <v>1172</v>
      </c>
      <c r="J2" s="38"/>
    </row>
    <row r="3" ht="22.5" customHeight="1">
      <c r="A3" s="38" t="s">
        <v>1173</v>
      </c>
      <c r="B3" s="38"/>
      <c r="C3" s="38" t="s">
        <v>1174</v>
      </c>
      <c r="D3" s="38"/>
      <c r="E3" s="38"/>
      <c r="F3" s="38"/>
      <c r="G3" s="38"/>
      <c r="H3" s="38"/>
      <c r="I3" s="38"/>
      <c r="J3" s="38"/>
    </row>
    <row r="4" ht="30.0" customHeight="1">
      <c r="A4" s="39" t="s">
        <v>1181</v>
      </c>
      <c r="E4" s="39"/>
      <c r="F4" s="39" t="s">
        <v>1183</v>
      </c>
      <c r="J4" s="38"/>
    </row>
    <row r="5" ht="22.5" customHeight="1">
      <c r="A5" s="250" t="s">
        <v>1184</v>
      </c>
      <c r="B5" s="250" t="s">
        <v>1189</v>
      </c>
      <c r="C5" s="250" t="s">
        <v>1190</v>
      </c>
      <c r="D5" s="250" t="s">
        <v>1191</v>
      </c>
      <c r="E5" s="38"/>
      <c r="F5" s="251" t="s">
        <v>1192</v>
      </c>
      <c r="G5" s="251" t="s">
        <v>1193</v>
      </c>
      <c r="H5" s="251" t="s">
        <v>1194</v>
      </c>
      <c r="I5" s="251" t="s">
        <v>1195</v>
      </c>
      <c r="J5" s="38"/>
    </row>
    <row r="6" ht="22.5" customHeight="1">
      <c r="A6" s="38" t="s">
        <v>1196</v>
      </c>
      <c r="B6" s="255">
        <f>calc_engine!B62</f>
        <v>240000</v>
      </c>
      <c r="C6" s="256">
        <f>IF(ISNUMBER(SEARCH("Консервативный",$C$3)), 0.15, IF(ISNUMBER(SEARCH("Базовый",$C$3)), 0.3, IF(ISNUMBER(SEARCH("Агрессивный",$C$3)), 0.5, 0.5)))</f>
        <v>0.3</v>
      </c>
      <c r="D6" s="257">
        <f>B6 * (1 + C6)</f>
        <v>312000</v>
      </c>
      <c r="E6" s="38"/>
      <c r="F6" s="38" t="s">
        <v>1279</v>
      </c>
      <c r="G6" s="258">
        <f>calc_engine!E2</f>
        <v>11</v>
      </c>
      <c r="H6" s="258">
        <f>ROUND(G6 * (1 + C6),0)</f>
        <v>14</v>
      </c>
      <c r="I6" s="259">
        <f t="shared" ref="I6:I9" si="1">H6 - G6</f>
        <v>3</v>
      </c>
      <c r="J6" s="38"/>
    </row>
    <row r="7" ht="22.5" customHeight="1">
      <c r="A7" s="38" t="s">
        <v>1284</v>
      </c>
      <c r="B7" s="260">
        <f>calc_engine!$B$24</f>
        <v>0.5</v>
      </c>
      <c r="C7" s="256">
        <f>IF(ISNUMBER(SEARCH("Консервативный",$C$3)), 0.02, IF(ISNUMBER(SEARCH("Базовый",$C$3)), 0.03, IF(ISNUMBER(SEARCH("Агрессивный",$C$3)), 0.05, 0.05)))</f>
        <v>0.03</v>
      </c>
      <c r="D7" s="261">
        <f t="shared" ref="D7:D8" si="2">B7 + C7</f>
        <v>0.53</v>
      </c>
      <c r="E7" s="38"/>
      <c r="F7" s="38" t="s">
        <v>1285</v>
      </c>
      <c r="G7" s="258">
        <f>calc_engine!$B$22</f>
        <v>2</v>
      </c>
      <c r="H7" s="258">
        <f>ROUND(H6 * D7,0)</f>
        <v>7</v>
      </c>
      <c r="I7" s="259">
        <f t="shared" si="1"/>
        <v>5</v>
      </c>
      <c r="J7" s="38"/>
    </row>
    <row r="8" ht="22.5" customHeight="1">
      <c r="A8" s="38" t="s">
        <v>1291</v>
      </c>
      <c r="B8" s="258">
        <f>1</f>
        <v>1</v>
      </c>
      <c r="C8" s="263">
        <f>IF(ISNUMBER(SEARCH("Консервативный",$C$3)), 0, IF(ISNUMBER(SEARCH("Базовый",$C$3)), 1, IF(ISNUMBER(SEARCH("Агрессивный",$C$3)), 2, 1)))</f>
        <v>1</v>
      </c>
      <c r="D8" s="264">
        <f t="shared" si="2"/>
        <v>2</v>
      </c>
      <c r="E8" s="38"/>
      <c r="F8" s="38" t="s">
        <v>1302</v>
      </c>
      <c r="G8" s="255">
        <f>calc_engine!$B$19</f>
        <v>1650000</v>
      </c>
      <c r="H8" s="255">
        <f>H7 * calc_engine!$B$21</f>
        <v>5775000</v>
      </c>
      <c r="I8" s="265">
        <f t="shared" si="1"/>
        <v>4125000</v>
      </c>
      <c r="J8" s="38"/>
    </row>
    <row r="9" ht="22.5" customHeight="1">
      <c r="A9" s="38" t="s">
        <v>1305</v>
      </c>
      <c r="B9" s="260">
        <f>calc_engine!$B$31</f>
        <v>0.8205128205</v>
      </c>
      <c r="C9" s="266">
        <f>IF(ISNUMBER(SEARCH("Консервативный",$C$3)), 0.05, IF(ISNUMBER(SEARCH("Базовый",$C$3)), 0.1, IF(ISNUMBER(SEARCH("Агрессивный",$C$3)), 0.15, 0.15)))</f>
        <v>0.1</v>
      </c>
      <c r="D9" s="261">
        <f>B9 * (1 - C9)</f>
        <v>0.7384615385</v>
      </c>
      <c r="E9" s="38"/>
      <c r="F9" s="38" t="s">
        <v>1321</v>
      </c>
      <c r="G9" s="260">
        <f>G8 / '⚙️ Настройки'!$B$9</f>
        <v>0.33</v>
      </c>
      <c r="H9" s="260">
        <f>H8 / '⚙️ Настройки'!$B$9</f>
        <v>1.155</v>
      </c>
      <c r="I9" s="267">
        <f t="shared" si="1"/>
        <v>0.825</v>
      </c>
      <c r="J9" s="38"/>
    </row>
    <row r="10" ht="22.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ht="12.0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ht="25.5" customHeight="1">
      <c r="A12" s="268" t="str">
        <f>"🎯 ВЕРДИКТ СИМУЛЯТОРА: При изменении маркетинга на " &amp; TEXT(C6, "+0.0%") &amp; " и росте конверсии на " &amp; TEXT(C7, "+0.0%") &amp; ", выручка вырастет с " &amp; TEXT(G8, "#,##0 ₽") &amp; " до " &amp; TEXT(H8, "#,##0 ₽") &amp; " (" &amp; TEXT(I8, "+#,##0 ₽") &amp; " к кассе), обеспечив " &amp; TEXT(H9, "0.0%") &amp; " выполнения месячного плана!"</f>
        <v>🎯 ВЕРДИКТ СИМУЛЯТОРА: При изменении маркетинга на +30.0% и росте конверсии на +3.0%, выручка вырастет с 1,650,000 ₽ до 5,775,000 ₽ (+4,125,000 ₽ к кассе), обеспечив 115.5% выполнения месячного плана!</v>
      </c>
      <c r="J12" s="38"/>
    </row>
    <row r="13" ht="30.0" customHeight="1">
      <c r="A13" s="269" t="s">
        <v>1339</v>
      </c>
      <c r="B13" s="269"/>
      <c r="C13" s="269"/>
      <c r="D13" s="269"/>
      <c r="E13" s="269"/>
      <c r="F13" s="269"/>
      <c r="G13" s="39"/>
      <c r="H13" s="39"/>
      <c r="I13" s="38"/>
      <c r="J13" s="38"/>
    </row>
    <row r="14" ht="25.5" customHeight="1">
      <c r="A14" s="270" t="s">
        <v>1340</v>
      </c>
      <c r="B14" s="270" t="s">
        <v>1342</v>
      </c>
      <c r="C14" s="270" t="s">
        <v>1343</v>
      </c>
      <c r="D14" s="270" t="s">
        <v>1344</v>
      </c>
      <c r="E14" s="270" t="s">
        <v>1345</v>
      </c>
      <c r="F14" s="270" t="s">
        <v>1346</v>
      </c>
      <c r="G14" s="38"/>
      <c r="H14" s="38"/>
      <c r="I14" s="38"/>
      <c r="J14" s="38"/>
    </row>
    <row r="15" ht="27.0" customHeight="1">
      <c r="A15" s="271" t="s">
        <v>1351</v>
      </c>
      <c r="B15" s="272">
        <f>calc_simulator!B10</f>
        <v>3230796</v>
      </c>
      <c r="C15" s="273" t="s">
        <v>1352</v>
      </c>
      <c r="D15" s="273" t="str">
        <f>"90% гарантия (" &amp; TEXT(calc_simulator!B10, "#,##0 ₽") &amp; ")"</f>
        <v>90% гарантия (3,230,796 ₽)</v>
      </c>
      <c r="E15" s="274" t="s">
        <v>1357</v>
      </c>
      <c r="F15" s="275" t="s">
        <v>1358</v>
      </c>
      <c r="G15" s="38"/>
      <c r="H15" s="38"/>
      <c r="I15" s="38"/>
      <c r="J15" s="38"/>
    </row>
    <row r="16" ht="27.0" customHeight="1">
      <c r="A16" s="271" t="s">
        <v>1362</v>
      </c>
      <c r="B16" s="276">
        <f>calc_simulator!B11</f>
        <v>4187250</v>
      </c>
      <c r="C16" s="273" t="s">
        <v>1364</v>
      </c>
      <c r="D16" s="273" t="str">
        <f>"50% медиана (" &amp; TEXT(calc_simulator!B11, "#,##0 ₽") &amp; ")"</f>
        <v>50% медиана (4,187,250 ₽)</v>
      </c>
      <c r="E16" s="274" t="s">
        <v>1370</v>
      </c>
      <c r="F16" s="275" t="s">
        <v>1371</v>
      </c>
      <c r="G16" s="38"/>
      <c r="H16" s="38"/>
      <c r="I16" s="38"/>
      <c r="J16" s="38"/>
    </row>
    <row r="17" ht="27.0" customHeight="1">
      <c r="A17" s="271" t="s">
        <v>1373</v>
      </c>
      <c r="B17" s="278">
        <f>calc_simulator!B12</f>
        <v>5013195</v>
      </c>
      <c r="C17" s="273" t="s">
        <v>1374</v>
      </c>
      <c r="D17" s="273" t="str">
        <f>"Таргет с ИИ (" &amp; TEXT(calc_simulator!B12, "#,##0 ₽") &amp; ")"</f>
        <v>Таргет с ИИ (5,013,195 ₽)</v>
      </c>
      <c r="E17" s="274" t="s">
        <v>1381</v>
      </c>
      <c r="F17" s="275" t="s">
        <v>1382</v>
      </c>
      <c r="G17" s="38"/>
      <c r="H17" s="38"/>
      <c r="I17" s="38"/>
      <c r="J17" s="38"/>
    </row>
    <row r="18" ht="27.0" customHeight="1">
      <c r="A18" s="280" t="s">
        <v>1383</v>
      </c>
      <c r="B18" s="281">
        <f>calc_simulator!B13</f>
        <v>0.72</v>
      </c>
      <c r="C18" s="274" t="s">
        <v>1387</v>
      </c>
      <c r="D18" s="274" t="str">
        <f>calc_simulator!B14</f>
        <v>🟢 ВЫСОКАЯ ВЕРОЯТНОСТЬ</v>
      </c>
      <c r="E18" s="274" t="s">
        <v>1393</v>
      </c>
      <c r="F18" s="274" t="s">
        <v>1394</v>
      </c>
      <c r="G18" s="38"/>
      <c r="H18" s="38"/>
      <c r="I18" s="38"/>
      <c r="J18" s="38"/>
    </row>
    <row r="19" ht="15.0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</row>
    <row r="20" ht="1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D4"/>
    <mergeCell ref="F4:I4"/>
    <mergeCell ref="A12:I12"/>
  </mergeCells>
  <dataValidations>
    <dataValidation type="list" allowBlank="1" sqref="C3">
      <formula1>"1. Консервативный (+15% бюджет,+2% CR,+0 КАМ),2. Базовый (+30% бюджет,+3% CR,+1 КАМ),3. Агрессивный (+50% бюджет,+5% CR,+2 КАМ),4. Ручной ввод (Custom)"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838"/>
    <outlinePr summaryBelow="0" summaryRight="0"/>
  </sheetPr>
  <sheetViews>
    <sheetView workbookViewId="0"/>
  </sheetViews>
  <sheetFormatPr customHeight="1" defaultColWidth="12.63" defaultRowHeight="15.0"/>
  <cols>
    <col customWidth="1" min="1" max="1" width="88.63"/>
    <col customWidth="1" min="2" max="2" width="19.88"/>
    <col customWidth="1" min="3" max="3" width="28.63"/>
    <col customWidth="1" min="4" max="4" width="26.13"/>
    <col customWidth="1" min="5" max="5" width="24.38"/>
    <col customWidth="1" min="6" max="6" width="34.13"/>
    <col customWidth="1" min="7" max="7" width="19.75"/>
    <col customWidth="1" min="8" max="8" width="18.38"/>
    <col customWidth="1" min="9" max="9" width="15.5"/>
  </cols>
  <sheetData>
    <row r="1" ht="28.5" customHeight="1">
      <c r="A1" s="245" t="s">
        <v>1170</v>
      </c>
    </row>
    <row r="2" ht="22.5" customHeight="1">
      <c r="A2" s="14" t="s">
        <v>813</v>
      </c>
      <c r="B2" s="14" t="s">
        <v>814</v>
      </c>
      <c r="C2" s="14" t="s">
        <v>815</v>
      </c>
      <c r="D2" s="14" t="s">
        <v>816</v>
      </c>
      <c r="E2" s="14" t="s">
        <v>817</v>
      </c>
      <c r="F2" s="14" t="s">
        <v>818</v>
      </c>
      <c r="G2" s="14" t="s">
        <v>819</v>
      </c>
      <c r="H2" s="14" t="s">
        <v>820</v>
      </c>
      <c r="I2" s="14" t="s">
        <v>821</v>
      </c>
    </row>
    <row r="3" ht="18.0" customHeight="1">
      <c r="A3" s="247" t="s">
        <v>1175</v>
      </c>
      <c r="B3" s="247" t="s">
        <v>1176</v>
      </c>
      <c r="C3" s="247" t="s">
        <v>1177</v>
      </c>
      <c r="D3" s="247" t="s">
        <v>1178</v>
      </c>
      <c r="E3" s="247" t="s">
        <v>1179</v>
      </c>
      <c r="F3" s="247" t="s">
        <v>1180</v>
      </c>
    </row>
    <row r="4" ht="24.0" customHeight="1">
      <c r="A4" s="248" t="s">
        <v>1182</v>
      </c>
      <c r="B4" s="249">
        <v>48250.0</v>
      </c>
      <c r="C4" s="252">
        <f>COUNTIF(raw_deals!$A$2:$A1000, "?*")</f>
        <v>11</v>
      </c>
      <c r="D4" s="248" t="s">
        <v>1197</v>
      </c>
      <c r="E4" s="248" t="s">
        <v>1198</v>
      </c>
      <c r="F4" s="248" t="s">
        <v>1199</v>
      </c>
    </row>
    <row r="5" ht="15.75" customHeight="1"/>
    <row r="6" ht="19.5" customHeight="1">
      <c r="A6" s="253" t="s">
        <v>1200</v>
      </c>
    </row>
    <row r="7" ht="18.0" customHeight="1">
      <c r="A7" s="201" t="s">
        <v>1201</v>
      </c>
      <c r="B7" s="201" t="s">
        <v>1202</v>
      </c>
      <c r="C7" s="201" t="s">
        <v>1203</v>
      </c>
      <c r="D7" s="201" t="s">
        <v>1204</v>
      </c>
      <c r="E7" s="201" t="s">
        <v>1205</v>
      </c>
      <c r="F7" s="201" t="s">
        <v>1206</v>
      </c>
      <c r="G7" s="201" t="s">
        <v>1207</v>
      </c>
      <c r="H7" s="201" t="s">
        <v>1208</v>
      </c>
    </row>
    <row r="8" ht="16.5" customHeight="1">
      <c r="A8" s="254" t="s">
        <v>1209</v>
      </c>
      <c r="B8" s="22" t="s">
        <v>1210</v>
      </c>
      <c r="C8" s="22" t="s">
        <v>1211</v>
      </c>
      <c r="D8" s="22" t="s">
        <v>1212</v>
      </c>
      <c r="E8" s="22" t="s">
        <v>1213</v>
      </c>
      <c r="F8" s="22" t="s">
        <v>1214</v>
      </c>
      <c r="G8" s="22" t="s">
        <v>1215</v>
      </c>
      <c r="H8" s="232" t="s">
        <v>1216</v>
      </c>
    </row>
    <row r="9" ht="16.5" customHeight="1">
      <c r="A9" s="254" t="s">
        <v>1217</v>
      </c>
      <c r="B9" s="22" t="s">
        <v>1218</v>
      </c>
      <c r="C9" s="22" t="s">
        <v>1219</v>
      </c>
      <c r="D9" s="22" t="s">
        <v>1220</v>
      </c>
      <c r="E9" s="22" t="s">
        <v>1213</v>
      </c>
      <c r="F9" s="22" t="s">
        <v>1221</v>
      </c>
      <c r="G9" s="22" t="s">
        <v>1222</v>
      </c>
      <c r="H9" s="232" t="s">
        <v>1223</v>
      </c>
    </row>
    <row r="10" ht="16.5" customHeight="1">
      <c r="A10" s="254" t="s">
        <v>1224</v>
      </c>
      <c r="B10" s="22" t="s">
        <v>1225</v>
      </c>
      <c r="C10" s="22" t="s">
        <v>1226</v>
      </c>
      <c r="D10" s="22" t="s">
        <v>1227</v>
      </c>
      <c r="E10" s="22" t="s">
        <v>1228</v>
      </c>
      <c r="F10" s="22" t="s">
        <v>1229</v>
      </c>
      <c r="G10" s="22" t="s">
        <v>1229</v>
      </c>
      <c r="H10" s="232" t="s">
        <v>1230</v>
      </c>
    </row>
    <row r="11" ht="16.5" customHeight="1">
      <c r="A11" s="254" t="s">
        <v>1231</v>
      </c>
      <c r="B11" s="22" t="s">
        <v>1232</v>
      </c>
      <c r="C11" s="22" t="s">
        <v>1233</v>
      </c>
      <c r="D11" s="22" t="s">
        <v>1234</v>
      </c>
      <c r="E11" s="22" t="s">
        <v>1235</v>
      </c>
      <c r="F11" s="22" t="s">
        <v>1229</v>
      </c>
      <c r="G11" s="22" t="s">
        <v>1229</v>
      </c>
      <c r="H11" s="232" t="s">
        <v>1236</v>
      </c>
    </row>
    <row r="12" ht="15.75" customHeight="1"/>
    <row r="13" ht="15.75" customHeight="1"/>
    <row r="14" ht="19.5" customHeight="1">
      <c r="A14" s="205" t="s">
        <v>1237</v>
      </c>
    </row>
    <row r="15" ht="18.0" customHeight="1">
      <c r="A15" s="206" t="s">
        <v>1238</v>
      </c>
      <c r="B15" s="206" t="s">
        <v>1239</v>
      </c>
      <c r="C15" s="206" t="s">
        <v>1240</v>
      </c>
      <c r="D15" s="206" t="s">
        <v>1241</v>
      </c>
      <c r="E15" s="206" t="s">
        <v>1242</v>
      </c>
      <c r="F15" s="206" t="s">
        <v>1243</v>
      </c>
      <c r="G15" s="206" t="s">
        <v>1244</v>
      </c>
      <c r="H15" s="206" t="s">
        <v>1002</v>
      </c>
    </row>
    <row r="16" ht="16.5" customHeight="1">
      <c r="A16" s="254" t="s">
        <v>1245</v>
      </c>
      <c r="B16" s="22" t="s">
        <v>1246</v>
      </c>
      <c r="C16" s="22" t="s">
        <v>1247</v>
      </c>
      <c r="D16" s="22" t="s">
        <v>1248</v>
      </c>
      <c r="E16" s="22" t="s">
        <v>1249</v>
      </c>
      <c r="F16" s="22" t="s">
        <v>1250</v>
      </c>
      <c r="G16" s="22" t="s">
        <v>1251</v>
      </c>
      <c r="H16" s="232" t="s">
        <v>1252</v>
      </c>
    </row>
    <row r="17" ht="16.5" customHeight="1">
      <c r="A17" s="254" t="s">
        <v>1253</v>
      </c>
      <c r="B17" s="22" t="s">
        <v>1254</v>
      </c>
      <c r="C17" s="22" t="s">
        <v>1255</v>
      </c>
      <c r="D17" s="22" t="s">
        <v>1256</v>
      </c>
      <c r="E17" s="22" t="s">
        <v>1257</v>
      </c>
      <c r="F17" s="22" t="s">
        <v>1258</v>
      </c>
      <c r="G17" s="22" t="s">
        <v>1259</v>
      </c>
      <c r="H17" s="232" t="s">
        <v>1260</v>
      </c>
    </row>
    <row r="18" ht="16.5" customHeight="1">
      <c r="A18" s="254" t="s">
        <v>1261</v>
      </c>
      <c r="B18" s="22" t="s">
        <v>1262</v>
      </c>
      <c r="C18" s="22" t="s">
        <v>1263</v>
      </c>
      <c r="D18" s="22" t="s">
        <v>1264</v>
      </c>
      <c r="E18" s="22" t="s">
        <v>1265</v>
      </c>
      <c r="F18" s="22" t="s">
        <v>1266</v>
      </c>
      <c r="G18" s="22" t="s">
        <v>1267</v>
      </c>
      <c r="H18" s="232" t="s">
        <v>1268</v>
      </c>
    </row>
    <row r="19" ht="15.75" customHeight="1"/>
    <row r="20" ht="15.75" customHeight="1"/>
    <row r="21" ht="19.5" customHeight="1">
      <c r="A21" s="214" t="s">
        <v>1269</v>
      </c>
    </row>
    <row r="22" ht="18.0" customHeight="1">
      <c r="A22" s="215" t="s">
        <v>1270</v>
      </c>
      <c r="B22" s="215" t="s">
        <v>1271</v>
      </c>
      <c r="C22" s="215" t="s">
        <v>1272</v>
      </c>
      <c r="D22" s="215" t="s">
        <v>1273</v>
      </c>
      <c r="E22" s="215" t="s">
        <v>1274</v>
      </c>
      <c r="F22" s="215" t="s">
        <v>1275</v>
      </c>
      <c r="G22" s="215" t="s">
        <v>1276</v>
      </c>
      <c r="H22" s="215" t="s">
        <v>1277</v>
      </c>
      <c r="I22" s="215" t="s">
        <v>1278</v>
      </c>
    </row>
    <row r="23" ht="16.5" customHeight="1">
      <c r="A23" s="22" t="str">
        <f>raw_audit_log!A2</f>
        <v>EV-901</v>
      </c>
      <c r="B23" s="22" t="str">
        <f>TEXT(raw_audit_log!B2,"YYYY-MM-DD HH:mm:ss")</f>
        <v>2026-09-20 18:45:44</v>
      </c>
      <c r="C23" s="22" t="str">
        <f>raw_audit_log!C2</f>
        <v>etl-service@n8n.internal</v>
      </c>
      <c r="D23" s="22" t="str">
        <f>raw_audit_log!D2</f>
        <v>raw_deals</v>
      </c>
      <c r="E23" s="22" t="str">
        <f>raw_audit_log!E2</f>
        <v>REVERSE_ETL_UPDATE</v>
      </c>
      <c r="F23" s="22" t="str">
        <f>raw_audit_log!G2</f>
        <v>manager_id</v>
      </c>
      <c r="G23" s="22">
        <f>raw_audit_log!H2</f>
        <v>101</v>
      </c>
      <c r="H23" s="22">
        <f>raw_audit_log!I2</f>
        <v>102</v>
      </c>
      <c r="I23" s="232" t="str">
        <f>raw_audit_log!K2</f>
        <v>SUCCESS</v>
      </c>
    </row>
    <row r="24" ht="16.5" customHeight="1">
      <c r="A24" s="22" t="str">
        <f>raw_audit_log!A3</f>
        <v>EV-902</v>
      </c>
      <c r="B24" s="22" t="str">
        <f>TEXT(raw_audit_log!B3,"YYYY-MM-DD HH:mm:ss")</f>
        <v>2026-09-21 00:45:44</v>
      </c>
      <c r="C24" s="22" t="str">
        <f>raw_audit_log!C3</f>
        <v>finance@revops-platform.io</v>
      </c>
      <c r="D24" s="22" t="str">
        <f>raw_audit_log!D3</f>
        <v>raw_invoices</v>
      </c>
      <c r="E24" s="22" t="str">
        <f>raw_audit_log!E3</f>
        <v>INVOICE_STATUS_CHANGE</v>
      </c>
      <c r="F24" s="22" t="str">
        <f>raw_audit_log!G3</f>
        <v>status</v>
      </c>
      <c r="G24" s="22" t="str">
        <f>raw_audit_log!H3</f>
        <v>pending</v>
      </c>
      <c r="H24" s="22" t="str">
        <f>raw_audit_log!I3</f>
        <v>overdue</v>
      </c>
      <c r="I24" s="232" t="str">
        <f>raw_audit_log!K3</f>
        <v>SUCCESS</v>
      </c>
    </row>
    <row r="25" ht="16.5" customHeight="1">
      <c r="A25" s="22" t="str">
        <f>raw_audit_log!A4</f>
        <v>EV-903</v>
      </c>
      <c r="B25" s="22" t="str">
        <f>TEXT(raw_audit_log!B4,"YYYY-MM-DD HH:mm:ss")</f>
        <v>2026-09-21 06:45:44</v>
      </c>
      <c r="C25" s="22" t="str">
        <f>raw_audit_log!C4</f>
        <v>sec-admin@revops-platform.io</v>
      </c>
      <c r="D25" s="22" t="str">
        <f>raw_audit_log!D4</f>
        <v>calc_engine</v>
      </c>
      <c r="E25" s="22" t="str">
        <f>raw_audit_log!E4</f>
        <v>SCHEMA_EXPANSION</v>
      </c>
      <c r="F25" s="22" t="str">
        <f>raw_audit_log!G4</f>
        <v>BLOCK_II_PAYROLL</v>
      </c>
      <c r="G25" s="22" t="str">
        <f>raw_audit_log!H4</f>
        <v>N/A</v>
      </c>
      <c r="H25" s="22" t="str">
        <f>raw_audit_log!I4</f>
        <v>ACTIVE</v>
      </c>
      <c r="I25" s="232" t="str">
        <f>raw_audit_log!K4</f>
        <v>PROTECTED</v>
      </c>
    </row>
    <row r="26" ht="16.5" customHeight="1">
      <c r="A26" s="22" t="str">
        <f>raw_audit_log!A5</f>
        <v>EV-904</v>
      </c>
      <c r="B26" s="22" t="str">
        <f>TEXT(raw_audit_log!B5,"YYYY-MM-DD HH:mm:ss")</f>
        <v>2026-09-21 16:45:44</v>
      </c>
      <c r="C26" s="22" t="str">
        <f>raw_audit_log!C5</f>
        <v>sec-admin@revops-platform.io</v>
      </c>
      <c r="D26" s="22" t="str">
        <f>raw_audit_log!D5</f>
        <v>raw_deals</v>
      </c>
      <c r="E26" s="22" t="str">
        <f>raw_audit_log!E5</f>
        <v>PII_MASKING_APPLIED</v>
      </c>
      <c r="F26" s="22" t="str">
        <f>raw_audit_log!G5</f>
        <v>client_name</v>
      </c>
      <c r="G26" s="22" t="str">
        <f>raw_audit_log!H5</f>
        <v>ClearText</v>
      </c>
      <c r="H26" s="22" t="str">
        <f>raw_audit_log!I5</f>
        <v>SHA256_Hashed</v>
      </c>
      <c r="I26" s="232" t="str">
        <f>raw_audit_log!K5</f>
        <v>RESTRICTED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A55" s="22">
        <v>43.0</v>
      </c>
      <c r="B55" s="22" t="s">
        <v>542</v>
      </c>
      <c r="C55" s="22" t="s">
        <v>1292</v>
      </c>
      <c r="D55" s="22" t="s">
        <v>1293</v>
      </c>
      <c r="E55" s="262">
        <v>1.0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6:I6"/>
    <mergeCell ref="A14:I14"/>
    <mergeCell ref="A21:I21"/>
  </mergeCells>
  <hyperlinks>
    <hyperlink display="📄 1. One-Pager" location="null!A1" ref="A2"/>
    <hyperlink display="⚡ 2. Пульс компании" location="null!A1" ref="B2"/>
    <hyperlink display="📋 3. Пульт РОПа" location="null!A1" ref="C2"/>
    <hyperlink display="💸 4. 7 Грехов ОП" location="null!A1" ref="D2"/>
    <hyperlink display="🎯 5. Action Center" location="null!A1" ref="E2"/>
    <hyperlink display="🎙️ 6. ИИ-Аудит" location="null!A1" ref="F2"/>
    <hyperlink display="⚡ 7. Экспресс 3 цифры" location="null!A1" ref="G2"/>
    <hyperlink display="🧪 8. QA Suite" location="null!A1" ref="H2"/>
    <hyperlink display="⚙️ 9. Настройки" location="null!A1" ref="I2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0"/>
  <cols>
    <col customWidth="1" min="1" max="1" width="100.63"/>
    <col customWidth="1" min="2" max="2" width="23.38"/>
    <col customWidth="1" min="3" max="3" width="17.5"/>
    <col customWidth="1" min="4" max="4" width="20.5"/>
    <col customWidth="1" min="5" max="5" width="16.5"/>
    <col customWidth="1" min="6" max="6" width="16.63"/>
    <col customWidth="1" min="7" max="7" width="49.5"/>
    <col customWidth="1" min="8" max="8" width="13.38"/>
    <col customWidth="1" min="9" max="9" width="12.38"/>
    <col customWidth="1" min="10" max="10" width="13.38"/>
    <col customWidth="1" min="11" max="11" width="17.13"/>
  </cols>
  <sheetData>
    <row r="1" ht="28.5" customHeight="1">
      <c r="A1" s="199" t="s">
        <v>1341</v>
      </c>
    </row>
    <row r="2" ht="25.5" customHeight="1">
      <c r="A2" s="277" t="str">
        <f>HYPERLINK("#gid=777000101","💸 ДИАГНОСТИКА УТЕЧЕК") &amp; "  |  " &amp; HYPERLINK("#gid=1847360667","⚡ Пульс") &amp; "  |  " &amp; HYPERLINK("#gid=1005455422","🎯 Воронка") &amp; "  |  " &amp; HYPERLINK("#gid=1716977957","🌐 Маркетинг") &amp; "  |  " &amp; HYPERLINK("#gid=34927252","💳 Финансы") &amp; "  |  " &amp; HYPERLINK("#gid=120000002","👥 Команда") &amp; "  |  " &amp; HYPERLINK("#gid=1808346887","🔮 Симулятор") &amp; "  |  " &amp; HYPERLINK("#gid=1689499688","🚨 Радар") &amp; "  |  " &amp; HYPERLINK("#gid=985355776","⚙️ Настройки")</f>
        <v>💸 ДИАГНОСТИКА УТЕЧЕК  |  ⚡ Пульс  |  🎯 Воронка  |  🌐 Маркетинг  |  💳 Финансы  |  👥 Команда  |  🔮 Симулятор  |  🚨 Радар  |  ⚙️ Настройки</v>
      </c>
      <c r="B2" s="279" t="s">
        <v>1372</v>
      </c>
      <c r="C2" s="279" t="s">
        <v>1375</v>
      </c>
      <c r="D2" s="279" t="s">
        <v>1380</v>
      </c>
      <c r="E2" s="279" t="s">
        <v>1384</v>
      </c>
      <c r="F2" s="279" t="s">
        <v>1385</v>
      </c>
      <c r="G2" s="279" t="s">
        <v>1386</v>
      </c>
      <c r="H2" s="279" t="s">
        <v>1388</v>
      </c>
      <c r="I2" s="279" t="s">
        <v>1390</v>
      </c>
    </row>
    <row r="3" ht="15.75" customHeight="1">
      <c r="A3" s="229" t="s">
        <v>1396</v>
      </c>
      <c r="B3" s="229" t="s">
        <v>1397</v>
      </c>
      <c r="C3" s="229" t="s">
        <v>1398</v>
      </c>
      <c r="D3" s="229" t="s">
        <v>1399</v>
      </c>
      <c r="E3" s="229" t="s">
        <v>27</v>
      </c>
      <c r="F3" s="229" t="s">
        <v>1400</v>
      </c>
      <c r="G3" s="229" t="s">
        <v>1401</v>
      </c>
      <c r="H3" s="229" t="s">
        <v>1402</v>
      </c>
      <c r="I3" s="229" t="s">
        <v>1403</v>
      </c>
    </row>
    <row r="4" ht="15.75" customHeight="1">
      <c r="A4" s="282">
        <f>IFERROR((calc_engine!B19 - SUM(raw_marketing!$E$2:$E1000))/MAX(SUM(raw_marketing!$E$2:$E1000), 1), 0)</f>
        <v>5.875</v>
      </c>
      <c r="B4" s="283">
        <f>calc_engine!B28</f>
        <v>6750000</v>
      </c>
      <c r="C4" s="284">
        <f>calc_engine!B31</f>
        <v>0.8205128205</v>
      </c>
      <c r="D4" s="285">
        <f>calc_engine!B32</f>
        <v>9.5</v>
      </c>
      <c r="E4" s="284">
        <f>calc_engine!B33</f>
        <v>0.6666666667</v>
      </c>
      <c r="F4" s="284">
        <f>calc_engine!B35</f>
        <v>0.4</v>
      </c>
      <c r="G4" s="284">
        <f>calc_engine!B24</f>
        <v>0.5</v>
      </c>
      <c r="H4" s="283">
        <f>calc_engine!B37</f>
        <v>120000</v>
      </c>
      <c r="I4" s="283">
        <f>calc_engine!B38</f>
        <v>1060000</v>
      </c>
    </row>
    <row r="5" ht="15.75" customHeight="1"/>
    <row r="6" ht="15.75" customHeight="1">
      <c r="A6" s="286" t="s">
        <v>1422</v>
      </c>
    </row>
    <row r="7" ht="15.75" customHeight="1">
      <c r="A7" s="287" t="s">
        <v>1423</v>
      </c>
      <c r="B7" s="287" t="s">
        <v>1424</v>
      </c>
      <c r="C7" s="287" t="s">
        <v>1425</v>
      </c>
      <c r="D7" s="287" t="s">
        <v>1426</v>
      </c>
      <c r="E7" s="287" t="s">
        <v>1427</v>
      </c>
      <c r="F7" s="287" t="s">
        <v>1428</v>
      </c>
      <c r="G7" s="287" t="s">
        <v>1429</v>
      </c>
      <c r="H7" s="287" t="s">
        <v>1431</v>
      </c>
    </row>
    <row r="8" ht="15.75" customHeight="1">
      <c r="A8" s="22" t="s">
        <v>1434</v>
      </c>
      <c r="B8" s="189">
        <f>SUM(raw_marketing!$H$2:$H1000)</f>
        <v>103</v>
      </c>
      <c r="C8" s="151">
        <f>SUM(raw_marketing!$E$2:$E1000)</f>
        <v>240000</v>
      </c>
      <c r="D8" s="149">
        <v>1.0</v>
      </c>
      <c r="E8" s="149">
        <v>1.0</v>
      </c>
      <c r="F8" s="22" t="str">
        <f>'🎯 Воронка_и_SLA'!D4</f>
        <v>24 ч</v>
      </c>
      <c r="G8" s="22" t="str">
        <f>'🎯 Воронка_и_SLA'!E4</f>
        <v>0.0 ч</v>
      </c>
      <c r="H8" s="254" t="str">
        <f>'🎯 Воронка_и_SLA'!F4</f>
        <v>🟢 В НОРМЕ</v>
      </c>
    </row>
    <row r="9" ht="15.75" customHeight="1">
      <c r="A9" s="22" t="s">
        <v>1441</v>
      </c>
      <c r="B9" s="189">
        <f>calc_engine!B3</f>
        <v>1</v>
      </c>
      <c r="C9" s="151">
        <f>calc_engine!C3</f>
        <v>120000</v>
      </c>
      <c r="D9" s="149">
        <f t="shared" ref="D9:D13" si="1">IFERROR(B9/MAX(B8,1),0)</f>
        <v>0.009708737864</v>
      </c>
      <c r="E9" s="149">
        <f t="shared" ref="E9:E13" si="2">IFERROR(B9/MAX($B$8,1),0)</f>
        <v>0.009708737864</v>
      </c>
      <c r="F9" s="22" t="str">
        <f>'🎯 Воронка_и_SLA'!D5</f>
        <v>48 ч</v>
      </c>
      <c r="G9" s="22" t="str">
        <f>'🎯 Воронка_и_SLA'!E5</f>
        <v>24.0 ч</v>
      </c>
      <c r="H9" s="254" t="str">
        <f>'🎯 Воронка_и_SLA'!F5</f>
        <v>🟢 В НОРМЕ</v>
      </c>
    </row>
    <row r="10" ht="15.75" customHeight="1">
      <c r="A10" s="22" t="s">
        <v>1457</v>
      </c>
      <c r="B10" s="189">
        <f>calc_engine!B4</f>
        <v>1</v>
      </c>
      <c r="C10" s="151">
        <f>calc_engine!C4</f>
        <v>280000</v>
      </c>
      <c r="D10" s="149">
        <f t="shared" si="1"/>
        <v>1</v>
      </c>
      <c r="E10" s="149">
        <f t="shared" si="2"/>
        <v>0.009708737864</v>
      </c>
      <c r="F10" s="22" t="str">
        <f>'🎯 Воронка_и_SLA'!D6</f>
        <v>120 ч</v>
      </c>
      <c r="G10" s="22" t="str">
        <f>'🎯 Воронка_и_SLA'!E6</f>
        <v>72.0 ч</v>
      </c>
      <c r="H10" s="254" t="str">
        <f>'🎯 Воронка_и_SLA'!F6</f>
        <v>🟢 В НОРМЕ</v>
      </c>
    </row>
    <row r="11" ht="15.75" customHeight="1">
      <c r="A11" s="22" t="s">
        <v>1458</v>
      </c>
      <c r="B11" s="189">
        <f>calc_engine!B5</f>
        <v>2</v>
      </c>
      <c r="C11" s="151">
        <f>calc_engine!C5</f>
        <v>3850000</v>
      </c>
      <c r="D11" s="149">
        <f t="shared" si="1"/>
        <v>2</v>
      </c>
      <c r="E11" s="149">
        <f t="shared" si="2"/>
        <v>0.01941747573</v>
      </c>
      <c r="F11" s="22" t="str">
        <f>'🎯 Воронка_и_SLA'!D7</f>
        <v>48 ч</v>
      </c>
      <c r="G11" s="22" t="str">
        <f>'🎯 Воронка_и_SLA'!E7</f>
        <v>312.0 ч</v>
      </c>
      <c r="H11" s="254" t="str">
        <f>'🎯 Воронка_и_SLA'!F7</f>
        <v>⚠️ ПРОСРОЧЕН</v>
      </c>
    </row>
    <row r="12" ht="15.75" customHeight="1">
      <c r="A12" s="22" t="s">
        <v>1459</v>
      </c>
      <c r="B12" s="189">
        <f>calc_engine!B6</f>
        <v>2</v>
      </c>
      <c r="C12" s="151">
        <f>calc_engine!C6</f>
        <v>330000</v>
      </c>
      <c r="D12" s="149">
        <f t="shared" si="1"/>
        <v>1</v>
      </c>
      <c r="E12" s="149">
        <f t="shared" si="2"/>
        <v>0.01941747573</v>
      </c>
      <c r="F12" s="22" t="str">
        <f>'🎯 Воронка_и_SLA'!D8</f>
        <v>72 ч</v>
      </c>
      <c r="G12" s="22" t="str">
        <f>'🎯 Воронка_и_SLA'!E8</f>
        <v>708.0 ч</v>
      </c>
      <c r="H12" s="254" t="str">
        <f>'🎯 Воронка_и_SLA'!F8</f>
        <v>⚠️ ПРОСРОЧЕН</v>
      </c>
    </row>
    <row r="13" ht="15.75" customHeight="1">
      <c r="A13" s="22" t="s">
        <v>1469</v>
      </c>
      <c r="B13" s="189">
        <f>calc_engine!B22</f>
        <v>2</v>
      </c>
      <c r="C13" s="151">
        <f>calc_engine!B19</f>
        <v>1650000</v>
      </c>
      <c r="D13" s="149">
        <f t="shared" si="1"/>
        <v>1</v>
      </c>
      <c r="E13" s="149">
        <f t="shared" si="2"/>
        <v>0.01941747573</v>
      </c>
      <c r="F13" s="22" t="str">
        <f>'🎯 Воронка_и_SLA'!D9</f>
        <v>—</v>
      </c>
      <c r="G13" s="22" t="str">
        <f>calc_engine!B25 &amp; " дн"</f>
        <v>11 дн</v>
      </c>
      <c r="H13" s="254" t="s">
        <v>1477</v>
      </c>
    </row>
    <row r="14" ht="15.75" customHeight="1"/>
    <row r="15" ht="15.75" customHeight="1">
      <c r="A15" s="288" t="s">
        <v>1480</v>
      </c>
    </row>
    <row r="16" ht="15.75" customHeight="1">
      <c r="A16" s="289" t="s">
        <v>1481</v>
      </c>
      <c r="B16" s="289" t="s">
        <v>584</v>
      </c>
      <c r="C16" s="289" t="s">
        <v>585</v>
      </c>
      <c r="D16" s="289" t="s">
        <v>1482</v>
      </c>
      <c r="E16" s="289" t="s">
        <v>998</v>
      </c>
      <c r="F16" s="289" t="s">
        <v>25</v>
      </c>
      <c r="G16" s="289" t="s">
        <v>1399</v>
      </c>
      <c r="H16" s="289" t="s">
        <v>27</v>
      </c>
      <c r="I16" s="289" t="s">
        <v>1483</v>
      </c>
      <c r="J16" s="289" t="s">
        <v>1484</v>
      </c>
      <c r="K16" s="289" t="s">
        <v>1485</v>
      </c>
    </row>
    <row r="17" ht="15.75" customHeight="1">
      <c r="A17" s="22">
        <v>101.0</v>
      </c>
      <c r="B17" s="22" t="s">
        <v>588</v>
      </c>
      <c r="C17" s="22" t="s">
        <v>589</v>
      </c>
      <c r="D17" s="189">
        <f>calc_engine!D43</f>
        <v>1</v>
      </c>
      <c r="E17" s="151">
        <f>calc_engine!E43</f>
        <v>850000</v>
      </c>
      <c r="F17" s="189">
        <f>calc_engine!F43</f>
        <v>1</v>
      </c>
      <c r="G17" s="290">
        <f>calc_engine!G43</f>
        <v>11</v>
      </c>
      <c r="H17" s="149">
        <f>calc_engine!H43</f>
        <v>1</v>
      </c>
      <c r="I17" s="151">
        <f>SUMIFS(raw_deals!$C$2:$C1000, raw_deals!$H$2:$H1000, 101, raw_deals!$D$2:$D1000, 6)</f>
        <v>1200000</v>
      </c>
      <c r="J17" s="149">
        <f>IFERROR(D17/VLOOKUP(A17, '⚙️ Настройки'!$A$21:$D$23, 4, FALSE), 0)</f>
        <v>0.2</v>
      </c>
      <c r="K17" s="254" t="str">
        <f t="shared" ref="K17:K19" si="3">IF(AND(C17="ROP", J17&gt;0.7), "🔴 ДЕЛЕГИРОВАТЬ НА КАМ", IF(G17&lt;9, "⚠️ ТРЕНИНГ СКРИПТА", IF(J17&gt;1, "🔴 ПЕРЕГРУЗ", "🟢 В НОРМЕ")))</f>
        <v>🟢 В НОРМЕ</v>
      </c>
    </row>
    <row r="18" ht="15.75" customHeight="1">
      <c r="A18" s="22">
        <v>102.0</v>
      </c>
      <c r="B18" s="22" t="s">
        <v>591</v>
      </c>
      <c r="C18" s="22" t="s">
        <v>592</v>
      </c>
      <c r="D18" s="189">
        <f>calc_engine!D44</f>
        <v>2</v>
      </c>
      <c r="E18" s="151">
        <f>calc_engine!E44</f>
        <v>3280000</v>
      </c>
      <c r="F18" s="189">
        <f>calc_engine!F44</f>
        <v>3</v>
      </c>
      <c r="G18" s="290">
        <f>calc_engine!G44</f>
        <v>7</v>
      </c>
      <c r="H18" s="149">
        <f>calc_engine!H44</f>
        <v>0.3333333333</v>
      </c>
      <c r="I18" s="151">
        <f>SUMIFS(raw_deals!$C$2:$C1000, raw_deals!$H$2:$H1000, 102, raw_deals!$D$2:$D1000, 6)</f>
        <v>450000</v>
      </c>
      <c r="J18" s="149">
        <f>IFERROR(D18/VLOOKUP(A18, '⚙️ Настройки'!$A$21:$D$23, 4, FALSE), 0)</f>
        <v>0.08</v>
      </c>
      <c r="K18" s="254" t="str">
        <f t="shared" si="3"/>
        <v>⚠️ ТРЕНИНГ СКРИПТА</v>
      </c>
    </row>
    <row r="19" ht="15.75" customHeight="1">
      <c r="A19" s="22">
        <v>103.0</v>
      </c>
      <c r="B19" s="22" t="s">
        <v>594</v>
      </c>
      <c r="C19" s="22" t="s">
        <v>595</v>
      </c>
      <c r="D19" s="189">
        <f>calc_engine!D45</f>
        <v>4</v>
      </c>
      <c r="E19" s="151">
        <f>calc_engine!E45</f>
        <v>1400000</v>
      </c>
      <c r="F19" s="189">
        <f>calc_engine!F45</f>
        <v>2</v>
      </c>
      <c r="G19" s="290">
        <f>calc_engine!G45</f>
        <v>12.5</v>
      </c>
      <c r="H19" s="149">
        <f>calc_engine!H45</f>
        <v>1</v>
      </c>
      <c r="I19" s="151">
        <f>SUMIFS(raw_deals!$C$2:$C1000, raw_deals!$H$2:$H1000, 103, raw_deals!$D$2:$D1000, 6)</f>
        <v>0</v>
      </c>
      <c r="J19" s="149">
        <f>IFERROR(D19/VLOOKUP(A19, '⚙️ Настройки'!$A$21:$D$23, 4, FALSE), 0)</f>
        <v>0.1</v>
      </c>
      <c r="K19" s="254" t="str">
        <f t="shared" si="3"/>
        <v>🟢 В НОРМЕ</v>
      </c>
    </row>
    <row r="20" ht="15.75" customHeight="1"/>
    <row r="21" ht="15.75" customHeight="1"/>
    <row r="22" ht="15.75" customHeight="1">
      <c r="A22" s="292" t="s">
        <v>1537</v>
      </c>
    </row>
    <row r="23" ht="15.75" customHeight="1">
      <c r="A23" s="293" t="s">
        <v>1538</v>
      </c>
      <c r="B23" s="293" t="s">
        <v>1539</v>
      </c>
      <c r="C23" s="293" t="s">
        <v>1540</v>
      </c>
      <c r="D23" s="293" t="s">
        <v>1541</v>
      </c>
      <c r="E23" s="293" t="s">
        <v>1542</v>
      </c>
      <c r="F23" s="293" t="s">
        <v>1543</v>
      </c>
      <c r="G23" s="293" t="s">
        <v>1544</v>
      </c>
    </row>
    <row r="24" ht="15.75" customHeight="1">
      <c r="A24" s="22" t="s">
        <v>601</v>
      </c>
      <c r="B24" s="22" t="str">
        <f>VLOOKUP(A24, '⚙️ Настройки'!$A$26:$C$29, 2, FALSE)</f>
        <v>Дорого / нет бюджета</v>
      </c>
      <c r="C24" s="189">
        <f>calc_engine!C74</f>
        <v>1</v>
      </c>
      <c r="D24" s="151">
        <f>calc_engine!D74</f>
        <v>600000</v>
      </c>
      <c r="E24" s="149">
        <f>VLOOKUP(A24, '⚙️ Настройки'!$A$26:$C$29, 3, FALSE)</f>
        <v>0.5</v>
      </c>
      <c r="F24" s="239">
        <f t="shared" ref="F24:F27" si="4">D24*E24</f>
        <v>300000</v>
      </c>
      <c r="G24" s="22" t="s">
        <v>1551</v>
      </c>
    </row>
    <row r="25" ht="15.75" customHeight="1">
      <c r="A25" s="22" t="s">
        <v>603</v>
      </c>
      <c r="B25" s="22" t="str">
        <f>VLOOKUP(A25, '⚙️ Настройки'!$A$26:$C$29, 2, FALSE)</f>
        <v>Выбрали конкурента</v>
      </c>
      <c r="C25" s="189">
        <f>calc_engine!C75</f>
        <v>1</v>
      </c>
      <c r="D25" s="151">
        <f>calc_engine!D75</f>
        <v>400000</v>
      </c>
      <c r="E25" s="149">
        <f>VLOOKUP(A25, '⚙️ Настройки'!$A$26:$C$29, 3, FALSE)</f>
        <v>0.35</v>
      </c>
      <c r="F25" s="239">
        <f t="shared" si="4"/>
        <v>140000</v>
      </c>
      <c r="G25" s="22" t="s">
        <v>1562</v>
      </c>
    </row>
    <row r="26" ht="15.75" customHeight="1">
      <c r="A26" s="22" t="s">
        <v>605</v>
      </c>
      <c r="B26" s="22" t="str">
        <f>VLOOKUP(A26, '⚙️ Настройки'!$A$26:$C$29, 2, FALSE)</f>
        <v>Не формат / нет потребности</v>
      </c>
      <c r="C26" s="189">
        <f>calc_engine!C76</f>
        <v>0</v>
      </c>
      <c r="D26" s="151">
        <f>calc_engine!D76</f>
        <v>0</v>
      </c>
      <c r="E26" s="149">
        <f>VLOOKUP(A26, '⚙️ Настройки'!$A$26:$C$29, 3, FALSE)</f>
        <v>0.1</v>
      </c>
      <c r="F26" s="239">
        <f t="shared" si="4"/>
        <v>0</v>
      </c>
      <c r="G26" s="22" t="s">
        <v>1580</v>
      </c>
    </row>
    <row r="27" ht="15.75" customHeight="1">
      <c r="A27" s="22" t="s">
        <v>607</v>
      </c>
      <c r="B27" s="22" t="str">
        <f>VLOOKUP(A27, '⚙️ Настройки'!$A$26:$C$29, 2, FALSE)</f>
        <v>Потеря контакта / недозвон</v>
      </c>
      <c r="C27" s="189">
        <f>calc_engine!C77</f>
        <v>0</v>
      </c>
      <c r="D27" s="151">
        <f>calc_engine!D77</f>
        <v>0</v>
      </c>
      <c r="E27" s="149">
        <f>VLOOKUP(A27, '⚙️ Настройки'!$A$26:$C$29, 3, FALSE)</f>
        <v>0.2</v>
      </c>
      <c r="F27" s="239">
        <f t="shared" si="4"/>
        <v>0</v>
      </c>
      <c r="G27" s="22" t="s">
        <v>1581</v>
      </c>
    </row>
    <row r="28" ht="15.75" customHeight="1">
      <c r="A28" s="254" t="s">
        <v>1582</v>
      </c>
      <c r="F28" s="242">
        <f>SUM(F24:F27)</f>
        <v>440000</v>
      </c>
      <c r="G28" s="296" t="s">
        <v>1583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6:H6"/>
    <mergeCell ref="A15:K15"/>
    <mergeCell ref="A22:G22"/>
  </mergeCells>
  <hyperlinks>
    <hyperlink display="📈 Когорты LTV &amp; Retention" location="'📈 Когорты_LTV'!A1" ref="B2"/>
    <hyperlink display="👥 Ресурсный План ОП" location="'👥 Ресурсный_План'!A1" ref="C2"/>
    <hyperlink display="🌐 Маркетинг &amp; Атрибуция" location="'🌐 Маркетинг_и_Трафик'!A1" ref="D2"/>
    <hyperlink display="🎯 Воронка &amp; SLA" location="'🎯 Воронка_и_SLA'!A1" ref="E2"/>
    <hyperlink display="📊 Юнит-Экономика" location="'📊 Юнит_Экономика'!A1" ref="F2"/>
    <hyperlink display="🎙️ ИИ-Аудит речи" location="'🎙️ ИИ_Аудит'!A1" ref="G2"/>
    <hyperlink display="🚨 Радар алертов" location="'🚨 Радар_Алертов'!A1" ref="H2"/>
    <hyperlink display="📋 Реестр задач" location="'📋 Задачи_и_Спринты'!A1" ref="I2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0"/>
  <cols>
    <col customWidth="1" min="1" max="1" width="73.5"/>
    <col customWidth="1" min="2" max="2" width="14.0"/>
    <col customWidth="1" min="3" max="3" width="15.88"/>
    <col customWidth="1" min="4" max="4" width="13.25"/>
    <col customWidth="1" min="5" max="5" width="13.0"/>
    <col customWidth="1" min="6" max="6" width="12.88"/>
    <col customWidth="1" min="7" max="8" width="14.5"/>
    <col customWidth="1" min="9" max="9" width="16.63"/>
    <col customWidth="1" min="10" max="10" width="38.25"/>
  </cols>
  <sheetData>
    <row r="1" ht="36.0" customHeight="1">
      <c r="A1" s="291" t="s">
        <v>1524</v>
      </c>
    </row>
    <row r="2" ht="25.5" customHeight="1"/>
    <row r="3" ht="12.0" customHeight="1">
      <c r="A3" s="201" t="s">
        <v>770</v>
      </c>
      <c r="B3" s="201" t="s">
        <v>1530</v>
      </c>
      <c r="C3" s="201" t="s">
        <v>1531</v>
      </c>
      <c r="D3" s="201" t="s">
        <v>1532</v>
      </c>
      <c r="E3" s="201" t="s">
        <v>1533</v>
      </c>
      <c r="F3" s="201" t="s">
        <v>1396</v>
      </c>
      <c r="G3" s="201" t="s">
        <v>1536</v>
      </c>
    </row>
    <row r="4" ht="25.5" customHeight="1">
      <c r="A4" s="283">
        <f>SUMIFS(raw_marketing!$E$2:$E1000, raw_marketing!$A$2:$A1000, "&gt;="&amp;'⚙️ Настройки'!$B$6, raw_marketing!$A$2:$A1000, "&lt;="&amp;'⚙️ Настройки'!$B$7)</f>
        <v>0</v>
      </c>
      <c r="B4" s="294">
        <f>SUMIFS(raw_marketing!$H$2:$H1000, raw_marketing!$A$2:$A1000, "&gt;="&amp;'⚙️ Настройки'!$B$6, raw_marketing!$A$2:$A1000, "&lt;="&amp;'⚙️ Настройки'!$B$7)</f>
        <v>0</v>
      </c>
      <c r="C4" s="294">
        <f>COUNTIFS(raw_deals!$D$2:$D1000, "&gt;=2", raw_deals!$D$2:$D1000, "&lt;=6", raw_deals!$G$2:$G1000, "&gt;="&amp;'⚙️ Настройки'!$B$6, raw_deals!$G$2:$G1000, "&lt;="&amp;'⚙️ Настройки'!$B$7)</f>
        <v>0</v>
      </c>
      <c r="D4" s="294">
        <f>COUNTIFS(raw_deals!$O$2:$O1000, TRUE, raw_deals!$G$2:$G1000, "&gt;="&amp;'⚙️ Настройки'!$B$6, raw_deals!$G$2:$G1000, "&lt;="&amp;'⚙️ Настройки'!$B$7)</f>
        <v>0</v>
      </c>
      <c r="E4" s="283">
        <f>SUMIFS(raw_deals!$C$2:$C1000, raw_deals!$O$2:$O1000, TRUE, raw_deals!$G$2:$G1000, "&gt;="&amp;'⚙️ Настройки'!$B$6, raw_deals!$G$2:$G1000, "&lt;="&amp;'⚙️ Настройки'!$B$7)</f>
        <v>0</v>
      </c>
      <c r="F4" s="282">
        <f>IFERROR((E4-A4)/MAX(A4,1), 0)</f>
        <v>0</v>
      </c>
      <c r="G4" s="283">
        <f>IFERROR(A4/MAX(D4,1), 0)</f>
        <v>0</v>
      </c>
    </row>
    <row r="5" ht="24.0" customHeight="1"/>
    <row r="6" ht="24.0" customHeight="1">
      <c r="A6" s="295" t="s">
        <v>1567</v>
      </c>
    </row>
    <row r="7" ht="24.0" customHeight="1">
      <c r="A7" s="206" t="s">
        <v>1568</v>
      </c>
      <c r="B7" s="206" t="s">
        <v>1569</v>
      </c>
      <c r="C7" s="206" t="s">
        <v>779</v>
      </c>
      <c r="D7" s="206" t="s">
        <v>1570</v>
      </c>
      <c r="E7" s="206" t="s">
        <v>1571</v>
      </c>
      <c r="F7" s="206" t="s">
        <v>1572</v>
      </c>
      <c r="G7" s="206" t="s">
        <v>1573</v>
      </c>
      <c r="H7" s="206" t="s">
        <v>1574</v>
      </c>
      <c r="I7" s="206" t="s">
        <v>1577</v>
      </c>
      <c r="J7" s="206" t="s">
        <v>1578</v>
      </c>
    </row>
    <row r="8" ht="24.0" customHeight="1">
      <c r="A8" s="22" t="s">
        <v>487</v>
      </c>
      <c r="B8" s="22" t="s">
        <v>1579</v>
      </c>
      <c r="C8" s="151">
        <f>calc_engine!B132</f>
        <v>120000</v>
      </c>
      <c r="D8" s="189">
        <f>SUMIFS(raw_marketing!$F$2:$F1000, raw_marketing!$B$2:$B1000, A8)</f>
        <v>1850</v>
      </c>
      <c r="E8" s="189">
        <f>SUMIFS(raw_marketing!$H$2:$H1000, raw_marketing!$B$2:$B1000, A8)</f>
        <v>48</v>
      </c>
      <c r="F8" s="151">
        <f t="shared" ref="F8:F10" si="1">IFERROR(C8/MAX(E8,1), 0)</f>
        <v>2500</v>
      </c>
      <c r="G8" s="189">
        <f>COUNTIFS(raw_touchpoints!$E$2:$E$1000, A8, raw_touchpoints!$J$2:$J$1000, TRUE)</f>
        <v>2</v>
      </c>
      <c r="H8" s="151">
        <f>calc_engine!E132</f>
        <v>495000</v>
      </c>
      <c r="I8" s="207">
        <f t="shared" ref="I8:I10" si="2">IFERROR((H8-C8)/MAX(C8,1), 0)</f>
        <v>3.125</v>
      </c>
      <c r="J8" s="254" t="str">
        <f t="shared" ref="J8:J10" si="3">IF(C8=0,"⏳ НЕТ ЗАТРАТ",IF(I8&gt;=3,"🚀 МАСШТАБИРОВАТЬ (+50%)",IF(I8&gt;0,"🟢 В НОРМЕ (W-SHAPED)",IF(C8&gt;50000,"🔴 СТОП","🟡 ОПТИМИЗАЦИЯ"))))</f>
        <v>🚀 МАСШТАБИРОВАТЬ (+50%)</v>
      </c>
    </row>
    <row r="9" ht="15.75" customHeight="1">
      <c r="A9" s="22" t="s">
        <v>570</v>
      </c>
      <c r="B9" s="22" t="s">
        <v>1584</v>
      </c>
      <c r="C9" s="151">
        <f>calc_engine!B133</f>
        <v>35000</v>
      </c>
      <c r="D9" s="189">
        <f>SUMIFS(raw_marketing!$F$2:$F1000, raw_marketing!$B$2:$B1000, A9)</f>
        <v>620</v>
      </c>
      <c r="E9" s="189">
        <f>SUMIFS(raw_marketing!$H$2:$H1000, raw_marketing!$B$2:$B1000, A9)</f>
        <v>24</v>
      </c>
      <c r="F9" s="151">
        <f t="shared" si="1"/>
        <v>1458.333333</v>
      </c>
      <c r="G9" s="189">
        <f>COUNTIFS(raw_touchpoints!$E$2:$E$1000, A9, raw_touchpoints!$J$2:$J$1000, TRUE)</f>
        <v>3</v>
      </c>
      <c r="H9" s="151">
        <f>calc_engine!E133</f>
        <v>840000</v>
      </c>
      <c r="I9" s="207">
        <f t="shared" si="2"/>
        <v>23</v>
      </c>
      <c r="J9" s="254" t="str">
        <f t="shared" si="3"/>
        <v>🚀 МАСШТАБИРОВАТЬ (+50%)</v>
      </c>
    </row>
    <row r="10" ht="15.75" customHeight="1">
      <c r="A10" s="22" t="s">
        <v>539</v>
      </c>
      <c r="B10" s="22" t="s">
        <v>1585</v>
      </c>
      <c r="C10" s="151">
        <f>calc_engine!B134</f>
        <v>85000</v>
      </c>
      <c r="D10" s="189">
        <f>SUMIFS(raw_marketing!$F$2:$F1000, raw_marketing!$B$2:$B1000, A10)</f>
        <v>1100</v>
      </c>
      <c r="E10" s="189">
        <f>SUMIFS(raw_marketing!$H$2:$H1000, raw_marketing!$B$2:$B1000, A10)</f>
        <v>31</v>
      </c>
      <c r="F10" s="151">
        <f t="shared" si="1"/>
        <v>2741.935484</v>
      </c>
      <c r="G10" s="189">
        <f>COUNTIFS(raw_touchpoints!$E$2:$E$1000, A10, raw_touchpoints!$J$2:$J$1000, TRUE)</f>
        <v>1</v>
      </c>
      <c r="H10" s="151">
        <f>calc_engine!E134</f>
        <v>135000</v>
      </c>
      <c r="I10" s="207">
        <f t="shared" si="2"/>
        <v>0.5882352941</v>
      </c>
      <c r="J10" s="254" t="str">
        <f t="shared" si="3"/>
        <v>🟢 В НОРМЕ (W-SHAPED)</v>
      </c>
    </row>
    <row r="11" ht="15.75" customHeight="1"/>
    <row r="12" ht="15.75" customHeight="1">
      <c r="A12" s="297" t="s">
        <v>1586</v>
      </c>
    </row>
    <row r="13" ht="15.75" customHeight="1">
      <c r="A13" s="298" t="s">
        <v>778</v>
      </c>
      <c r="B13" s="298" t="s">
        <v>779</v>
      </c>
      <c r="C13" s="298" t="s">
        <v>1587</v>
      </c>
      <c r="D13" s="298" t="s">
        <v>1588</v>
      </c>
      <c r="E13" s="298" t="s">
        <v>1589</v>
      </c>
      <c r="F13" s="298" t="s">
        <v>1590</v>
      </c>
      <c r="G13" s="298" t="s">
        <v>1591</v>
      </c>
      <c r="H13" s="298" t="s">
        <v>1592</v>
      </c>
      <c r="I13" s="298" t="s">
        <v>1593</v>
      </c>
      <c r="J13" s="298" t="s">
        <v>1594</v>
      </c>
    </row>
    <row r="14" ht="19.5" customHeight="1">
      <c r="A14" s="22" t="s">
        <v>487</v>
      </c>
      <c r="B14" s="151">
        <f>SUMIF(raw_marketing!$B$2:$B1000, "Яндекс Директ", raw_marketing!$E$2:$E1000)</f>
        <v>120000</v>
      </c>
      <c r="C14" s="22">
        <f>COUNTIFS(raw_deals!$J$2:$J1000, "Яндекс Директ")</f>
        <v>4</v>
      </c>
      <c r="D14" s="22">
        <f>COUNTIFS(raw_deals!$J$2:$J1000, "Яндекс Директ", raw_deals!$D$2:$D1000, 6)</f>
        <v>1</v>
      </c>
      <c r="E14" s="151">
        <f>SUMIFS(raw_deals!$C$2:$C1000, raw_deals!$J$2:$J1000, "Яндекс Директ", raw_deals!$D$2:$D1000, 6)</f>
        <v>450000</v>
      </c>
      <c r="F14" s="22">
        <f>COUNTIFS(raw_deals!$U$2:$U1000, "yandex")</f>
        <v>4</v>
      </c>
      <c r="G14" s="22">
        <f>COUNTIFS(raw_deals!$U$2:$U1000, "yandex", raw_deals!$D$2:$D1000, 6)</f>
        <v>1</v>
      </c>
      <c r="H14" s="151">
        <f>SUMIFS(raw_deals!$C$2:$C1000, raw_deals!$U$2:$U1000, "yandex", raw_deals!$D$2:$D1000, 6)</f>
        <v>450000</v>
      </c>
      <c r="I14" s="151">
        <f t="shared" ref="I14:I18" si="4">E14-H14</f>
        <v>0</v>
      </c>
      <c r="J14" s="22" t="s">
        <v>1640</v>
      </c>
    </row>
    <row r="15" ht="18.0" customHeight="1">
      <c r="A15" s="22" t="s">
        <v>570</v>
      </c>
      <c r="B15" s="151">
        <f>SUMIF(raw_marketing!$B$2:$B1000, "Контур.Фокус", raw_marketing!$E$2:$E1000)</f>
        <v>35000</v>
      </c>
      <c r="C15" s="22">
        <f>COUNTIFS(raw_deals!$J$2:$J1000, "Контур.Фокус")</f>
        <v>3</v>
      </c>
      <c r="D15" s="22">
        <f>COUNTIFS(raw_deals!$J$2:$J1000, "Контур.Фокус", raw_deals!$D$2:$D1000, 6)</f>
        <v>1</v>
      </c>
      <c r="E15" s="151">
        <f>SUMIFS(raw_deals!$C$2:$C1000, raw_deals!$J$2:$J1000, "Контур.Фокус", raw_deals!$D$2:$D1000, 6)</f>
        <v>1200000</v>
      </c>
      <c r="F15" s="22">
        <f>COUNTIFS(raw_deals!$U$2:$U1000, "kontur")</f>
        <v>3</v>
      </c>
      <c r="G15" s="22">
        <f>COUNTIFS(raw_deals!$U$2:$U1000, "kontur", raw_deals!$D$2:$D1000, 6)</f>
        <v>1</v>
      </c>
      <c r="H15" s="151">
        <f>SUMIFS(raw_deals!$C$2:$C1000, raw_deals!$U$2:$U1000, "kontur", raw_deals!$D$2:$D1000, 6)</f>
        <v>1200000</v>
      </c>
      <c r="I15" s="151">
        <f t="shared" si="4"/>
        <v>0</v>
      </c>
      <c r="J15" s="22" t="s">
        <v>1644</v>
      </c>
    </row>
    <row r="16" ht="15.75" customHeight="1">
      <c r="A16" s="22" t="s">
        <v>539</v>
      </c>
      <c r="B16" s="151">
        <f>SUMIF(raw_marketing!$B$2:$B1000, "Google Ads", raw_marketing!$E$2:$E1000)</f>
        <v>85000</v>
      </c>
      <c r="C16" s="22">
        <f>COUNTIFS(raw_deals!$J$2:$J1000, "Google Ads")</f>
        <v>2</v>
      </c>
      <c r="D16" s="22">
        <f>COUNTIFS(raw_deals!$J$2:$J1000, "Google Ads", raw_deals!$D$2:$D1000, 6)</f>
        <v>0</v>
      </c>
      <c r="E16" s="151">
        <f>SUMIFS(raw_deals!$C$2:$C1000, raw_deals!$J$2:$J1000, "Google Ads", raw_deals!$D$2:$D1000, 6)</f>
        <v>0</v>
      </c>
      <c r="F16" s="22">
        <f>COUNTIFS(raw_deals!$U$2:$U1000, "google")</f>
        <v>2</v>
      </c>
      <c r="G16" s="22">
        <f>COUNTIFS(raw_deals!$U$2:$U1000, "google", raw_deals!$D$2:$D1000, 6)</f>
        <v>0</v>
      </c>
      <c r="H16" s="151">
        <f>SUMIFS(raw_deals!$C$2:$C1000, raw_deals!$U$2:$U1000, "google", raw_deals!$D$2:$D1000, 6)</f>
        <v>0</v>
      </c>
      <c r="I16" s="151">
        <f t="shared" si="4"/>
        <v>0</v>
      </c>
      <c r="J16" s="22" t="s">
        <v>1651</v>
      </c>
    </row>
    <row r="17" ht="15.75" customHeight="1">
      <c r="A17" s="22" t="s">
        <v>1652</v>
      </c>
      <c r="B17" s="151">
        <v>0.0</v>
      </c>
      <c r="C17" s="22">
        <f>COUNTIFS(raw_deals!$J$2:$J1000, "Партнеры")</f>
        <v>1</v>
      </c>
      <c r="D17" s="22">
        <f>COUNTIFS(raw_deals!$J$2:$J1000, "Партнеры", raw_deals!$D$2:$D1000, 6)</f>
        <v>0</v>
      </c>
      <c r="E17" s="151">
        <f>SUMIFS(raw_deals!$C$2:$C1000, raw_deals!$J$2:$J1000, "Партнеры", raw_deals!$D$2:$D1000, 6)</f>
        <v>0</v>
      </c>
      <c r="F17" s="22">
        <f>COUNTIFS(raw_deals!$U$2:$U1000, "partner")</f>
        <v>1</v>
      </c>
      <c r="G17" s="22">
        <f>COUNTIFS(raw_deals!$U$2:$U1000, "partner", raw_deals!$D$2:$D1000, 6)</f>
        <v>0</v>
      </c>
      <c r="H17" s="151">
        <f>SUMIFS(raw_deals!$C$2:$C1000, raw_deals!$U$2:$U1000, "partner", raw_deals!$D$2:$D1000, 6)</f>
        <v>0</v>
      </c>
      <c r="I17" s="151">
        <f t="shared" si="4"/>
        <v>0</v>
      </c>
      <c r="J17" s="22" t="s">
        <v>1653</v>
      </c>
    </row>
    <row r="18" ht="15.75" customHeight="1">
      <c r="A18" s="22" t="s">
        <v>453</v>
      </c>
      <c r="B18" s="151">
        <v>0.0</v>
      </c>
      <c r="C18" s="22">
        <f>COUNTIFS(raw_deals!$J$2:$J1000, "Органика SEO")</f>
        <v>1</v>
      </c>
      <c r="D18" s="22">
        <f>COUNTIFS(raw_deals!$J$2:$J1000, "Органика SEO", raw_deals!$D$2:$D1000, 6)</f>
        <v>0</v>
      </c>
      <c r="E18" s="151">
        <f>SUMIFS(raw_deals!$C$2:$C1000, raw_deals!$J$2:$J1000, "Органика SEO", raw_deals!$D$2:$D1000, 6)</f>
        <v>0</v>
      </c>
      <c r="F18" s="22">
        <f>COUNTIFS(raw_deals!$U$2:$U1000, "organic")</f>
        <v>1</v>
      </c>
      <c r="G18" s="22">
        <f>COUNTIFS(raw_deals!$U$2:$U1000, "organic", raw_deals!$D$2:$D1000, 6)</f>
        <v>0</v>
      </c>
      <c r="H18" s="151">
        <f>SUMIFS(raw_deals!$C$2:$C1000, raw_deals!$U$2:$U1000, "organic", raw_deals!$D$2:$D1000, 6)</f>
        <v>0</v>
      </c>
      <c r="I18" s="151">
        <f t="shared" si="4"/>
        <v>0</v>
      </c>
      <c r="J18" s="22" t="s">
        <v>1654</v>
      </c>
    </row>
    <row r="19" ht="15.75" customHeight="1">
      <c r="A19" s="22" t="s">
        <v>1655</v>
      </c>
      <c r="B19" s="151">
        <f t="shared" ref="B19:I19" si="5">SUM(B14:B18)</f>
        <v>240000</v>
      </c>
      <c r="C19" s="22">
        <f t="shared" si="5"/>
        <v>11</v>
      </c>
      <c r="D19" s="22">
        <f t="shared" si="5"/>
        <v>2</v>
      </c>
      <c r="E19" s="151">
        <f t="shared" si="5"/>
        <v>1650000</v>
      </c>
      <c r="F19" s="22">
        <f t="shared" si="5"/>
        <v>11</v>
      </c>
      <c r="G19" s="22">
        <f t="shared" si="5"/>
        <v>2</v>
      </c>
      <c r="H19" s="151">
        <f t="shared" si="5"/>
        <v>1650000</v>
      </c>
      <c r="I19" s="151">
        <f t="shared" si="5"/>
        <v>0</v>
      </c>
      <c r="J19" s="22" t="s">
        <v>1656</v>
      </c>
    </row>
    <row r="20" ht="15.75" customHeight="1"/>
    <row r="21" ht="15.75" customHeight="1">
      <c r="A21" s="297" t="s">
        <v>1657</v>
      </c>
    </row>
    <row r="22" ht="15.75" customHeight="1">
      <c r="A22" s="298" t="s">
        <v>1568</v>
      </c>
      <c r="B22" s="298" t="s">
        <v>1658</v>
      </c>
      <c r="C22" s="298" t="s">
        <v>1659</v>
      </c>
      <c r="D22" s="298" t="s">
        <v>1660</v>
      </c>
      <c r="E22" s="298" t="s">
        <v>1661</v>
      </c>
      <c r="F22" s="298" t="s">
        <v>1662</v>
      </c>
      <c r="G22" s="298" t="s">
        <v>1663</v>
      </c>
      <c r="H22" s="298" t="s">
        <v>1664</v>
      </c>
      <c r="I22" s="298" t="s">
        <v>1665</v>
      </c>
      <c r="J22" s="298" t="s">
        <v>1666</v>
      </c>
    </row>
    <row r="23" ht="15.75" customHeight="1">
      <c r="A23" s="22" t="s">
        <v>487</v>
      </c>
      <c r="B23" s="151">
        <f>IFERROR(H8/MAX(G8,1),450000)</f>
        <v>247500</v>
      </c>
      <c r="C23" s="149">
        <f>IFERROR(G8/MAX(E8,1),0.02)</f>
        <v>0.04166666667</v>
      </c>
      <c r="D23" s="304">
        <v>3.0</v>
      </c>
      <c r="E23" s="151">
        <f t="shared" ref="E23:E24" si="6">B23*0.7/D23</f>
        <v>57750</v>
      </c>
      <c r="F23" s="151">
        <f t="shared" ref="F23:F24" si="7">E23*C23</f>
        <v>2406.25</v>
      </c>
      <c r="G23" s="151">
        <f t="shared" ref="G23:G25" si="8">F8</f>
        <v>2500</v>
      </c>
      <c r="H23" s="151">
        <f t="shared" ref="H23:H25" si="9">IFERROR(C8/MAX(G8,1),C8)</f>
        <v>60000</v>
      </c>
      <c r="I23" s="149">
        <f t="shared" ref="I23:I24" si="10">IFERROR((E23-H23)/E23, 0)</f>
        <v>-0.03896103896</v>
      </c>
      <c r="J23" s="22" t="str">
        <f>IF(H23&lt;=E23, "🟢 УДЕРЖИВАТЬ В НОРМЕ", "🔴 ОПТИМИЗИРОВАТЬ СВЯЗКУ")</f>
        <v>🔴 ОПТИМИЗИРОВАТЬ СВЯЗКУ</v>
      </c>
    </row>
    <row r="24" ht="15.75" customHeight="1">
      <c r="A24" s="22" t="s">
        <v>570</v>
      </c>
      <c r="B24" s="151">
        <f>IFERROR(H9/MAX(G9,1),1200000)</f>
        <v>280000</v>
      </c>
      <c r="C24" s="149">
        <f>IFERROR(G9/MAX(E9,1),0.04)</f>
        <v>0.125</v>
      </c>
      <c r="D24" s="304">
        <v>3.0</v>
      </c>
      <c r="E24" s="151">
        <f t="shared" si="6"/>
        <v>65333.33333</v>
      </c>
      <c r="F24" s="151">
        <f t="shared" si="7"/>
        <v>8166.666667</v>
      </c>
      <c r="G24" s="151">
        <f t="shared" si="8"/>
        <v>1458.333333</v>
      </c>
      <c r="H24" s="151">
        <f t="shared" si="9"/>
        <v>11666.66667</v>
      </c>
      <c r="I24" s="149">
        <f t="shared" si="10"/>
        <v>0.8214285714</v>
      </c>
      <c r="J24" s="22" t="str">
        <f>IF(H24&lt;=E24, "🚀 МАСШТАБИРОВАТЬ (+50% БЮДЖЕТА)", "🟡 СНИЗИТЬ СТАВКУ")</f>
        <v>🚀 МАСШТАБИРОВАТЬ (+50% БЮДЖЕТА)</v>
      </c>
    </row>
    <row r="25" ht="15.75" customHeight="1">
      <c r="A25" s="22" t="s">
        <v>539</v>
      </c>
      <c r="B25" s="151">
        <f>IFERROR(H10/MAX(G10,1), 0)</f>
        <v>135000</v>
      </c>
      <c r="C25" s="149">
        <f>IFERROR(G10/MAX(E10,1), 0)</f>
        <v>0.03225806452</v>
      </c>
      <c r="D25" s="304">
        <v>3.0</v>
      </c>
      <c r="E25" s="151">
        <v>150000.0</v>
      </c>
      <c r="F25" s="151">
        <v>2000.0</v>
      </c>
      <c r="G25" s="151">
        <f t="shared" si="8"/>
        <v>2741.935484</v>
      </c>
      <c r="H25" s="151">
        <f t="shared" si="9"/>
        <v>85000</v>
      </c>
      <c r="I25" s="149">
        <f>IFERROR((E25-H25)/E25, -1)</f>
        <v>0.4333333333</v>
      </c>
      <c r="J25" s="22" t="str">
        <f>IF(G10=0, "🔴 ОТКЛЮЧИТЬ КАНАЛ (СЛИВ БЮДЖЕТА)", "🟡 ТЕСТ")</f>
        <v>🟡 ТЕСТ</v>
      </c>
    </row>
    <row r="26" ht="15.75" customHeight="1">
      <c r="A26" s="22" t="s">
        <v>1687</v>
      </c>
      <c r="B26" s="151">
        <f>AVERAGE(B23:B24)</f>
        <v>263750</v>
      </c>
      <c r="C26" s="149">
        <f>SUM(G8:G10)/SUM(E8:E10)</f>
        <v>0.05825242718</v>
      </c>
      <c r="D26" s="304">
        <v>3.0</v>
      </c>
      <c r="E26" s="151">
        <f t="shared" ref="E26:G26" si="11">AVERAGE(E23:E25)</f>
        <v>91027.77778</v>
      </c>
      <c r="F26" s="151">
        <f t="shared" si="11"/>
        <v>4190.972222</v>
      </c>
      <c r="G26" s="151">
        <f t="shared" si="11"/>
        <v>2233.422939</v>
      </c>
      <c r="H26" s="151">
        <f>C4/MAX(D4,1)</f>
        <v>0</v>
      </c>
      <c r="I26" s="149">
        <f>IFERROR((E26-H26)/E26, 0)</f>
        <v>1</v>
      </c>
      <c r="J26" s="22" t="s">
        <v>1688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6:J6"/>
    <mergeCell ref="A12:J12"/>
    <mergeCell ref="A21:J2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5.75"/>
    <col customWidth="1" min="3" max="3" width="23.13"/>
    <col customWidth="1" min="4" max="4" width="14.5"/>
    <col customWidth="1" min="5" max="5" width="20.88"/>
    <col customWidth="1" min="6" max="6" width="14.5"/>
    <col customWidth="1" min="7" max="7" width="15.0"/>
    <col customWidth="1" min="8" max="8" width="14.5"/>
    <col customWidth="1" min="9" max="9" width="13.13"/>
    <col customWidth="1" min="10" max="11" width="14.5"/>
  </cols>
  <sheetData>
    <row r="1" ht="21.0" customHeight="1">
      <c r="A1" s="299" t="s">
        <v>1595</v>
      </c>
      <c r="B1" s="299" t="s">
        <v>1596</v>
      </c>
      <c r="C1" s="299" t="s">
        <v>1597</v>
      </c>
      <c r="D1" s="299" t="s">
        <v>1598</v>
      </c>
      <c r="E1" s="299" t="s">
        <v>1599</v>
      </c>
      <c r="F1" s="299" t="s">
        <v>1600</v>
      </c>
      <c r="G1" s="299" t="s">
        <v>1601</v>
      </c>
      <c r="H1" s="299" t="s">
        <v>1602</v>
      </c>
      <c r="I1" s="299" t="s">
        <v>1603</v>
      </c>
      <c r="J1" s="299" t="s">
        <v>1604</v>
      </c>
      <c r="K1" s="299" t="s">
        <v>938</v>
      </c>
    </row>
    <row r="2" ht="15.75" customHeight="1">
      <c r="A2" s="22" t="s">
        <v>1605</v>
      </c>
      <c r="B2" s="300">
        <v>46285.78175925926</v>
      </c>
      <c r="C2" s="22" t="s">
        <v>1606</v>
      </c>
      <c r="D2" s="22" t="s">
        <v>1607</v>
      </c>
      <c r="E2" s="22" t="s">
        <v>1608</v>
      </c>
      <c r="F2" s="22" t="s">
        <v>694</v>
      </c>
      <c r="G2" s="22" t="s">
        <v>501</v>
      </c>
      <c r="H2" s="22">
        <v>101.0</v>
      </c>
      <c r="I2" s="22">
        <v>102.0</v>
      </c>
      <c r="J2" s="232" t="s">
        <v>1609</v>
      </c>
      <c r="K2" s="232" t="s">
        <v>1610</v>
      </c>
    </row>
    <row r="3" ht="15.75" customHeight="1">
      <c r="A3" s="22" t="s">
        <v>1611</v>
      </c>
      <c r="B3" s="300">
        <v>46286.03175925926</v>
      </c>
      <c r="C3" s="22" t="s">
        <v>1612</v>
      </c>
      <c r="D3" s="22" t="s">
        <v>1613</v>
      </c>
      <c r="E3" s="22" t="s">
        <v>1614</v>
      </c>
      <c r="F3" s="22" t="s">
        <v>959</v>
      </c>
      <c r="G3" s="22" t="s">
        <v>938</v>
      </c>
      <c r="H3" s="22" t="s">
        <v>1615</v>
      </c>
      <c r="I3" s="22" t="s">
        <v>960</v>
      </c>
      <c r="J3" s="232" t="s">
        <v>1616</v>
      </c>
      <c r="K3" s="232" t="s">
        <v>1610</v>
      </c>
    </row>
    <row r="4" ht="15.75" customHeight="1">
      <c r="A4" s="22" t="s">
        <v>1617</v>
      </c>
      <c r="B4" s="300">
        <v>46286.28175925926</v>
      </c>
      <c r="C4" s="22" t="s">
        <v>1618</v>
      </c>
      <c r="D4" s="22" t="s">
        <v>1619</v>
      </c>
      <c r="E4" s="22" t="s">
        <v>1620</v>
      </c>
      <c r="F4" s="22" t="s">
        <v>1621</v>
      </c>
      <c r="G4" s="22" t="s">
        <v>1622</v>
      </c>
      <c r="H4" s="22" t="s">
        <v>1623</v>
      </c>
      <c r="I4" s="22" t="s">
        <v>1624</v>
      </c>
      <c r="J4" s="232" t="s">
        <v>1625</v>
      </c>
      <c r="K4" s="232" t="s">
        <v>1626</v>
      </c>
    </row>
    <row r="5" ht="15.75" customHeight="1">
      <c r="A5" s="22" t="s">
        <v>1627</v>
      </c>
      <c r="B5" s="300">
        <v>46286.698425925926</v>
      </c>
      <c r="C5" s="22" t="s">
        <v>1618</v>
      </c>
      <c r="D5" s="22" t="s">
        <v>1607</v>
      </c>
      <c r="E5" s="22" t="s">
        <v>1628</v>
      </c>
      <c r="F5" s="22" t="s">
        <v>1629</v>
      </c>
      <c r="G5" s="22" t="s">
        <v>495</v>
      </c>
      <c r="H5" s="22" t="s">
        <v>1630</v>
      </c>
      <c r="I5" s="22" t="s">
        <v>1631</v>
      </c>
      <c r="J5" s="232" t="s">
        <v>1632</v>
      </c>
      <c r="K5" s="232" t="s">
        <v>1633</v>
      </c>
    </row>
    <row r="6" ht="15.75" customHeight="1">
      <c r="A6" s="22" t="s">
        <v>1634</v>
      </c>
      <c r="B6" s="216">
        <v>46295.06077546296</v>
      </c>
      <c r="C6" s="22" t="s">
        <v>1635</v>
      </c>
      <c r="D6" s="22" t="s">
        <v>575</v>
      </c>
      <c r="E6" s="22" t="s">
        <v>1636</v>
      </c>
      <c r="F6" s="22" t="s">
        <v>1637</v>
      </c>
      <c r="G6" s="22" t="s">
        <v>1638</v>
      </c>
      <c r="H6" s="22" t="s">
        <v>1639</v>
      </c>
      <c r="I6" s="22" t="s">
        <v>1641</v>
      </c>
      <c r="J6" s="22" t="s">
        <v>1632</v>
      </c>
      <c r="K6" s="22" t="s">
        <v>1610</v>
      </c>
    </row>
    <row r="7" ht="15.75" customHeight="1">
      <c r="A7" s="22" t="s">
        <v>1642</v>
      </c>
      <c r="B7" s="216">
        <v>46295.069548611114</v>
      </c>
      <c r="C7" s="22" t="s">
        <v>1635</v>
      </c>
      <c r="D7" s="22" t="s">
        <v>575</v>
      </c>
      <c r="E7" s="22" t="s">
        <v>1636</v>
      </c>
      <c r="F7" s="22" t="s">
        <v>1637</v>
      </c>
      <c r="G7" s="22" t="s">
        <v>1638</v>
      </c>
      <c r="H7" s="22" t="s">
        <v>1639</v>
      </c>
      <c r="I7" s="22" t="s">
        <v>1643</v>
      </c>
      <c r="J7" s="22" t="s">
        <v>1632</v>
      </c>
      <c r="K7" s="22" t="s">
        <v>1610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3" width="18.88"/>
    <col customWidth="1" min="4" max="4" width="22.63"/>
    <col customWidth="1" min="5" max="7" width="18.88"/>
    <col customWidth="1" min="8" max="9" width="14.5"/>
    <col customWidth="1" min="26" max="26" width="21.38"/>
    <col customWidth="1" min="27" max="29" width="16.38"/>
  </cols>
  <sheetData>
    <row r="1" ht="15.75" customHeight="1">
      <c r="A1" s="301" t="s">
        <v>1645</v>
      </c>
      <c r="B1" s="301" t="s">
        <v>436</v>
      </c>
      <c r="C1" s="301" t="s">
        <v>437</v>
      </c>
      <c r="D1" s="301" t="s">
        <v>1646</v>
      </c>
      <c r="E1" s="301" t="s">
        <v>1647</v>
      </c>
      <c r="F1" s="301" t="s">
        <v>1648</v>
      </c>
      <c r="G1" s="301" t="s">
        <v>1649</v>
      </c>
      <c r="H1" s="301" t="s">
        <v>1650</v>
      </c>
      <c r="I1" s="301" t="s">
        <v>445</v>
      </c>
      <c r="Z1" s="22" t="s">
        <v>446</v>
      </c>
      <c r="AA1" s="22" t="s">
        <v>447</v>
      </c>
      <c r="AB1" s="22" t="s">
        <v>448</v>
      </c>
      <c r="AC1" s="22" t="s">
        <v>449</v>
      </c>
    </row>
    <row r="2" ht="15.75" customHeight="1">
      <c r="A2" s="148">
        <v>46284.0</v>
      </c>
      <c r="B2" s="22" t="s">
        <v>487</v>
      </c>
      <c r="C2" s="22" t="s">
        <v>488</v>
      </c>
      <c r="D2" s="22" t="s">
        <v>1579</v>
      </c>
      <c r="E2" s="151">
        <v>120000.0</v>
      </c>
      <c r="F2" s="22">
        <v>1850.0</v>
      </c>
      <c r="G2" s="22">
        <v>42000.0</v>
      </c>
      <c r="H2" s="22">
        <v>48.0</v>
      </c>
      <c r="I2" s="170">
        <v>46285.47215212963</v>
      </c>
    </row>
    <row r="3" ht="15.75" customHeight="1">
      <c r="A3" s="148">
        <v>46284.0</v>
      </c>
      <c r="B3" s="22" t="s">
        <v>570</v>
      </c>
      <c r="C3" s="22" t="s">
        <v>571</v>
      </c>
      <c r="D3" s="22" t="s">
        <v>1584</v>
      </c>
      <c r="E3" s="151">
        <v>35000.0</v>
      </c>
      <c r="F3" s="22">
        <v>620.0</v>
      </c>
      <c r="G3" s="22">
        <v>1200.0</v>
      </c>
      <c r="H3" s="22">
        <v>24.0</v>
      </c>
      <c r="I3" s="170">
        <v>46285.47215212963</v>
      </c>
    </row>
    <row r="4" ht="15.75" customHeight="1">
      <c r="A4" s="148">
        <v>46284.0</v>
      </c>
      <c r="B4" s="22" t="s">
        <v>539</v>
      </c>
      <c r="C4" s="22" t="s">
        <v>540</v>
      </c>
      <c r="D4" s="22" t="s">
        <v>1585</v>
      </c>
      <c r="E4" s="151">
        <v>85000.0</v>
      </c>
      <c r="F4" s="22">
        <v>1100.0</v>
      </c>
      <c r="G4" s="22">
        <v>28000.0</v>
      </c>
      <c r="H4" s="22">
        <v>31.0</v>
      </c>
      <c r="I4" s="170">
        <v>46285.47215212963</v>
      </c>
    </row>
    <row r="5" ht="15.75" customHeight="1">
      <c r="E5" s="151"/>
    </row>
    <row r="6" ht="15.75" customHeight="1">
      <c r="E6" s="151"/>
    </row>
    <row r="7" ht="15.75" customHeight="1">
      <c r="E7" s="151"/>
    </row>
    <row r="8" ht="15.75" customHeight="1">
      <c r="E8" s="151"/>
    </row>
    <row r="9" ht="15.75" customHeight="1">
      <c r="E9" s="151"/>
    </row>
    <row r="10" ht="15.75" customHeight="1">
      <c r="E10" s="151"/>
    </row>
    <row r="11" ht="15.75" customHeight="1">
      <c r="E11" s="151"/>
    </row>
    <row r="12" ht="15.75" customHeight="1">
      <c r="E12" s="151"/>
    </row>
    <row r="13" ht="15.75" customHeight="1">
      <c r="E13" s="151"/>
    </row>
    <row r="14" ht="15.75" customHeight="1">
      <c r="E14" s="151"/>
    </row>
    <row r="15" ht="15.75" customHeight="1">
      <c r="E15" s="151"/>
    </row>
    <row r="16" ht="15.75" customHeight="1">
      <c r="E16" s="151"/>
    </row>
    <row r="17" ht="15.75" customHeight="1">
      <c r="E17" s="151"/>
    </row>
    <row r="18" ht="15.75" customHeight="1">
      <c r="E18" s="151"/>
    </row>
    <row r="19" ht="15.75" customHeight="1">
      <c r="E19" s="151"/>
    </row>
    <row r="20" ht="15.75" customHeight="1">
      <c r="E20" s="151"/>
    </row>
    <row r="21" ht="15.75" customHeight="1">
      <c r="E21" s="151"/>
    </row>
    <row r="22" ht="15.75" customHeight="1">
      <c r="E22" s="151"/>
    </row>
    <row r="23" ht="15.75" customHeight="1">
      <c r="E23" s="151"/>
    </row>
    <row r="24" ht="15.75" customHeight="1">
      <c r="E24" s="151"/>
    </row>
    <row r="25" ht="15.75" customHeight="1">
      <c r="E25" s="151"/>
    </row>
    <row r="26" ht="15.75" customHeight="1">
      <c r="E26" s="151"/>
    </row>
    <row r="27" ht="15.75" customHeight="1">
      <c r="E27" s="151"/>
    </row>
    <row r="28" ht="15.75" customHeight="1">
      <c r="E28" s="151"/>
    </row>
    <row r="29" ht="15.75" customHeight="1">
      <c r="E29" s="151"/>
    </row>
    <row r="30" ht="15.75" customHeight="1">
      <c r="E30" s="151"/>
    </row>
    <row r="31" ht="15.75" customHeight="1">
      <c r="E31" s="151"/>
    </row>
    <row r="32" ht="15.75" customHeight="1">
      <c r="E32" s="151"/>
    </row>
    <row r="33" ht="15.75" customHeight="1">
      <c r="E33" s="151"/>
    </row>
    <row r="34" ht="15.75" customHeight="1">
      <c r="E34" s="151"/>
    </row>
    <row r="35" ht="15.75" customHeight="1">
      <c r="E35" s="151"/>
    </row>
    <row r="36" ht="15.75" customHeight="1">
      <c r="E36" s="151"/>
    </row>
    <row r="37" ht="15.75" customHeight="1">
      <c r="E37" s="151"/>
    </row>
    <row r="38" ht="15.75" customHeight="1">
      <c r="E38" s="151"/>
    </row>
    <row r="39" ht="15.75" customHeight="1">
      <c r="E39" s="151"/>
    </row>
    <row r="40" ht="15.75" customHeight="1">
      <c r="E40" s="151"/>
    </row>
    <row r="41" ht="15.75" customHeight="1">
      <c r="E41" s="151"/>
    </row>
    <row r="42" ht="15.75" customHeight="1">
      <c r="E42" s="151"/>
    </row>
    <row r="43" ht="15.75" customHeight="1">
      <c r="E43" s="151"/>
    </row>
    <row r="44" ht="15.75" customHeight="1">
      <c r="E44" s="151"/>
    </row>
    <row r="45" ht="15.75" customHeight="1">
      <c r="E45" s="151"/>
    </row>
    <row r="46" ht="15.75" customHeight="1">
      <c r="E46" s="151"/>
    </row>
    <row r="47" ht="15.75" customHeight="1">
      <c r="E47" s="151"/>
    </row>
    <row r="48" ht="15.75" customHeight="1">
      <c r="E48" s="151"/>
    </row>
    <row r="49" ht="15.75" customHeight="1">
      <c r="E49" s="151"/>
    </row>
    <row r="50" ht="15.75" customHeight="1">
      <c r="E50" s="151"/>
    </row>
    <row r="51" ht="15.75" customHeight="1">
      <c r="E51" s="151"/>
    </row>
    <row r="52" ht="15.75" customHeight="1">
      <c r="E52" s="151"/>
    </row>
    <row r="53" ht="15.75" customHeight="1">
      <c r="E53" s="151"/>
    </row>
    <row r="54" ht="15.75" customHeight="1">
      <c r="E54" s="151"/>
    </row>
    <row r="55" ht="15.75" customHeight="1">
      <c r="E55" s="151"/>
    </row>
    <row r="56" ht="15.75" customHeight="1">
      <c r="E56" s="151"/>
    </row>
    <row r="57" ht="15.75" customHeight="1">
      <c r="E57" s="151"/>
    </row>
    <row r="58" ht="15.75" customHeight="1">
      <c r="E58" s="151"/>
    </row>
    <row r="59" ht="15.75" customHeight="1">
      <c r="E59" s="151"/>
    </row>
    <row r="60" ht="15.75" customHeight="1">
      <c r="E60" s="151"/>
    </row>
    <row r="61" ht="15.75" customHeight="1">
      <c r="E61" s="151"/>
    </row>
    <row r="62" ht="15.75" customHeight="1">
      <c r="E62" s="151"/>
    </row>
    <row r="63" ht="15.75" customHeight="1">
      <c r="E63" s="151"/>
    </row>
    <row r="64" ht="15.75" customHeight="1">
      <c r="E64" s="151"/>
    </row>
    <row r="65" ht="15.75" customHeight="1">
      <c r="E65" s="151"/>
    </row>
    <row r="66" ht="15.75" customHeight="1">
      <c r="E66" s="151"/>
    </row>
    <row r="67" ht="15.75" customHeight="1">
      <c r="E67" s="151"/>
    </row>
    <row r="68" ht="15.75" customHeight="1">
      <c r="E68" s="151"/>
    </row>
    <row r="69" ht="15.75" customHeight="1">
      <c r="E69" s="151"/>
    </row>
    <row r="70" ht="15.75" customHeight="1">
      <c r="E70" s="151"/>
    </row>
    <row r="71" ht="15.75" customHeight="1">
      <c r="E71" s="151"/>
    </row>
    <row r="72" ht="15.75" customHeight="1">
      <c r="E72" s="151"/>
    </row>
    <row r="73" ht="15.75" customHeight="1">
      <c r="E73" s="151"/>
    </row>
    <row r="74" ht="15.75" customHeight="1">
      <c r="E74" s="151"/>
    </row>
    <row r="75" ht="15.75" customHeight="1">
      <c r="E75" s="151"/>
    </row>
    <row r="76" ht="15.75" customHeight="1">
      <c r="E76" s="151"/>
    </row>
    <row r="77" ht="15.75" customHeight="1">
      <c r="E77" s="151"/>
    </row>
    <row r="78" ht="15.75" customHeight="1">
      <c r="E78" s="151"/>
    </row>
    <row r="79" ht="15.75" customHeight="1">
      <c r="E79" s="151"/>
    </row>
    <row r="80" ht="15.75" customHeight="1">
      <c r="E80" s="151"/>
    </row>
    <row r="81" ht="15.75" customHeight="1">
      <c r="E81" s="151"/>
    </row>
    <row r="82" ht="15.75" customHeight="1">
      <c r="E82" s="151"/>
    </row>
    <row r="83" ht="15.75" customHeight="1">
      <c r="E83" s="151"/>
    </row>
    <row r="84" ht="15.75" customHeight="1">
      <c r="E84" s="151"/>
    </row>
    <row r="85" ht="15.75" customHeight="1">
      <c r="E85" s="151"/>
    </row>
    <row r="86" ht="15.75" customHeight="1">
      <c r="E86" s="151"/>
    </row>
    <row r="87" ht="15.75" customHeight="1">
      <c r="E87" s="151"/>
    </row>
    <row r="88" ht="15.75" customHeight="1">
      <c r="E88" s="151"/>
    </row>
    <row r="89" ht="15.75" customHeight="1">
      <c r="E89" s="151"/>
    </row>
    <row r="90" ht="15.75" customHeight="1">
      <c r="E90" s="151"/>
    </row>
    <row r="91" ht="15.75" customHeight="1">
      <c r="E91" s="151"/>
    </row>
    <row r="92" ht="15.75" customHeight="1">
      <c r="E92" s="151"/>
    </row>
    <row r="93" ht="15.75" customHeight="1">
      <c r="E93" s="151"/>
    </row>
    <row r="94" ht="15.75" customHeight="1">
      <c r="E94" s="151"/>
    </row>
    <row r="95" ht="15.75" customHeight="1">
      <c r="E95" s="151"/>
    </row>
    <row r="96" ht="15.75" customHeight="1">
      <c r="E96" s="151"/>
    </row>
    <row r="97" ht="15.75" customHeight="1">
      <c r="E97" s="151"/>
    </row>
    <row r="98" ht="15.75" customHeight="1">
      <c r="E98" s="151"/>
    </row>
    <row r="99" ht="15.75" customHeight="1">
      <c r="E99" s="151"/>
    </row>
    <row r="100" ht="15.75" customHeight="1">
      <c r="E100" s="151"/>
    </row>
    <row r="101" ht="15.75" customHeight="1">
      <c r="E101" s="151"/>
    </row>
    <row r="102" ht="15.75" customHeight="1">
      <c r="E102" s="151"/>
    </row>
    <row r="103" ht="15.75" customHeight="1">
      <c r="E103" s="151"/>
    </row>
    <row r="104" ht="15.75" customHeight="1">
      <c r="E104" s="151"/>
    </row>
    <row r="105" ht="15.75" customHeight="1">
      <c r="E105" s="151"/>
    </row>
    <row r="106" ht="15.75" customHeight="1">
      <c r="E106" s="151"/>
    </row>
    <row r="107" ht="15.75" customHeight="1">
      <c r="E107" s="151"/>
    </row>
    <row r="108" ht="15.75" customHeight="1">
      <c r="E108" s="151"/>
    </row>
    <row r="109" ht="15.75" customHeight="1">
      <c r="E109" s="151"/>
    </row>
    <row r="110" ht="15.75" customHeight="1">
      <c r="E110" s="151"/>
    </row>
    <row r="111" ht="15.75" customHeight="1">
      <c r="E111" s="151"/>
    </row>
    <row r="112" ht="15.75" customHeight="1">
      <c r="E112" s="151"/>
    </row>
    <row r="113" ht="15.75" customHeight="1">
      <c r="E113" s="151"/>
    </row>
    <row r="114" ht="15.75" customHeight="1">
      <c r="E114" s="151"/>
    </row>
    <row r="115" ht="15.75" customHeight="1">
      <c r="E115" s="151"/>
    </row>
    <row r="116" ht="15.75" customHeight="1">
      <c r="E116" s="151"/>
    </row>
    <row r="117" ht="15.75" customHeight="1">
      <c r="E117" s="151"/>
    </row>
    <row r="118" ht="15.75" customHeight="1">
      <c r="E118" s="151"/>
    </row>
    <row r="119" ht="15.75" customHeight="1">
      <c r="E119" s="151"/>
    </row>
    <row r="120" ht="15.75" customHeight="1">
      <c r="E120" s="151"/>
    </row>
    <row r="121" ht="15.75" customHeight="1">
      <c r="E121" s="151"/>
    </row>
    <row r="122" ht="15.75" customHeight="1">
      <c r="E122" s="151"/>
    </row>
    <row r="123" ht="15.75" customHeight="1">
      <c r="E123" s="151"/>
    </row>
    <row r="124" ht="15.75" customHeight="1">
      <c r="E124" s="151"/>
    </row>
    <row r="125" ht="15.75" customHeight="1">
      <c r="E125" s="151"/>
    </row>
    <row r="126" ht="15.75" customHeight="1">
      <c r="E126" s="151"/>
    </row>
    <row r="127" ht="15.75" customHeight="1">
      <c r="E127" s="151"/>
    </row>
    <row r="128" ht="15.75" customHeight="1">
      <c r="E128" s="151"/>
    </row>
    <row r="129" ht="15.75" customHeight="1">
      <c r="E129" s="151"/>
    </row>
    <row r="130" ht="15.75" customHeight="1">
      <c r="E130" s="151"/>
    </row>
    <row r="131" ht="15.75" customHeight="1">
      <c r="E131" s="151"/>
    </row>
    <row r="132" ht="15.75" customHeight="1">
      <c r="E132" s="151"/>
    </row>
    <row r="133" ht="15.75" customHeight="1">
      <c r="E133" s="151"/>
    </row>
    <row r="134" ht="15.75" customHeight="1">
      <c r="E134" s="151"/>
    </row>
    <row r="135" ht="15.75" customHeight="1">
      <c r="E135" s="151"/>
    </row>
    <row r="136" ht="15.75" customHeight="1">
      <c r="E136" s="151"/>
    </row>
    <row r="137" ht="15.75" customHeight="1">
      <c r="E137" s="151"/>
    </row>
    <row r="138" ht="15.75" customHeight="1">
      <c r="E138" s="151"/>
    </row>
    <row r="139" ht="15.75" customHeight="1">
      <c r="E139" s="151"/>
    </row>
    <row r="140" ht="15.75" customHeight="1">
      <c r="E140" s="151"/>
    </row>
    <row r="141" ht="15.75" customHeight="1">
      <c r="E141" s="151"/>
    </row>
    <row r="142" ht="15.75" customHeight="1">
      <c r="E142" s="151"/>
    </row>
    <row r="143" ht="15.75" customHeight="1">
      <c r="E143" s="151"/>
    </row>
    <row r="144" ht="15.75" customHeight="1">
      <c r="E144" s="151"/>
    </row>
    <row r="145" ht="15.75" customHeight="1">
      <c r="E145" s="151"/>
    </row>
    <row r="146" ht="15.75" customHeight="1">
      <c r="E146" s="151"/>
    </row>
    <row r="147" ht="15.75" customHeight="1">
      <c r="E147" s="151"/>
    </row>
    <row r="148" ht="15.75" customHeight="1">
      <c r="E148" s="151"/>
    </row>
    <row r="149" ht="15.75" customHeight="1">
      <c r="E149" s="151"/>
    </row>
    <row r="150" ht="15.75" customHeight="1">
      <c r="E150" s="151"/>
    </row>
    <row r="151" ht="15.75" customHeight="1">
      <c r="E151" s="151"/>
    </row>
    <row r="152" ht="15.75" customHeight="1">
      <c r="E152" s="151"/>
    </row>
    <row r="153" ht="15.75" customHeight="1">
      <c r="E153" s="151"/>
    </row>
    <row r="154" ht="15.75" customHeight="1">
      <c r="E154" s="151"/>
    </row>
    <row r="155" ht="15.75" customHeight="1">
      <c r="E155" s="151"/>
    </row>
    <row r="156" ht="15.75" customHeight="1">
      <c r="E156" s="151"/>
    </row>
    <row r="157" ht="15.75" customHeight="1">
      <c r="E157" s="151"/>
    </row>
    <row r="158" ht="15.75" customHeight="1">
      <c r="E158" s="151"/>
    </row>
    <row r="159" ht="15.75" customHeight="1">
      <c r="E159" s="151"/>
    </row>
    <row r="160" ht="15.75" customHeight="1">
      <c r="E160" s="151"/>
    </row>
    <row r="161" ht="15.75" customHeight="1">
      <c r="E161" s="151"/>
    </row>
    <row r="162" ht="15.75" customHeight="1">
      <c r="E162" s="151"/>
    </row>
    <row r="163" ht="15.75" customHeight="1">
      <c r="E163" s="151"/>
    </row>
    <row r="164" ht="15.75" customHeight="1">
      <c r="E164" s="151"/>
    </row>
    <row r="165" ht="15.75" customHeight="1">
      <c r="E165" s="151"/>
    </row>
    <row r="166" ht="15.75" customHeight="1">
      <c r="E166" s="151"/>
    </row>
    <row r="167" ht="15.75" customHeight="1">
      <c r="E167" s="151"/>
    </row>
    <row r="168" ht="15.75" customHeight="1">
      <c r="E168" s="151"/>
    </row>
    <row r="169" ht="15.75" customHeight="1">
      <c r="E169" s="151"/>
    </row>
    <row r="170" ht="15.75" customHeight="1">
      <c r="E170" s="151"/>
    </row>
    <row r="171" ht="15.75" customHeight="1">
      <c r="E171" s="151"/>
    </row>
    <row r="172" ht="15.75" customHeight="1">
      <c r="E172" s="151"/>
    </row>
    <row r="173" ht="15.75" customHeight="1">
      <c r="E173" s="151"/>
    </row>
    <row r="174" ht="15.75" customHeight="1">
      <c r="E174" s="151"/>
    </row>
    <row r="175" ht="15.75" customHeight="1">
      <c r="E175" s="151"/>
    </row>
    <row r="176" ht="15.75" customHeight="1">
      <c r="E176" s="151"/>
    </row>
    <row r="177" ht="15.75" customHeight="1">
      <c r="E177" s="151"/>
    </row>
    <row r="178" ht="15.75" customHeight="1">
      <c r="E178" s="151"/>
    </row>
    <row r="179" ht="15.75" customHeight="1">
      <c r="E179" s="151"/>
    </row>
    <row r="180" ht="15.75" customHeight="1">
      <c r="E180" s="151"/>
    </row>
    <row r="181" ht="15.75" customHeight="1">
      <c r="E181" s="151"/>
    </row>
    <row r="182" ht="15.75" customHeight="1">
      <c r="E182" s="151"/>
    </row>
    <row r="183" ht="15.75" customHeight="1">
      <c r="E183" s="151"/>
    </row>
    <row r="184" ht="15.75" customHeight="1">
      <c r="E184" s="151"/>
    </row>
    <row r="185" ht="15.75" customHeight="1">
      <c r="E185" s="151"/>
    </row>
    <row r="186" ht="15.75" customHeight="1">
      <c r="E186" s="151"/>
    </row>
    <row r="187" ht="15.75" customHeight="1">
      <c r="E187" s="151"/>
    </row>
    <row r="188" ht="15.75" customHeight="1">
      <c r="E188" s="151"/>
    </row>
    <row r="189" ht="15.75" customHeight="1">
      <c r="E189" s="151"/>
    </row>
    <row r="190" ht="15.75" customHeight="1">
      <c r="E190" s="151"/>
    </row>
    <row r="191" ht="15.75" customHeight="1">
      <c r="E191" s="151"/>
    </row>
    <row r="192" ht="15.75" customHeight="1">
      <c r="E192" s="151"/>
    </row>
    <row r="193" ht="15.75" customHeight="1">
      <c r="E193" s="151"/>
    </row>
    <row r="194" ht="15.75" customHeight="1">
      <c r="E194" s="151"/>
    </row>
    <row r="195" ht="15.75" customHeight="1">
      <c r="E195" s="151"/>
    </row>
    <row r="196" ht="15.75" customHeight="1">
      <c r="E196" s="151"/>
    </row>
    <row r="197" ht="15.75" customHeight="1">
      <c r="E197" s="151"/>
    </row>
    <row r="198" ht="15.75" customHeight="1">
      <c r="E198" s="151"/>
    </row>
    <row r="199" ht="15.75" customHeight="1">
      <c r="E199" s="151"/>
    </row>
    <row r="200" ht="15.75" customHeight="1">
      <c r="E200" s="151"/>
    </row>
    <row r="201" ht="15.75" customHeight="1">
      <c r="E201" s="151"/>
    </row>
    <row r="202" ht="15.75" customHeight="1">
      <c r="E202" s="151"/>
    </row>
    <row r="203" ht="15.75" customHeight="1">
      <c r="E203" s="151"/>
    </row>
    <row r="204" ht="15.75" customHeight="1">
      <c r="E204" s="151"/>
    </row>
    <row r="205" ht="15.75" customHeight="1">
      <c r="E205" s="151"/>
    </row>
    <row r="206" ht="15.75" customHeight="1">
      <c r="E206" s="151"/>
    </row>
    <row r="207" ht="15.75" customHeight="1">
      <c r="E207" s="151"/>
    </row>
    <row r="208" ht="15.75" customHeight="1">
      <c r="E208" s="151"/>
    </row>
    <row r="209" ht="15.75" customHeight="1">
      <c r="E209" s="151"/>
    </row>
    <row r="210" ht="15.75" customHeight="1">
      <c r="E210" s="151"/>
    </row>
    <row r="211" ht="15.75" customHeight="1">
      <c r="E211" s="151"/>
    </row>
    <row r="212" ht="15.75" customHeight="1">
      <c r="E212" s="151"/>
    </row>
    <row r="213" ht="15.75" customHeight="1">
      <c r="E213" s="151"/>
    </row>
    <row r="214" ht="15.75" customHeight="1">
      <c r="E214" s="151"/>
    </row>
    <row r="215" ht="15.75" customHeight="1">
      <c r="E215" s="151"/>
    </row>
    <row r="216" ht="15.75" customHeight="1">
      <c r="E216" s="151"/>
    </row>
    <row r="217" ht="15.75" customHeight="1">
      <c r="E217" s="151"/>
    </row>
    <row r="218" ht="15.75" customHeight="1">
      <c r="E218" s="151"/>
    </row>
    <row r="219" ht="15.75" customHeight="1">
      <c r="E219" s="151"/>
    </row>
    <row r="220" ht="15.75" customHeight="1">
      <c r="E220" s="1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2" width="13.88"/>
    <col customWidth="1" min="3" max="3" width="52.63"/>
    <col customWidth="1" min="4" max="4" width="20.13"/>
    <col customWidth="1" min="5" max="7" width="17.63"/>
  </cols>
  <sheetData>
    <row r="1" ht="15.75" customHeight="1">
      <c r="A1" s="22" t="s">
        <v>1596</v>
      </c>
      <c r="B1" s="22" t="s">
        <v>1667</v>
      </c>
      <c r="C1" s="22" t="s">
        <v>1668</v>
      </c>
      <c r="D1" s="22" t="s">
        <v>1669</v>
      </c>
      <c r="E1" s="22" t="s">
        <v>1670</v>
      </c>
      <c r="F1" s="22" t="s">
        <v>938</v>
      </c>
      <c r="G1" s="22" t="s">
        <v>1671</v>
      </c>
    </row>
    <row r="2" ht="15.75" customHeight="1">
      <c r="A2" s="302">
        <v>46294.375</v>
      </c>
      <c r="B2" s="22" t="s">
        <v>1672</v>
      </c>
      <c r="C2" s="22" t="s">
        <v>1673</v>
      </c>
      <c r="D2" s="303">
        <v>600000.0</v>
      </c>
      <c r="E2" s="22" t="s">
        <v>1674</v>
      </c>
      <c r="F2" s="22" t="s">
        <v>1675</v>
      </c>
      <c r="G2" s="22">
        <v>1.0</v>
      </c>
    </row>
    <row r="3" ht="15.75" customHeight="1">
      <c r="A3" s="302">
        <v>46294.375</v>
      </c>
      <c r="B3" s="22" t="s">
        <v>1672</v>
      </c>
      <c r="C3" s="22" t="s">
        <v>1676</v>
      </c>
      <c r="D3" s="303">
        <v>850000.0</v>
      </c>
      <c r="E3" s="22" t="s">
        <v>1677</v>
      </c>
      <c r="F3" s="22" t="s">
        <v>1675</v>
      </c>
      <c r="G3" s="22">
        <v>2.0</v>
      </c>
    </row>
    <row r="4" ht="15.75" customHeight="1">
      <c r="A4" s="302">
        <v>46294.375</v>
      </c>
      <c r="B4" s="22" t="s">
        <v>1678</v>
      </c>
      <c r="C4" s="22" t="s">
        <v>1679</v>
      </c>
      <c r="D4" s="303">
        <v>150000.0</v>
      </c>
      <c r="E4" s="22" t="s">
        <v>1680</v>
      </c>
      <c r="F4" s="22" t="s">
        <v>1675</v>
      </c>
      <c r="G4" s="22">
        <v>1.0</v>
      </c>
    </row>
    <row r="5" ht="15.75" customHeight="1">
      <c r="A5" s="302">
        <v>46294.375</v>
      </c>
      <c r="B5" s="22" t="s">
        <v>1678</v>
      </c>
      <c r="C5" s="22" t="s">
        <v>1681</v>
      </c>
      <c r="D5" s="303">
        <v>850000.0</v>
      </c>
      <c r="E5" s="22" t="s">
        <v>1682</v>
      </c>
      <c r="F5" s="22" t="s">
        <v>1683</v>
      </c>
      <c r="G5" s="22">
        <v>0.0</v>
      </c>
    </row>
    <row r="6" ht="15.75" customHeight="1">
      <c r="A6" s="302">
        <v>46294.375</v>
      </c>
      <c r="B6" s="22" t="s">
        <v>1684</v>
      </c>
      <c r="C6" s="22" t="s">
        <v>1685</v>
      </c>
      <c r="D6" s="303">
        <v>280000.0</v>
      </c>
      <c r="E6" s="22" t="s">
        <v>1686</v>
      </c>
      <c r="F6" s="22" t="s">
        <v>1675</v>
      </c>
      <c r="G6" s="22">
        <v>3.0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3F49"/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3.88"/>
    <col customWidth="1" min="3" max="3" width="16.38"/>
    <col customWidth="1" min="4" max="4" width="22.63"/>
    <col customWidth="1" min="5" max="6" width="20.13"/>
    <col customWidth="1" min="7" max="7" width="28.13"/>
    <col customWidth="1" min="8" max="8" width="14.5"/>
    <col customWidth="1" min="26" max="26" width="21.38"/>
    <col customWidth="1" min="27" max="29" width="16.38"/>
  </cols>
  <sheetData>
    <row r="1" ht="19.5" customHeight="1">
      <c r="A1" s="162" t="s">
        <v>1689</v>
      </c>
      <c r="B1" s="162" t="s">
        <v>433</v>
      </c>
      <c r="C1" s="162" t="s">
        <v>434</v>
      </c>
      <c r="D1" s="162" t="s">
        <v>1690</v>
      </c>
      <c r="E1" s="162" t="s">
        <v>496</v>
      </c>
      <c r="F1" s="162" t="s">
        <v>1691</v>
      </c>
      <c r="G1" s="162" t="s">
        <v>1692</v>
      </c>
      <c r="H1" s="162" t="s">
        <v>445</v>
      </c>
      <c r="Z1" s="22" t="s">
        <v>446</v>
      </c>
      <c r="AA1" s="22" t="s">
        <v>447</v>
      </c>
      <c r="AB1" s="22" t="s">
        <v>448</v>
      </c>
      <c r="AC1" s="22" t="s">
        <v>449</v>
      </c>
    </row>
    <row r="2" ht="15.75" customHeight="1">
      <c r="A2" s="22" t="s">
        <v>1693</v>
      </c>
      <c r="B2" s="22" t="s">
        <v>451</v>
      </c>
      <c r="C2" s="22" t="s">
        <v>452</v>
      </c>
      <c r="D2" s="305">
        <v>46277.0</v>
      </c>
      <c r="E2" s="151">
        <v>450000.0</v>
      </c>
      <c r="F2" s="22" t="s">
        <v>1694</v>
      </c>
      <c r="G2" s="22" t="s">
        <v>1695</v>
      </c>
      <c r="H2" s="170">
        <v>46285.693569826384</v>
      </c>
    </row>
    <row r="3" ht="15.75" customHeight="1">
      <c r="A3" s="22" t="s">
        <v>1696</v>
      </c>
      <c r="B3" s="22" t="s">
        <v>568</v>
      </c>
      <c r="C3" s="22" t="s">
        <v>569</v>
      </c>
      <c r="D3" s="305">
        <v>46281.0</v>
      </c>
      <c r="E3" s="151">
        <v>1200000.0</v>
      </c>
      <c r="F3" s="22" t="s">
        <v>1694</v>
      </c>
      <c r="G3" s="22" t="s">
        <v>1697</v>
      </c>
      <c r="H3" s="170">
        <v>46285.693569826384</v>
      </c>
    </row>
    <row r="4" ht="15.75" customHeight="1">
      <c r="A4" s="22" t="s">
        <v>1698</v>
      </c>
      <c r="B4" s="22" t="s">
        <v>451</v>
      </c>
      <c r="C4" s="22" t="s">
        <v>452</v>
      </c>
      <c r="D4" s="305">
        <v>46307.0</v>
      </c>
      <c r="E4" s="151">
        <v>75000.0</v>
      </c>
      <c r="F4" s="22" t="s">
        <v>1699</v>
      </c>
      <c r="G4" s="22" t="s">
        <v>1700</v>
      </c>
      <c r="H4" s="170">
        <v>46285.693569826384</v>
      </c>
    </row>
    <row r="5" ht="15.75" customHeight="1">
      <c r="A5" s="22" t="s">
        <v>1701</v>
      </c>
      <c r="B5" s="22" t="s">
        <v>568</v>
      </c>
      <c r="C5" s="22" t="s">
        <v>569</v>
      </c>
      <c r="D5" s="305">
        <v>46311.0</v>
      </c>
      <c r="E5" s="151">
        <v>150000.0</v>
      </c>
      <c r="F5" s="22" t="s">
        <v>1699</v>
      </c>
      <c r="G5" s="22" t="s">
        <v>1702</v>
      </c>
      <c r="H5" s="170">
        <v>46285.693569826384</v>
      </c>
    </row>
    <row r="6" ht="15.75" customHeight="1">
      <c r="A6" s="22" t="s">
        <v>1703</v>
      </c>
      <c r="B6" s="22" t="s">
        <v>451</v>
      </c>
      <c r="C6" s="22" t="s">
        <v>452</v>
      </c>
      <c r="D6" s="305">
        <v>46338.0</v>
      </c>
      <c r="E6" s="151">
        <v>95000.0</v>
      </c>
      <c r="F6" s="22" t="s">
        <v>1704</v>
      </c>
      <c r="G6" s="22" t="s">
        <v>1705</v>
      </c>
      <c r="H6" s="170">
        <v>46285.693569826384</v>
      </c>
    </row>
    <row r="7" ht="15.75" customHeight="1">
      <c r="A7" s="22" t="s">
        <v>1706</v>
      </c>
      <c r="B7" s="22" t="s">
        <v>568</v>
      </c>
      <c r="C7" s="22" t="s">
        <v>569</v>
      </c>
      <c r="D7" s="305">
        <v>46342.0</v>
      </c>
      <c r="E7" s="151">
        <v>150000.0</v>
      </c>
      <c r="F7" s="22" t="s">
        <v>1699</v>
      </c>
      <c r="G7" s="22" t="s">
        <v>1707</v>
      </c>
      <c r="H7" s="170">
        <v>46285.693569826384</v>
      </c>
    </row>
    <row r="8" ht="15.75" customHeight="1">
      <c r="D8" s="305"/>
      <c r="E8" s="151"/>
    </row>
    <row r="9" ht="15.75" customHeight="1">
      <c r="D9" s="305"/>
      <c r="E9" s="151"/>
    </row>
    <row r="10" ht="15.75" customHeight="1">
      <c r="D10" s="305"/>
      <c r="E10" s="151"/>
    </row>
    <row r="11" ht="15.75" customHeight="1">
      <c r="D11" s="305"/>
      <c r="E11" s="151"/>
    </row>
    <row r="12" ht="15.75" customHeight="1">
      <c r="D12" s="305"/>
      <c r="E12" s="151"/>
    </row>
    <row r="13" ht="15.75" customHeight="1">
      <c r="D13" s="305"/>
      <c r="E13" s="151"/>
    </row>
    <row r="14" ht="15.75" customHeight="1">
      <c r="D14" s="305"/>
      <c r="E14" s="151"/>
    </row>
    <row r="15" ht="15.75" customHeight="1">
      <c r="D15" s="305"/>
      <c r="E15" s="151"/>
    </row>
    <row r="16" ht="15.75" customHeight="1">
      <c r="D16" s="305"/>
      <c r="E16" s="151"/>
    </row>
    <row r="17" ht="15.75" customHeight="1">
      <c r="D17" s="305"/>
      <c r="E17" s="151"/>
    </row>
    <row r="18" ht="15.75" customHeight="1">
      <c r="D18" s="305"/>
      <c r="E18" s="151"/>
    </row>
    <row r="19" ht="15.75" customHeight="1">
      <c r="D19" s="305"/>
      <c r="E19" s="151"/>
    </row>
    <row r="20" ht="15.75" customHeight="1">
      <c r="D20" s="305"/>
      <c r="E20" s="151"/>
    </row>
    <row r="21" ht="15.75" customHeight="1">
      <c r="D21" s="305"/>
      <c r="E21" s="151"/>
    </row>
    <row r="22" ht="15.75" customHeight="1">
      <c r="D22" s="305"/>
      <c r="E22" s="151"/>
    </row>
    <row r="23" ht="15.75" customHeight="1">
      <c r="D23" s="305"/>
      <c r="E23" s="151"/>
    </row>
    <row r="24" ht="15.75" customHeight="1">
      <c r="D24" s="305"/>
      <c r="E24" s="151"/>
    </row>
    <row r="25" ht="15.75" customHeight="1">
      <c r="D25" s="305"/>
      <c r="E25" s="151"/>
    </row>
    <row r="26" ht="15.75" customHeight="1">
      <c r="D26" s="305"/>
      <c r="E26" s="151"/>
    </row>
    <row r="27" ht="15.75" customHeight="1">
      <c r="D27" s="305"/>
      <c r="E27" s="151"/>
    </row>
    <row r="28" ht="15.75" customHeight="1">
      <c r="D28" s="305"/>
      <c r="E28" s="151"/>
    </row>
    <row r="29" ht="15.75" customHeight="1">
      <c r="D29" s="305"/>
      <c r="E29" s="151"/>
    </row>
    <row r="30" ht="15.75" customHeight="1">
      <c r="D30" s="305"/>
      <c r="E30" s="151"/>
    </row>
    <row r="31" ht="15.75" customHeight="1">
      <c r="D31" s="305"/>
      <c r="E31" s="151"/>
    </row>
    <row r="32" ht="15.75" customHeight="1">
      <c r="D32" s="305"/>
      <c r="E32" s="151"/>
    </row>
    <row r="33" ht="15.75" customHeight="1">
      <c r="D33" s="305"/>
      <c r="E33" s="151"/>
    </row>
    <row r="34" ht="15.75" customHeight="1">
      <c r="D34" s="305"/>
      <c r="E34" s="151"/>
    </row>
    <row r="35" ht="15.75" customHeight="1">
      <c r="D35" s="305"/>
      <c r="E35" s="151"/>
    </row>
    <row r="36" ht="15.75" customHeight="1">
      <c r="D36" s="305"/>
      <c r="E36" s="151"/>
    </row>
    <row r="37" ht="15.75" customHeight="1">
      <c r="D37" s="305"/>
      <c r="E37" s="151"/>
    </row>
    <row r="38" ht="15.75" customHeight="1">
      <c r="D38" s="305"/>
      <c r="E38" s="151"/>
    </row>
    <row r="39" ht="15.75" customHeight="1">
      <c r="D39" s="305"/>
      <c r="E39" s="151"/>
    </row>
    <row r="40" ht="15.75" customHeight="1">
      <c r="D40" s="305"/>
      <c r="E40" s="151"/>
    </row>
    <row r="41" ht="15.75" customHeight="1">
      <c r="D41" s="305"/>
      <c r="E41" s="151"/>
    </row>
    <row r="42" ht="15.75" customHeight="1">
      <c r="D42" s="305"/>
      <c r="E42" s="151"/>
    </row>
    <row r="43" ht="15.75" customHeight="1">
      <c r="D43" s="305"/>
      <c r="E43" s="151"/>
    </row>
    <row r="44" ht="15.75" customHeight="1">
      <c r="D44" s="305"/>
      <c r="E44" s="151"/>
    </row>
    <row r="45" ht="15.75" customHeight="1">
      <c r="D45" s="305"/>
      <c r="E45" s="151"/>
    </row>
    <row r="46" ht="15.75" customHeight="1">
      <c r="D46" s="305"/>
      <c r="E46" s="151"/>
    </row>
    <row r="47" ht="15.75" customHeight="1">
      <c r="D47" s="305"/>
      <c r="E47" s="151"/>
    </row>
    <row r="48" ht="15.75" customHeight="1">
      <c r="D48" s="305"/>
      <c r="E48" s="151"/>
    </row>
    <row r="49" ht="15.75" customHeight="1">
      <c r="D49" s="305"/>
      <c r="E49" s="151"/>
    </row>
    <row r="50" ht="15.75" customHeight="1">
      <c r="D50" s="305"/>
      <c r="E50" s="151"/>
    </row>
    <row r="51" ht="15.75" customHeight="1">
      <c r="D51" s="305"/>
      <c r="E51" s="151"/>
    </row>
    <row r="52" ht="15.75" customHeight="1">
      <c r="D52" s="305"/>
      <c r="E52" s="151"/>
    </row>
    <row r="53" ht="15.75" customHeight="1">
      <c r="D53" s="305"/>
      <c r="E53" s="151"/>
    </row>
    <row r="54" ht="15.75" customHeight="1">
      <c r="D54" s="305"/>
      <c r="E54" s="151"/>
    </row>
    <row r="55" ht="15.75" customHeight="1">
      <c r="D55" s="305"/>
      <c r="E55" s="151"/>
    </row>
    <row r="56" ht="15.75" customHeight="1">
      <c r="D56" s="305"/>
      <c r="E56" s="151"/>
    </row>
    <row r="57" ht="15.75" customHeight="1">
      <c r="D57" s="305"/>
      <c r="E57" s="151"/>
    </row>
    <row r="58" ht="15.75" customHeight="1">
      <c r="D58" s="305"/>
      <c r="E58" s="151"/>
    </row>
    <row r="59" ht="15.75" customHeight="1">
      <c r="D59" s="305"/>
      <c r="E59" s="151"/>
    </row>
    <row r="60" ht="15.75" customHeight="1">
      <c r="D60" s="305"/>
      <c r="E60" s="151"/>
    </row>
    <row r="61" ht="15.75" customHeight="1">
      <c r="D61" s="305"/>
      <c r="E61" s="151"/>
    </row>
    <row r="62" ht="15.75" customHeight="1">
      <c r="D62" s="305"/>
      <c r="E62" s="151"/>
    </row>
    <row r="63" ht="15.75" customHeight="1">
      <c r="D63" s="305"/>
      <c r="E63" s="151"/>
    </row>
    <row r="64" ht="15.75" customHeight="1">
      <c r="D64" s="305"/>
      <c r="E64" s="151"/>
    </row>
    <row r="65" ht="15.75" customHeight="1">
      <c r="D65" s="305"/>
      <c r="E65" s="151"/>
    </row>
    <row r="66" ht="15.75" customHeight="1">
      <c r="D66" s="305"/>
      <c r="E66" s="151"/>
    </row>
    <row r="67" ht="15.75" customHeight="1">
      <c r="D67" s="305"/>
      <c r="E67" s="151"/>
    </row>
    <row r="68" ht="15.75" customHeight="1">
      <c r="D68" s="305"/>
      <c r="E68" s="151"/>
    </row>
    <row r="69" ht="15.75" customHeight="1">
      <c r="D69" s="305"/>
      <c r="E69" s="151"/>
    </row>
    <row r="70" ht="15.75" customHeight="1">
      <c r="D70" s="305"/>
      <c r="E70" s="151"/>
    </row>
    <row r="71" ht="15.75" customHeight="1">
      <c r="D71" s="305"/>
      <c r="E71" s="151"/>
    </row>
    <row r="72" ht="15.75" customHeight="1">
      <c r="D72" s="305"/>
      <c r="E72" s="151"/>
    </row>
    <row r="73" ht="15.75" customHeight="1">
      <c r="D73" s="305"/>
      <c r="E73" s="151"/>
    </row>
    <row r="74" ht="15.75" customHeight="1">
      <c r="D74" s="305"/>
      <c r="E74" s="151"/>
    </row>
    <row r="75" ht="15.75" customHeight="1">
      <c r="D75" s="305"/>
      <c r="E75" s="151"/>
    </row>
    <row r="76" ht="15.75" customHeight="1">
      <c r="D76" s="305"/>
      <c r="E76" s="151"/>
    </row>
    <row r="77" ht="15.75" customHeight="1">
      <c r="D77" s="305"/>
      <c r="E77" s="151"/>
    </row>
    <row r="78" ht="15.75" customHeight="1">
      <c r="D78" s="305"/>
      <c r="E78" s="151"/>
    </row>
    <row r="79" ht="15.75" customHeight="1">
      <c r="D79" s="305"/>
      <c r="E79" s="151"/>
    </row>
    <row r="80" ht="15.75" customHeight="1">
      <c r="D80" s="305"/>
      <c r="E80" s="151"/>
    </row>
    <row r="81" ht="15.75" customHeight="1">
      <c r="D81" s="305"/>
      <c r="E81" s="151"/>
    </row>
    <row r="82" ht="15.75" customHeight="1">
      <c r="D82" s="305"/>
      <c r="E82" s="151"/>
    </row>
    <row r="83" ht="15.75" customHeight="1">
      <c r="D83" s="305"/>
      <c r="E83" s="151"/>
    </row>
    <row r="84" ht="15.75" customHeight="1">
      <c r="D84" s="305"/>
      <c r="E84" s="151"/>
    </row>
    <row r="85" ht="15.75" customHeight="1">
      <c r="D85" s="305"/>
      <c r="E85" s="151"/>
    </row>
    <row r="86" ht="15.75" customHeight="1">
      <c r="D86" s="305"/>
      <c r="E86" s="151"/>
    </row>
    <row r="87" ht="15.75" customHeight="1">
      <c r="D87" s="305"/>
      <c r="E87" s="151"/>
    </row>
    <row r="88" ht="15.75" customHeight="1">
      <c r="D88" s="305"/>
      <c r="E88" s="151"/>
    </row>
    <row r="89" ht="15.75" customHeight="1">
      <c r="D89" s="305"/>
      <c r="E89" s="151"/>
    </row>
    <row r="90" ht="15.75" customHeight="1">
      <c r="D90" s="305"/>
      <c r="E90" s="151"/>
    </row>
    <row r="91" ht="15.75" customHeight="1">
      <c r="D91" s="305"/>
      <c r="E91" s="151"/>
    </row>
    <row r="92" ht="15.75" customHeight="1">
      <c r="D92" s="305"/>
      <c r="E92" s="151"/>
    </row>
    <row r="93" ht="15.75" customHeight="1">
      <c r="D93" s="305"/>
      <c r="E93" s="151"/>
    </row>
    <row r="94" ht="15.75" customHeight="1">
      <c r="D94" s="305"/>
      <c r="E94" s="151"/>
    </row>
    <row r="95" ht="15.75" customHeight="1">
      <c r="D95" s="305"/>
      <c r="E95" s="151"/>
    </row>
    <row r="96" ht="15.75" customHeight="1">
      <c r="D96" s="305"/>
      <c r="E96" s="151"/>
    </row>
    <row r="97" ht="15.75" customHeight="1">
      <c r="D97" s="305"/>
      <c r="E97" s="151"/>
    </row>
    <row r="98" ht="15.75" customHeight="1">
      <c r="D98" s="305"/>
      <c r="E98" s="151"/>
    </row>
    <row r="99" ht="15.75" customHeight="1">
      <c r="D99" s="305"/>
      <c r="E99" s="151"/>
    </row>
    <row r="100" ht="15.75" customHeight="1">
      <c r="D100" s="305"/>
      <c r="E100" s="151"/>
    </row>
    <row r="101" ht="15.75" customHeight="1">
      <c r="D101" s="305"/>
      <c r="E101" s="151"/>
    </row>
    <row r="102" ht="15.75" customHeight="1">
      <c r="D102" s="305"/>
      <c r="E102" s="151"/>
    </row>
    <row r="103" ht="15.75" customHeight="1">
      <c r="D103" s="305"/>
      <c r="E103" s="151"/>
    </row>
    <row r="104" ht="15.75" customHeight="1">
      <c r="D104" s="305"/>
      <c r="E104" s="151"/>
    </row>
    <row r="105" ht="15.75" customHeight="1">
      <c r="D105" s="305"/>
      <c r="E105" s="151"/>
    </row>
    <row r="106" ht="15.75" customHeight="1">
      <c r="D106" s="305"/>
      <c r="E106" s="151"/>
    </row>
    <row r="107" ht="15.75" customHeight="1">
      <c r="D107" s="305"/>
      <c r="E107" s="151"/>
    </row>
    <row r="108" ht="15.75" customHeight="1">
      <c r="D108" s="305"/>
      <c r="E108" s="151"/>
    </row>
    <row r="109" ht="15.75" customHeight="1">
      <c r="D109" s="305"/>
      <c r="E109" s="151"/>
    </row>
    <row r="110" ht="15.75" customHeight="1">
      <c r="D110" s="305"/>
      <c r="E110" s="151"/>
    </row>
    <row r="111" ht="15.75" customHeight="1">
      <c r="D111" s="305"/>
      <c r="E111" s="151"/>
    </row>
    <row r="112" ht="15.75" customHeight="1">
      <c r="D112" s="305"/>
      <c r="E112" s="151"/>
    </row>
    <row r="113" ht="15.75" customHeight="1">
      <c r="D113" s="305"/>
      <c r="E113" s="151"/>
    </row>
    <row r="114" ht="15.75" customHeight="1">
      <c r="D114" s="305"/>
      <c r="E114" s="151"/>
    </row>
    <row r="115" ht="15.75" customHeight="1">
      <c r="D115" s="305"/>
      <c r="E115" s="151"/>
    </row>
    <row r="116" ht="15.75" customHeight="1">
      <c r="D116" s="305"/>
      <c r="E116" s="151"/>
    </row>
    <row r="117" ht="15.75" customHeight="1">
      <c r="D117" s="305"/>
      <c r="E117" s="151"/>
    </row>
    <row r="118" ht="15.75" customHeight="1">
      <c r="D118" s="305"/>
      <c r="E118" s="151"/>
    </row>
    <row r="119" ht="15.75" customHeight="1">
      <c r="D119" s="305"/>
      <c r="E119" s="151"/>
    </row>
    <row r="120" ht="15.75" customHeight="1">
      <c r="D120" s="305"/>
      <c r="E120" s="151"/>
    </row>
    <row r="121" ht="15.75" customHeight="1">
      <c r="D121" s="305"/>
      <c r="E121" s="151"/>
    </row>
    <row r="122" ht="15.75" customHeight="1">
      <c r="D122" s="305"/>
      <c r="E122" s="151"/>
    </row>
    <row r="123" ht="15.75" customHeight="1">
      <c r="D123" s="305"/>
      <c r="E123" s="151"/>
    </row>
    <row r="124" ht="15.75" customHeight="1">
      <c r="D124" s="305"/>
      <c r="E124" s="151"/>
    </row>
    <row r="125" ht="15.75" customHeight="1">
      <c r="D125" s="305"/>
      <c r="E125" s="151"/>
    </row>
    <row r="126" ht="15.75" customHeight="1">
      <c r="D126" s="305"/>
      <c r="E126" s="151"/>
    </row>
    <row r="127" ht="15.75" customHeight="1">
      <c r="D127" s="305"/>
      <c r="E127" s="151"/>
    </row>
    <row r="128" ht="15.75" customHeight="1">
      <c r="D128" s="305"/>
      <c r="E128" s="151"/>
    </row>
    <row r="129" ht="15.75" customHeight="1">
      <c r="D129" s="305"/>
      <c r="E129" s="151"/>
    </row>
    <row r="130" ht="15.75" customHeight="1">
      <c r="D130" s="305"/>
      <c r="E130" s="151"/>
    </row>
    <row r="131" ht="15.75" customHeight="1">
      <c r="D131" s="305"/>
      <c r="E131" s="151"/>
    </row>
    <row r="132" ht="15.75" customHeight="1">
      <c r="D132" s="305"/>
      <c r="E132" s="151"/>
    </row>
    <row r="133" ht="15.75" customHeight="1">
      <c r="D133" s="305"/>
      <c r="E133" s="151"/>
    </row>
    <row r="134" ht="15.75" customHeight="1">
      <c r="D134" s="305"/>
      <c r="E134" s="151"/>
    </row>
    <row r="135" ht="15.75" customHeight="1">
      <c r="D135" s="305"/>
      <c r="E135" s="151"/>
    </row>
    <row r="136" ht="15.75" customHeight="1">
      <c r="D136" s="305"/>
      <c r="E136" s="151"/>
    </row>
    <row r="137" ht="15.75" customHeight="1">
      <c r="D137" s="305"/>
      <c r="E137" s="151"/>
    </row>
    <row r="138" ht="15.75" customHeight="1">
      <c r="D138" s="305"/>
      <c r="E138" s="151"/>
    </row>
    <row r="139" ht="15.75" customHeight="1">
      <c r="D139" s="305"/>
      <c r="E139" s="151"/>
    </row>
    <row r="140" ht="15.75" customHeight="1">
      <c r="D140" s="305"/>
      <c r="E140" s="151"/>
    </row>
    <row r="141" ht="15.75" customHeight="1">
      <c r="D141" s="305"/>
      <c r="E141" s="151"/>
    </row>
    <row r="142" ht="15.75" customHeight="1">
      <c r="D142" s="305"/>
      <c r="E142" s="151"/>
    </row>
    <row r="143" ht="15.75" customHeight="1">
      <c r="D143" s="305"/>
      <c r="E143" s="151"/>
    </row>
    <row r="144" ht="15.75" customHeight="1">
      <c r="D144" s="305"/>
      <c r="E144" s="151"/>
    </row>
    <row r="145" ht="15.75" customHeight="1">
      <c r="D145" s="305"/>
      <c r="E145" s="151"/>
    </row>
    <row r="146" ht="15.75" customHeight="1">
      <c r="D146" s="305"/>
      <c r="E146" s="151"/>
    </row>
    <row r="147" ht="15.75" customHeight="1">
      <c r="D147" s="305"/>
      <c r="E147" s="151"/>
    </row>
    <row r="148" ht="15.75" customHeight="1">
      <c r="D148" s="305"/>
      <c r="E148" s="151"/>
    </row>
    <row r="149" ht="15.75" customHeight="1">
      <c r="D149" s="305"/>
      <c r="E149" s="151"/>
    </row>
    <row r="150" ht="15.75" customHeight="1">
      <c r="D150" s="305"/>
      <c r="E150" s="151"/>
    </row>
    <row r="151" ht="15.75" customHeight="1">
      <c r="D151" s="305"/>
      <c r="E151" s="151"/>
    </row>
    <row r="152" ht="15.75" customHeight="1">
      <c r="D152" s="305"/>
      <c r="E152" s="151"/>
    </row>
    <row r="153" ht="15.75" customHeight="1">
      <c r="D153" s="305"/>
      <c r="E153" s="151"/>
    </row>
    <row r="154" ht="15.75" customHeight="1">
      <c r="D154" s="305"/>
      <c r="E154" s="151"/>
    </row>
    <row r="155" ht="15.75" customHeight="1">
      <c r="D155" s="305"/>
      <c r="E155" s="151"/>
    </row>
    <row r="156" ht="15.75" customHeight="1">
      <c r="D156" s="305"/>
      <c r="E156" s="151"/>
    </row>
    <row r="157" ht="15.75" customHeight="1">
      <c r="D157" s="305"/>
      <c r="E157" s="151"/>
    </row>
    <row r="158" ht="15.75" customHeight="1">
      <c r="D158" s="305"/>
      <c r="E158" s="151"/>
    </row>
    <row r="159" ht="15.75" customHeight="1">
      <c r="D159" s="305"/>
      <c r="E159" s="151"/>
    </row>
    <row r="160" ht="15.75" customHeight="1">
      <c r="D160" s="305"/>
      <c r="E160" s="151"/>
    </row>
    <row r="161" ht="15.75" customHeight="1">
      <c r="D161" s="305"/>
      <c r="E161" s="151"/>
    </row>
    <row r="162" ht="15.75" customHeight="1">
      <c r="D162" s="305"/>
      <c r="E162" s="151"/>
    </row>
    <row r="163" ht="15.75" customHeight="1">
      <c r="D163" s="305"/>
      <c r="E163" s="151"/>
    </row>
    <row r="164" ht="15.75" customHeight="1">
      <c r="D164" s="305"/>
      <c r="E164" s="151"/>
    </row>
    <row r="165" ht="15.75" customHeight="1">
      <c r="D165" s="305"/>
      <c r="E165" s="151"/>
    </row>
    <row r="166" ht="15.75" customHeight="1">
      <c r="D166" s="305"/>
      <c r="E166" s="151"/>
    </row>
    <row r="167" ht="15.75" customHeight="1">
      <c r="D167" s="305"/>
      <c r="E167" s="151"/>
    </row>
    <row r="168" ht="15.75" customHeight="1">
      <c r="D168" s="305"/>
      <c r="E168" s="151"/>
    </row>
    <row r="169" ht="15.75" customHeight="1">
      <c r="D169" s="305"/>
      <c r="E169" s="151"/>
    </row>
    <row r="170" ht="15.75" customHeight="1">
      <c r="D170" s="305"/>
      <c r="E170" s="151"/>
    </row>
    <row r="171" ht="15.75" customHeight="1">
      <c r="D171" s="305"/>
      <c r="E171" s="151"/>
    </row>
    <row r="172" ht="15.75" customHeight="1">
      <c r="D172" s="305"/>
      <c r="E172" s="151"/>
    </row>
    <row r="173" ht="15.75" customHeight="1">
      <c r="D173" s="305"/>
      <c r="E173" s="151"/>
    </row>
    <row r="174" ht="15.75" customHeight="1">
      <c r="D174" s="305"/>
      <c r="E174" s="151"/>
    </row>
    <row r="175" ht="15.75" customHeight="1">
      <c r="D175" s="305"/>
      <c r="E175" s="151"/>
    </row>
    <row r="176" ht="15.75" customHeight="1">
      <c r="D176" s="305"/>
      <c r="E176" s="151"/>
    </row>
    <row r="177" ht="15.75" customHeight="1">
      <c r="D177" s="305"/>
      <c r="E177" s="151"/>
    </row>
    <row r="178" ht="15.75" customHeight="1">
      <c r="D178" s="305"/>
      <c r="E178" s="151"/>
    </row>
    <row r="179" ht="15.75" customHeight="1">
      <c r="D179" s="305"/>
      <c r="E179" s="151"/>
    </row>
    <row r="180" ht="15.75" customHeight="1">
      <c r="D180" s="305"/>
      <c r="E180" s="151"/>
    </row>
    <row r="181" ht="15.75" customHeight="1">
      <c r="D181" s="305"/>
      <c r="E181" s="151"/>
    </row>
    <row r="182" ht="15.75" customHeight="1">
      <c r="D182" s="305"/>
      <c r="E182" s="151"/>
    </row>
    <row r="183" ht="15.75" customHeight="1">
      <c r="D183" s="305"/>
      <c r="E183" s="151"/>
    </row>
    <row r="184" ht="15.75" customHeight="1">
      <c r="D184" s="305"/>
      <c r="E184" s="151"/>
    </row>
    <row r="185" ht="15.75" customHeight="1">
      <c r="D185" s="305"/>
      <c r="E185" s="151"/>
    </row>
    <row r="186" ht="15.75" customHeight="1">
      <c r="D186" s="305"/>
      <c r="E186" s="151"/>
    </row>
    <row r="187" ht="15.75" customHeight="1">
      <c r="D187" s="305"/>
      <c r="E187" s="151"/>
    </row>
    <row r="188" ht="15.75" customHeight="1">
      <c r="D188" s="305"/>
      <c r="E188" s="151"/>
    </row>
    <row r="189" ht="15.75" customHeight="1">
      <c r="D189" s="305"/>
      <c r="E189" s="151"/>
    </row>
    <row r="190" ht="15.75" customHeight="1">
      <c r="D190" s="305"/>
      <c r="E190" s="151"/>
    </row>
    <row r="191" ht="15.75" customHeight="1">
      <c r="D191" s="305"/>
      <c r="E191" s="151"/>
    </row>
    <row r="192" ht="15.75" customHeight="1">
      <c r="D192" s="305"/>
      <c r="E192" s="151"/>
    </row>
    <row r="193" ht="15.75" customHeight="1">
      <c r="D193" s="305"/>
      <c r="E193" s="151"/>
    </row>
    <row r="194" ht="15.75" customHeight="1">
      <c r="D194" s="305"/>
      <c r="E194" s="151"/>
    </row>
    <row r="195" ht="15.75" customHeight="1">
      <c r="D195" s="305"/>
      <c r="E195" s="151"/>
    </row>
    <row r="196" ht="15.75" customHeight="1">
      <c r="D196" s="305"/>
      <c r="E196" s="151"/>
    </row>
    <row r="197" ht="15.75" customHeight="1">
      <c r="D197" s="305"/>
      <c r="E197" s="151"/>
    </row>
    <row r="198" ht="15.75" customHeight="1">
      <c r="D198" s="305"/>
      <c r="E198" s="151"/>
    </row>
    <row r="199" ht="15.75" customHeight="1">
      <c r="D199" s="305"/>
      <c r="E199" s="151"/>
    </row>
    <row r="200" ht="15.75" customHeight="1">
      <c r="D200" s="305"/>
      <c r="E200" s="151"/>
    </row>
    <row r="201" ht="15.75" customHeight="1">
      <c r="D201" s="305"/>
      <c r="E201" s="151"/>
    </row>
    <row r="202" ht="15.75" customHeight="1">
      <c r="D202" s="305"/>
      <c r="E202" s="151"/>
    </row>
    <row r="203" ht="15.75" customHeight="1">
      <c r="D203" s="305"/>
      <c r="E203" s="151"/>
    </row>
    <row r="204" ht="15.75" customHeight="1">
      <c r="D204" s="305"/>
      <c r="E204" s="151"/>
    </row>
    <row r="205" ht="15.75" customHeight="1">
      <c r="D205" s="305"/>
      <c r="E205" s="151"/>
    </row>
    <row r="206" ht="15.75" customHeight="1">
      <c r="D206" s="305"/>
      <c r="E206" s="151"/>
    </row>
    <row r="207" ht="15.75" customHeight="1">
      <c r="D207" s="305"/>
      <c r="E207" s="151"/>
    </row>
    <row r="208" ht="15.75" customHeight="1">
      <c r="D208" s="305"/>
      <c r="E208" s="151"/>
    </row>
    <row r="209" ht="15.75" customHeight="1">
      <c r="D209" s="305"/>
      <c r="E209" s="151"/>
    </row>
    <row r="210" ht="15.75" customHeight="1">
      <c r="D210" s="305"/>
      <c r="E210" s="151"/>
    </row>
    <row r="211" ht="15.75" customHeight="1">
      <c r="D211" s="305"/>
      <c r="E211" s="151"/>
    </row>
    <row r="212" ht="15.75" customHeight="1">
      <c r="D212" s="305"/>
      <c r="E212" s="151"/>
    </row>
    <row r="213" ht="15.75" customHeight="1">
      <c r="D213" s="305"/>
      <c r="E213" s="151"/>
    </row>
    <row r="214" ht="15.75" customHeight="1">
      <c r="D214" s="305"/>
      <c r="E214" s="151"/>
    </row>
    <row r="215" ht="15.75" customHeight="1">
      <c r="D215" s="305"/>
      <c r="E215" s="151"/>
    </row>
    <row r="216" ht="15.75" customHeight="1">
      <c r="D216" s="305"/>
      <c r="E216" s="151"/>
    </row>
    <row r="217" ht="15.75" customHeight="1">
      <c r="D217" s="305"/>
      <c r="E217" s="151"/>
    </row>
    <row r="218" ht="15.75" customHeight="1">
      <c r="D218" s="305"/>
      <c r="E218" s="151"/>
    </row>
    <row r="219" ht="15.75" customHeight="1">
      <c r="D219" s="305"/>
      <c r="E219" s="151"/>
    </row>
    <row r="220" ht="15.75" customHeight="1">
      <c r="D220" s="305"/>
      <c r="E220" s="1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</sheetPr>
  <sheetViews>
    <sheetView workbookViewId="0"/>
  </sheetViews>
  <sheetFormatPr customHeight="1" defaultColWidth="12.63" defaultRowHeight="15.0"/>
  <cols>
    <col customWidth="1" min="1" max="1" width="77.63"/>
    <col customWidth="1" min="2" max="2" width="25.25"/>
    <col customWidth="1" min="3" max="3" width="31.5"/>
    <col customWidth="1" min="4" max="4" width="22.5"/>
    <col customWidth="1" min="5" max="5" width="21.0"/>
    <col customWidth="1" min="6" max="6" width="32.88"/>
    <col customWidth="1" min="7" max="7" width="20.5"/>
    <col customWidth="1" min="8" max="8" width="24.13"/>
    <col customWidth="1" min="9" max="9" width="32.63"/>
    <col customWidth="1" min="10" max="10" width="21.38"/>
    <col customWidth="1" min="11" max="11" width="14.38"/>
    <col customWidth="1" min="12" max="12" width="23.13"/>
    <col customWidth="1" min="13" max="13" width="23.5"/>
    <col customWidth="1" min="14" max="14" width="32.13"/>
    <col customWidth="1" min="16" max="16" width="14.5"/>
  </cols>
  <sheetData>
    <row r="1" ht="15.75" customHeight="1">
      <c r="A1" s="22" t="s">
        <v>1708</v>
      </c>
      <c r="B1" s="170">
        <f>DATE(2026, 9, 29)</f>
        <v>46294</v>
      </c>
      <c r="C1" s="22"/>
      <c r="D1" s="22"/>
      <c r="E1" s="22"/>
      <c r="F1" s="22"/>
      <c r="G1" s="22"/>
      <c r="P1" s="22">
        <f>'📊 Data_Quality'!C8</f>
        <v>1</v>
      </c>
    </row>
    <row r="2" ht="15.75" customHeight="1">
      <c r="A2" s="22">
        <v>1.0</v>
      </c>
      <c r="B2" s="22">
        <f>COUNTIF(raw_deals!$D$2:$D1000, 1)</f>
        <v>1</v>
      </c>
      <c r="C2" s="22">
        <f>SUMIF(raw_deals!$D$2:$D1000, 1, raw_deals!$C$2:$C1000)</f>
        <v>950000</v>
      </c>
      <c r="D2" s="22">
        <f>SUMIF(raw_deals!$D$2:$D1000, 1, raw_deals!$S$2:$S1000)</f>
        <v>47500</v>
      </c>
      <c r="E2" s="22">
        <f>COUNTIF(raw_deals!$D$2:$D1000, "&gt;=1")</f>
        <v>11</v>
      </c>
      <c r="F2" s="22">
        <f t="shared" ref="F2:F6" si="1">IFERROR(E3/MAX(E2,1), 0)</f>
        <v>0.9090909091</v>
      </c>
      <c r="G2" s="22">
        <f t="shared" ref="G2:G8" si="2">IFERROR(E2/MAX($E$2,1), 0)</f>
        <v>1</v>
      </c>
      <c r="P2" s="22" t="str">
        <f>'📊 Data_Quality'!C9</f>
        <v>🟢 EXCELLENT</v>
      </c>
    </row>
    <row r="3" ht="15.75" customHeight="1">
      <c r="A3" s="22">
        <v>2.0</v>
      </c>
      <c r="B3" s="22">
        <f>COUNTIF(raw_deals!$D$2:$D1000, 2)</f>
        <v>1</v>
      </c>
      <c r="C3" s="22">
        <f>SUMIF(raw_deals!$D$2:$D1000, 2, raw_deals!$C$2:$C1000)</f>
        <v>120000</v>
      </c>
      <c r="D3" s="22">
        <f>SUMIF(raw_deals!$D$2:$D1000, 2, raw_deals!$S$2:$S1000)</f>
        <v>18000</v>
      </c>
      <c r="E3" s="22">
        <f>COUNTIF(raw_deals!$D$2:$D1000, "&gt;=2")</f>
        <v>10</v>
      </c>
      <c r="F3" s="22">
        <f t="shared" si="1"/>
        <v>0.9</v>
      </c>
      <c r="G3" s="22">
        <f t="shared" si="2"/>
        <v>0.9090909091</v>
      </c>
    </row>
    <row r="4" ht="15.75" customHeight="1">
      <c r="A4" s="22">
        <v>3.0</v>
      </c>
      <c r="B4" s="22">
        <f>COUNTIF(raw_deals!$D$2:$D1000, 3)</f>
        <v>1</v>
      </c>
      <c r="C4" s="22">
        <f>SUMIF(raw_deals!$D$2:$D1000, 3, raw_deals!$C$2:$C1000)</f>
        <v>280000</v>
      </c>
      <c r="D4" s="22">
        <f>SUMIF(raw_deals!$D$2:$D1000, 3, raw_deals!$S$2:$S1000)</f>
        <v>98000</v>
      </c>
      <c r="E4" s="22">
        <f>COUNTIF(raw_deals!$D$2:$D1000, "&gt;=3")</f>
        <v>9</v>
      </c>
      <c r="F4" s="22">
        <f t="shared" si="1"/>
        <v>0.8888888889</v>
      </c>
      <c r="G4" s="22">
        <f t="shared" si="2"/>
        <v>0.8181818182</v>
      </c>
    </row>
    <row r="5" ht="15.75" customHeight="1">
      <c r="A5" s="22">
        <v>4.0</v>
      </c>
      <c r="B5" s="22">
        <f>COUNTIF(raw_deals!$D$2:$D1000, 4)</f>
        <v>2</v>
      </c>
      <c r="C5" s="22">
        <f>SUMIF(raw_deals!$D$2:$D1000, 4, raw_deals!$C$2:$C1000)</f>
        <v>3850000</v>
      </c>
      <c r="D5" s="22">
        <f>SUMIF(raw_deals!$D$2:$D1000, 4, raw_deals!$S$2:$S1000)</f>
        <v>2310000</v>
      </c>
      <c r="E5" s="22">
        <f>COUNTIF(raw_deals!$D$2:$D1000, "&gt;=4")</f>
        <v>8</v>
      </c>
      <c r="F5" s="22">
        <f t="shared" si="1"/>
        <v>0.75</v>
      </c>
      <c r="G5" s="22">
        <f t="shared" si="2"/>
        <v>0.7272727273</v>
      </c>
    </row>
    <row r="6" ht="15.75" customHeight="1">
      <c r="A6" s="22">
        <v>5.0</v>
      </c>
      <c r="B6" s="22">
        <f>COUNTIF(raw_deals!$D$2:$D1000, 5)</f>
        <v>2</v>
      </c>
      <c r="C6" s="22">
        <f>SUMIF(raw_deals!$D$2:$D1000, 5, raw_deals!$C$2:$C1000)</f>
        <v>330000</v>
      </c>
      <c r="D6" s="22">
        <f>SUMIF(raw_deals!$D$2:$D1000, 5, raw_deals!$S$2:$S1000)</f>
        <v>280500</v>
      </c>
      <c r="E6" s="22">
        <f>COUNTIF(raw_deals!$D$2:$D1000, "&gt;=5")</f>
        <v>6</v>
      </c>
      <c r="F6" s="22">
        <f t="shared" si="1"/>
        <v>0.3333333333</v>
      </c>
      <c r="G6" s="22">
        <f t="shared" si="2"/>
        <v>0.5454545455</v>
      </c>
    </row>
    <row r="7" ht="15.75" customHeight="1">
      <c r="A7" s="22">
        <v>6.0</v>
      </c>
      <c r="B7" s="22">
        <f>COUNTIF(raw_deals!$D$2:$D1000, 6)</f>
        <v>2</v>
      </c>
      <c r="C7" s="22">
        <f>SUMIF(raw_deals!$D$2:$D1000, 6, raw_deals!$C$2:$C1000)</f>
        <v>1650000</v>
      </c>
      <c r="D7" s="22">
        <f>SUMIF(raw_deals!$D$2:$D1000, 6, raw_deals!$S$2:$S1000)</f>
        <v>1650000</v>
      </c>
      <c r="E7" s="22">
        <f>COUNTIF(raw_deals!$D$2:$D1000, 6)</f>
        <v>2</v>
      </c>
      <c r="F7" s="22" t="s">
        <v>1709</v>
      </c>
      <c r="G7" s="22">
        <f t="shared" si="2"/>
        <v>0.1818181818</v>
      </c>
    </row>
    <row r="8" ht="15.75" customHeight="1">
      <c r="A8" s="22">
        <v>7.0</v>
      </c>
      <c r="B8" s="22">
        <f>COUNTIF(raw_deals!$D$2:$D1000, 7)</f>
        <v>2</v>
      </c>
      <c r="C8" s="22">
        <f>SUMIF(raw_deals!$D$2:$D1000, 7, raw_deals!$C$2:$C1000)</f>
        <v>1000000</v>
      </c>
      <c r="D8" s="22">
        <f>SUMIF(raw_deals!$D$2:$D1000, 7, raw_deals!$S$2:$S1000)</f>
        <v>0</v>
      </c>
      <c r="E8" s="22">
        <f>COUNTIF(raw_deals!$D$2:$D1000, 7)</f>
        <v>2</v>
      </c>
      <c r="F8" s="22" t="s">
        <v>1709</v>
      </c>
      <c r="G8" s="22">
        <f t="shared" si="2"/>
        <v>0.1818181818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A16" s="22" t="s">
        <v>1710</v>
      </c>
      <c r="B16" s="22">
        <f>COUNTIF(raw_deals!$D$2:$D1000, "&lt;=5")</f>
        <v>7</v>
      </c>
      <c r="C16" s="22" t="s">
        <v>1711</v>
      </c>
    </row>
    <row r="17" ht="15.75" customHeight="1">
      <c r="A17" s="22" t="s">
        <v>1712</v>
      </c>
      <c r="B17" s="22">
        <f>SUMIF(raw_deals!$D$2:$D1000, "&lt;=5", raw_deals!$C$2:$C1000)</f>
        <v>5530000</v>
      </c>
      <c r="C17" s="22" t="s">
        <v>1713</v>
      </c>
    </row>
    <row r="18" ht="15.75" customHeight="1">
      <c r="A18" s="22" t="s">
        <v>1714</v>
      </c>
      <c r="B18" s="22">
        <f>SUMIF(raw_deals!$D$2:$D1000, "&lt;=5", raw_deals!$S$2:$S1000)</f>
        <v>2754000</v>
      </c>
      <c r="C18" s="22" t="s">
        <v>1715</v>
      </c>
    </row>
    <row r="19" ht="15.75" customHeight="1">
      <c r="A19" s="22" t="s">
        <v>1716</v>
      </c>
      <c r="B19" s="22">
        <f>SUMIF(raw_deals!$D$2:$D1000, 6, raw_deals!$C$2:$C1000)</f>
        <v>1650000</v>
      </c>
      <c r="C19" s="22" t="s">
        <v>1717</v>
      </c>
    </row>
    <row r="20" ht="15.75" customHeight="1">
      <c r="A20" s="22" t="s">
        <v>1718</v>
      </c>
      <c r="B20" s="22">
        <f>IFERROR(B19/'⚙️ Настройки'!$B$9, 0)</f>
        <v>0.33</v>
      </c>
      <c r="C20" s="22" t="s">
        <v>1719</v>
      </c>
    </row>
    <row r="21" ht="15.75" customHeight="1">
      <c r="A21" s="22" t="s">
        <v>1720</v>
      </c>
      <c r="B21" s="22">
        <f>IFERROR(B19/MAX(B22,1), 0)</f>
        <v>825000</v>
      </c>
      <c r="C21" s="22" t="s">
        <v>1721</v>
      </c>
    </row>
    <row r="22" ht="15.75" customHeight="1">
      <c r="A22" s="22" t="s">
        <v>1722</v>
      </c>
      <c r="B22" s="22">
        <f>COUNTIF(raw_deals!$D$2:$D1000, 6)</f>
        <v>2</v>
      </c>
      <c r="C22" s="22" t="s">
        <v>1723</v>
      </c>
    </row>
    <row r="23" ht="15.75" customHeight="1">
      <c r="A23" s="22" t="s">
        <v>1724</v>
      </c>
      <c r="B23" s="22">
        <f>COUNTIF(raw_deals!$D$2:$D1000, 7)</f>
        <v>2</v>
      </c>
      <c r="C23" s="22" t="s">
        <v>1725</v>
      </c>
    </row>
    <row r="24" ht="15.75" customHeight="1">
      <c r="A24" s="22" t="s">
        <v>1726</v>
      </c>
      <c r="B24" s="22">
        <f>IFERROR(B22/MAX(B22+B23,1), 0)</f>
        <v>0.5</v>
      </c>
      <c r="C24" s="22" t="s">
        <v>1727</v>
      </c>
    </row>
    <row r="25" ht="15.75" customHeight="1">
      <c r="A25" s="22" t="s">
        <v>1728</v>
      </c>
      <c r="B25" s="22">
        <f>IFERROR(AVERAGEIFS(raw_deals!$T$2:$T1000, raw_deals!$D$2:$D1000, 6), 11)</f>
        <v>11</v>
      </c>
      <c r="C25" s="22" t="s">
        <v>1729</v>
      </c>
    </row>
    <row r="26" ht="15.75" customHeight="1">
      <c r="A26" s="22" t="s">
        <v>1730</v>
      </c>
      <c r="B26" s="22">
        <f>COUNTIFS(raw_deals!$D$2:$D1000, "&lt;=5", raw_deals!$R$2:$R1000, "&lt;&gt;zombie")</f>
        <v>6</v>
      </c>
      <c r="C26" s="22" t="s">
        <v>1731</v>
      </c>
    </row>
    <row r="27" ht="15.75" customHeight="1">
      <c r="A27" s="22" t="s">
        <v>1732</v>
      </c>
      <c r="B27" s="22">
        <f>IFERROR(B26*B21*B24/MAX(B25,1), 0)</f>
        <v>225000</v>
      </c>
      <c r="C27" s="22" t="s">
        <v>1733</v>
      </c>
    </row>
    <row r="28" ht="15.75" customHeight="1">
      <c r="A28" s="22" t="s">
        <v>1734</v>
      </c>
      <c r="B28" s="22">
        <f>B27*30</f>
        <v>6750000</v>
      </c>
      <c r="C28" s="22" t="s">
        <v>1735</v>
      </c>
    </row>
    <row r="29" ht="15.75" customHeight="1">
      <c r="A29" s="22" t="s">
        <v>1736</v>
      </c>
      <c r="B29" s="22">
        <f>IFERROR((B19/MAX(DAY($B$1),1))*DAY(EOMONTH($B$1,0)), B19)</f>
        <v>1706896.552</v>
      </c>
      <c r="C29" s="22" t="s">
        <v>1737</v>
      </c>
    </row>
    <row r="30" ht="15.75" customHeight="1">
      <c r="A30" s="22" t="s">
        <v>1738</v>
      </c>
      <c r="B30" s="22">
        <f>B19+B18</f>
        <v>4404000</v>
      </c>
      <c r="C30" s="22" t="s">
        <v>1739</v>
      </c>
    </row>
    <row r="31" ht="15.75" customHeight="1">
      <c r="A31" s="22" t="s">
        <v>1740</v>
      </c>
      <c r="B31" s="22">
        <f>IFERROR(COUNTIF('📊 Stage_History'!$G$2:$G$1000, "🟢 В НОРМЕ") / MAX(COUNTA('📊 Stage_History'!$A$2:$A$1000), 1), 0.92)</f>
        <v>0.8205128205</v>
      </c>
      <c r="C31" s="22" t="s">
        <v>1742</v>
      </c>
    </row>
    <row r="32" ht="15.75" customHeight="1">
      <c r="A32" s="22" t="s">
        <v>1744</v>
      </c>
      <c r="B32" s="22">
        <f>IFERROR(AVERAGE(raw_calls!$T$2:$T1000), 9.5)</f>
        <v>9.5</v>
      </c>
      <c r="C32" s="22" t="s">
        <v>1747</v>
      </c>
    </row>
    <row r="33" ht="15.75" customHeight="1">
      <c r="A33" s="22" t="s">
        <v>1748</v>
      </c>
      <c r="B33" s="22">
        <f>IFERROR(COUNTIF(raw_calls!$U$2:$U1000, TRUE)/MAX(COUNT(raw_calls!$T$2:$T1000),1), 0.67)</f>
        <v>0.6666666667</v>
      </c>
      <c r="C33" s="22" t="s">
        <v>1755</v>
      </c>
    </row>
    <row r="34" ht="15.75" customHeight="1">
      <c r="A34" s="22" t="s">
        <v>1756</v>
      </c>
      <c r="B34" s="22">
        <f>0.4*MIN(1,B20)+0.35*B31+0.25*IFERROR(B32/13,0)</f>
        <v>0.6018717949</v>
      </c>
      <c r="C34" s="22" t="s">
        <v>1763</v>
      </c>
    </row>
    <row r="35" ht="15.75" customHeight="1">
      <c r="A35" s="22" t="s">
        <v>1764</v>
      </c>
      <c r="B35" s="149">
        <f>'👥 Ресурсный_План'!$L$8</f>
        <v>0.4</v>
      </c>
      <c r="C35" s="22" t="s">
        <v>1768</v>
      </c>
    </row>
    <row r="36" ht="15.75" customHeight="1">
      <c r="A36" s="22" t="s">
        <v>1769</v>
      </c>
      <c r="B36" s="22">
        <f>IFERROR(SUM(raw_marketing!$E$2:$E1000)/MAX(SUM(raw_marketing!$H$2:$H1000),1), 2330)</f>
        <v>2330.097087</v>
      </c>
      <c r="C36" s="22" t="s">
        <v>1776</v>
      </c>
    </row>
    <row r="37" ht="15.75" customHeight="1">
      <c r="A37" s="22" t="s">
        <v>1777</v>
      </c>
      <c r="B37" s="22">
        <f>IFERROR(SUM(raw_marketing!$E$2:$E1000)/MAX(B22,1), 120000)</f>
        <v>120000</v>
      </c>
      <c r="C37" s="22" t="s">
        <v>1779</v>
      </c>
    </row>
    <row r="38" ht="15.75" customHeight="1">
      <c r="A38" s="22" t="s">
        <v>1780</v>
      </c>
      <c r="B38" s="22">
        <f>IFERROR(SUM(raw_payments!$E$2:$E1000)/MAX(B22,1), B21*1.2)</f>
        <v>1060000</v>
      </c>
      <c r="C38" s="22" t="s">
        <v>1783</v>
      </c>
    </row>
    <row r="39" ht="15.75" customHeight="1">
      <c r="A39" s="22" t="s">
        <v>1784</v>
      </c>
      <c r="B39" s="22">
        <f>IFERROR(B38/MAX(B37,1), 0)</f>
        <v>8.833333333</v>
      </c>
      <c r="C39" s="22" t="s">
        <v>1787</v>
      </c>
    </row>
    <row r="40" ht="15.75" customHeight="1">
      <c r="A40" s="22" t="s">
        <v>1789</v>
      </c>
      <c r="B40" s="22">
        <f>IFERROR(B37/MAX(B21,1), 0)</f>
        <v>0.1454545455</v>
      </c>
      <c r="C40" s="22" t="s">
        <v>1791</v>
      </c>
    </row>
    <row r="41" ht="15.75" customHeight="1">
      <c r="A41" s="22" t="s">
        <v>1792</v>
      </c>
      <c r="B41" s="22">
        <f>COUNT(raw_calls!$T$2:$T1000)</f>
        <v>6</v>
      </c>
      <c r="C41" s="22" t="s">
        <v>1796</v>
      </c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D43" s="22">
        <f>COUNTIFS(raw_deals!$H$2:$H1000, 101, raw_deals!$D$2:$D1000, "&lt;=5")</f>
        <v>1</v>
      </c>
      <c r="E43" s="22">
        <f>SUMIFS(raw_deals!$C$2:$C1000, raw_deals!$H$2:$H1000, 101, raw_deals!$D$2:$D1000, "&lt;=5")</f>
        <v>850000</v>
      </c>
      <c r="F43" s="22">
        <f>COUNTIF(raw_calls!$C$2:$C1000, 101)</f>
        <v>1</v>
      </c>
      <c r="G43" s="22">
        <f>IFERROR(AVERAGEIFS(raw_calls!$T$2:$T1000, raw_calls!$C$2:$C1000, 101), 0)</f>
        <v>11</v>
      </c>
      <c r="H43" s="22">
        <f>IFERROR(COUNTIFS(raw_calls!$C$2:$C1000, 101, raw_calls!$U$2:$U1000, TRUE)/MAX(F43,1), 0)</f>
        <v>1</v>
      </c>
      <c r="I43" s="22">
        <f>IFERROR(D43/5, 0)</f>
        <v>0.2</v>
      </c>
    </row>
    <row r="44" ht="15.75" customHeight="1">
      <c r="D44" s="22">
        <f>COUNTIFS(raw_deals!$H$2:$H1000, 102, raw_deals!$D$2:$D1000, "&lt;=5")</f>
        <v>2</v>
      </c>
      <c r="E44" s="22">
        <f>SUMIFS(raw_deals!$C$2:$C1000, raw_deals!$H$2:$H1000, 102, raw_deals!$D$2:$D1000, "&lt;=5")</f>
        <v>3280000</v>
      </c>
      <c r="F44" s="22">
        <f>COUNTIF(raw_calls!$C$2:$C1000, 102)</f>
        <v>3</v>
      </c>
      <c r="G44" s="22">
        <f>IFERROR(AVERAGEIFS(raw_calls!$T$2:$T1000, raw_calls!$C$2:$C1000, 102), 0)</f>
        <v>7</v>
      </c>
      <c r="H44" s="22">
        <f>IFERROR(COUNTIFS(raw_calls!$C$2:$C1000, 102, raw_calls!$U$2:$U1000, TRUE)/MAX(F44,1), 0)</f>
        <v>0.3333333333</v>
      </c>
      <c r="I44" s="22">
        <f>IFERROR(D44/25, 0)</f>
        <v>0.08</v>
      </c>
    </row>
    <row r="45" ht="15.75" customHeight="1">
      <c r="D45" s="22">
        <f>COUNTIFS(raw_deals!$H$2:$H1000, 103, raw_deals!$D$2:$D1000, "&lt;=5")</f>
        <v>4</v>
      </c>
      <c r="E45" s="22">
        <f>SUMIFS(raw_deals!$C$2:$C1000, raw_deals!$H$2:$H1000, 103, raw_deals!$D$2:$D1000, "&lt;=5")</f>
        <v>1400000</v>
      </c>
      <c r="F45" s="22">
        <f>COUNTIF(raw_calls!$C$2:$C1000, 103)</f>
        <v>2</v>
      </c>
      <c r="G45" s="22">
        <f>IFERROR(AVERAGEIFS(raw_calls!$T$2:$T1000, raw_calls!$C$2:$C1000, 103), 0)</f>
        <v>12.5</v>
      </c>
      <c r="H45" s="22">
        <f>IFERROR(COUNTIFS(raw_calls!$C$2:$C1000, 103, raw_calls!$U$2:$U1000, TRUE)/MAX(F45,1), 0)</f>
        <v>1</v>
      </c>
      <c r="I45" s="22">
        <f>IFERROR(D45/40, 0)</f>
        <v>0.1</v>
      </c>
    </row>
    <row r="46" ht="15.75" customHeight="1"/>
    <row r="47" ht="15.75" customHeight="1"/>
    <row r="48" ht="15.75" customHeight="1"/>
    <row r="49" ht="15.75" customHeight="1"/>
    <row r="50" ht="15.75" customHeight="1">
      <c r="A50" s="22" t="s">
        <v>1817</v>
      </c>
    </row>
    <row r="51" ht="15.75" customHeight="1">
      <c r="A51" s="22" t="s">
        <v>1538</v>
      </c>
      <c r="B51" s="22" t="s">
        <v>599</v>
      </c>
      <c r="C51" s="22" t="s">
        <v>1818</v>
      </c>
      <c r="D51" s="22" t="s">
        <v>1820</v>
      </c>
      <c r="E51" s="22" t="s">
        <v>600</v>
      </c>
    </row>
    <row r="52" ht="15.75" customHeight="1">
      <c r="A52" s="22" t="s">
        <v>601</v>
      </c>
      <c r="B52" s="22" t="s">
        <v>602</v>
      </c>
      <c r="C52" s="22">
        <f>COUNTIF(raw_deals!$M$2:$M$1000,"L1")</f>
        <v>1</v>
      </c>
      <c r="D52" s="22">
        <f>SUMIF(raw_deals!$M$2:$M$1000,"L1",raw_deals!$C$2:$C$1000)</f>
        <v>600000</v>
      </c>
      <c r="E52" s="262">
        <f>'⚙️ Настройки'!C26</f>
        <v>0.5</v>
      </c>
    </row>
    <row r="53" ht="15.75" customHeight="1">
      <c r="A53" s="22" t="s">
        <v>603</v>
      </c>
      <c r="B53" s="22" t="s">
        <v>604</v>
      </c>
      <c r="C53" s="22">
        <f>COUNTIF(raw_deals!$M$2:$M$1000,"L2")</f>
        <v>1</v>
      </c>
      <c r="D53" s="22">
        <f>SUMIF(raw_deals!$M$2:$M$1000,"L2",raw_deals!$C$2:$C$1000)</f>
        <v>400000</v>
      </c>
      <c r="E53" s="262">
        <f>'⚙️ Настройки'!C27</f>
        <v>0.35</v>
      </c>
    </row>
    <row r="54" ht="15.75" customHeight="1">
      <c r="A54" s="22" t="s">
        <v>605</v>
      </c>
      <c r="B54" s="22" t="s">
        <v>606</v>
      </c>
      <c r="C54" s="22">
        <f>COUNTIF(raw_deals!$M$2:$M$1000,"L3")</f>
        <v>0</v>
      </c>
      <c r="D54" s="22">
        <f>SUMIF(raw_deals!$M$2:$M$1000,"L3",raw_deals!$C$2:$C$1000)</f>
        <v>0</v>
      </c>
      <c r="E54" s="262">
        <f>'⚙️ Настройки'!C28</f>
        <v>0.1</v>
      </c>
    </row>
    <row r="55" ht="15.75" customHeight="1">
      <c r="A55" s="22" t="s">
        <v>607</v>
      </c>
      <c r="B55" s="22" t="s">
        <v>608</v>
      </c>
      <c r="C55" s="22">
        <f>COUNTIF(raw_deals!$M$2:$M$1000,"L4")</f>
        <v>0</v>
      </c>
      <c r="D55" s="22">
        <f>SUMIF(raw_deals!$M$2:$M$1000,"L4",raw_deals!$C$2:$C$1000)</f>
        <v>0</v>
      </c>
      <c r="E55" s="262">
        <f>'⚙️ Настройки'!C29</f>
        <v>0.2</v>
      </c>
    </row>
    <row r="56" ht="15.75" customHeight="1">
      <c r="B56" s="22" t="s">
        <v>1830</v>
      </c>
      <c r="C56" s="22">
        <f>SUM(C52:C55)</f>
        <v>2</v>
      </c>
      <c r="D56" s="22">
        <f>SUMPRODUCT(D52:D55, E52:E55)</f>
        <v>440000</v>
      </c>
    </row>
    <row r="57" ht="15.75" customHeight="1"/>
    <row r="58" ht="15.75" customHeight="1"/>
    <row r="59" ht="15.75" customHeight="1"/>
    <row r="60" ht="15.75" customHeight="1">
      <c r="A60" s="22" t="s">
        <v>1831</v>
      </c>
    </row>
    <row r="61" ht="15.75" customHeight="1">
      <c r="A61" s="22" t="s">
        <v>1832</v>
      </c>
      <c r="B61" s="22" t="s">
        <v>356</v>
      </c>
      <c r="C61" s="22" t="s">
        <v>1833</v>
      </c>
      <c r="D61" s="22" t="s">
        <v>1834</v>
      </c>
      <c r="E61" s="22" t="s">
        <v>836</v>
      </c>
    </row>
    <row r="62" ht="15.75" customHeight="1">
      <c r="A62" s="22" t="s">
        <v>1835</v>
      </c>
      <c r="B62" s="151">
        <f>SUM(raw_marketing!$E$2:$E$1000)</f>
        <v>240000</v>
      </c>
      <c r="C62" s="22" t="s">
        <v>1837</v>
      </c>
      <c r="D62" s="22" t="s">
        <v>1838</v>
      </c>
      <c r="E62" s="22" t="s">
        <v>835</v>
      </c>
    </row>
    <row r="63" ht="15.75" customHeight="1">
      <c r="A63" s="22" t="s">
        <v>1839</v>
      </c>
      <c r="B63" s="22">
        <f>SUM(raw_marketing!$F$2:$F$1000)</f>
        <v>3570</v>
      </c>
      <c r="C63" s="22" t="s">
        <v>1840</v>
      </c>
      <c r="D63" s="22" t="s">
        <v>1838</v>
      </c>
      <c r="E63" s="22" t="s">
        <v>835</v>
      </c>
    </row>
    <row r="64" ht="15.75" customHeight="1">
      <c r="A64" s="22" t="s">
        <v>1841</v>
      </c>
      <c r="B64" s="22">
        <f>SUM(raw_marketing!$G$2:$G$1000)</f>
        <v>71200</v>
      </c>
      <c r="C64" s="22" t="s">
        <v>1842</v>
      </c>
      <c r="D64" s="22" t="s">
        <v>1838</v>
      </c>
      <c r="E64" s="22" t="s">
        <v>835</v>
      </c>
    </row>
    <row r="65" ht="15.75" customHeight="1">
      <c r="A65" s="22" t="s">
        <v>1843</v>
      </c>
      <c r="B65" s="22">
        <f>SUM(raw_marketing!$H$2:$H$1000)</f>
        <v>103</v>
      </c>
      <c r="C65" s="22" t="s">
        <v>1845</v>
      </c>
      <c r="D65" s="22" t="s">
        <v>1838</v>
      </c>
      <c r="E65" s="22" t="s">
        <v>835</v>
      </c>
    </row>
    <row r="66" ht="15.75" customHeight="1">
      <c r="A66" s="335"/>
      <c r="B66" s="22">
        <f>COUNTIFS(raw_deals!$R$2:$R1000, "4-7", raw_deals!$D$2:$D1000, "&lt;=5")</f>
        <v>0</v>
      </c>
      <c r="C66" s="22">
        <f>SUMIFS(raw_deals!$C$2:$C1000, raw_deals!$R$2:$R1000, "4-7", raw_deals!$D$2:$D1000, "&lt;=5")</f>
        <v>0</v>
      </c>
    </row>
    <row r="67" ht="15.75" customHeight="1">
      <c r="A67" s="335"/>
      <c r="B67" s="22">
        <f>COUNTIFS(raw_deals!$R$2:$R1000, "8-14", raw_deals!$D$2:$D1000, "&lt;=5")</f>
        <v>3</v>
      </c>
      <c r="C67" s="22">
        <f>SUMIFS(raw_deals!$C$2:$C1000, raw_deals!$R$2:$R1000, "8-14", raw_deals!$D$2:$D1000, "&lt;=5")</f>
        <v>4000000</v>
      </c>
    </row>
    <row r="68" ht="15.75" customHeight="1">
      <c r="A68" s="22"/>
      <c r="B68" s="22">
        <f>COUNTIFS(raw_deals!$R$2:$R1000, "15-30", raw_deals!$D$2:$D1000, "&lt;=5")</f>
        <v>0</v>
      </c>
      <c r="C68" s="22">
        <f>SUMIFS(raw_deals!$C$2:$C1000, raw_deals!$R$2:$R1000, "15-30", raw_deals!$D$2:$D1000, "&lt;=5")</f>
        <v>0</v>
      </c>
    </row>
    <row r="69" ht="15.75" customHeight="1">
      <c r="A69" s="22"/>
      <c r="B69" s="22">
        <f>COUNTIFS(raw_deals!$R$2:$R1000, "zombie", raw_deals!$D$2:$D1000, "&lt;=5")</f>
        <v>1</v>
      </c>
      <c r="C69" s="22">
        <f>SUMIFS(raw_deals!$C$2:$C1000, raw_deals!$R$2:$R1000, "zombie", raw_deals!$D$2:$D1000, "&lt;=5")</f>
        <v>180000</v>
      </c>
    </row>
    <row r="70" ht="15.75" customHeight="1"/>
    <row r="71" ht="15.75" customHeight="1"/>
    <row r="72" ht="15.75" customHeight="1"/>
    <row r="73" ht="15.75" customHeight="1">
      <c r="A73" s="22"/>
      <c r="B73" s="22"/>
      <c r="C73" s="22"/>
      <c r="D73" s="22"/>
      <c r="E73" s="22"/>
      <c r="F73" s="22"/>
    </row>
    <row r="74" ht="15.75" customHeight="1">
      <c r="A74" s="22"/>
      <c r="C74" s="22">
        <f>COUNTIFS(raw_deals!$M$2:$M1000, "L1", raw_deals!$D$2:$D1000, 7)</f>
        <v>1</v>
      </c>
      <c r="D74" s="22">
        <f>SUMIFS(raw_deals!$C$2:$C1000, raw_deals!$M$2:$M1000, "L1", raw_deals!$D$2:$D1000, 7)</f>
        <v>600000</v>
      </c>
    </row>
    <row r="75" ht="15.75" customHeight="1">
      <c r="A75" s="22"/>
      <c r="C75" s="22">
        <f>COUNTIFS(raw_deals!$M$2:$M1000, "L2", raw_deals!$D$2:$D1000, 7)</f>
        <v>1</v>
      </c>
      <c r="D75" s="22">
        <f>SUMIFS(raw_deals!$C$2:$C1000, raw_deals!$M$2:$M1000, "L2", raw_deals!$D$2:$D1000, 7)</f>
        <v>400000</v>
      </c>
    </row>
    <row r="76" ht="15.75" customHeight="1">
      <c r="A76" s="22"/>
      <c r="C76" s="22">
        <f>COUNTIFS(raw_deals!$M$2:$M1000, "L3", raw_deals!$D$2:$D1000, 7)</f>
        <v>0</v>
      </c>
      <c r="D76" s="22">
        <f>SUMIFS(raw_deals!$C$2:$C1000, raw_deals!$M$2:$M1000, "L3", raw_deals!$D$2:$D1000, 7)</f>
        <v>0</v>
      </c>
    </row>
    <row r="77" ht="15.75" customHeight="1">
      <c r="A77" s="22"/>
      <c r="C77" s="22">
        <f>COUNTIFS(raw_deals!$M$2:$M1000, "L4", raw_deals!$D$2:$D1000, 7)</f>
        <v>0</v>
      </c>
      <c r="D77" s="22">
        <f>SUMIFS(raw_deals!$C$2:$C1000, raw_deals!$M$2:$M1000, "L4", raw_deals!$D$2:$D1000, 7)</f>
        <v>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A84" s="22"/>
      <c r="B84" s="22"/>
      <c r="C84" s="22"/>
      <c r="D84" s="22"/>
      <c r="E84" s="22"/>
      <c r="F84" s="22"/>
    </row>
    <row r="85" ht="15.75" customHeight="1">
      <c r="A85" s="22" t="s">
        <v>487</v>
      </c>
      <c r="B85" s="22">
        <f>SUMIF(raw_marketing!$B$2:$B1000, $A85, raw_marketing!$E$2:$E1000)</f>
        <v>120000</v>
      </c>
      <c r="C85" s="22">
        <f>SUMIF(raw_marketing!$B$2:$B1000, $A85, raw_marketing!$H$2:$H1000)</f>
        <v>48</v>
      </c>
      <c r="D85" s="22">
        <f>SUMIFS(raw_deals!$C$2:$C1000, raw_deals!$J$2:$J1000, $A85, raw_deals!$D$2:$D1000, 6)</f>
        <v>450000</v>
      </c>
      <c r="E85" s="22">
        <f t="shared" ref="E85:E87" si="3">IFERROR(B85/MAX(C85,1), 0)</f>
        <v>2500</v>
      </c>
      <c r="F85" s="22">
        <f t="shared" ref="F85:F87" si="4">IFERROR((D85-B85)/MAX(B85,1), 0)</f>
        <v>2.75</v>
      </c>
    </row>
    <row r="86" ht="15.75" customHeight="1">
      <c r="A86" s="22" t="s">
        <v>570</v>
      </c>
      <c r="B86" s="22">
        <f>SUMIF(raw_marketing!$B$2:$B1000, $A86, raw_marketing!$E$2:$E1000)</f>
        <v>35000</v>
      </c>
      <c r="C86" s="22">
        <f>SUMIF(raw_marketing!$B$2:$B1000, $A86, raw_marketing!$H$2:$H1000)</f>
        <v>24</v>
      </c>
      <c r="D86" s="22">
        <f>SUMIFS(raw_deals!$C$2:$C1000, raw_deals!$J$2:$J1000, $A86, raw_deals!$D$2:$D1000, 6)</f>
        <v>1200000</v>
      </c>
      <c r="E86" s="22">
        <f t="shared" si="3"/>
        <v>1458.333333</v>
      </c>
      <c r="F86" s="22">
        <f t="shared" si="4"/>
        <v>33.28571429</v>
      </c>
    </row>
    <row r="87" ht="15.75" customHeight="1">
      <c r="A87" s="22" t="s">
        <v>539</v>
      </c>
      <c r="B87" s="22">
        <f>SUMIF(raw_marketing!$B$2:$B1000, $A87, raw_marketing!$E$2:$E1000)</f>
        <v>85000</v>
      </c>
      <c r="C87" s="22">
        <f>SUMIF(raw_marketing!$B$2:$B1000, $A87, raw_marketing!$H$2:$H1000)</f>
        <v>31</v>
      </c>
      <c r="D87" s="22">
        <f>SUMIFS(raw_deals!$C$2:$C1000, raw_deals!$J$2:$J1000, $A87, raw_deals!$D$2:$D1000, 6)</f>
        <v>0</v>
      </c>
      <c r="E87" s="22">
        <f t="shared" si="3"/>
        <v>2741.935484</v>
      </c>
      <c r="F87" s="22">
        <f t="shared" si="4"/>
        <v>-1</v>
      </c>
    </row>
    <row r="88" ht="15.75" customHeight="1"/>
    <row r="89" ht="15.75" customHeight="1"/>
    <row r="90" ht="15.75" customHeight="1">
      <c r="A90" s="22"/>
      <c r="C90" s="22"/>
      <c r="E90" s="22"/>
    </row>
    <row r="91" ht="15.75" customHeight="1">
      <c r="A91" s="359" t="s">
        <v>1933</v>
      </c>
    </row>
    <row r="92" ht="15.75" customHeight="1">
      <c r="A92" s="360" t="s">
        <v>1767</v>
      </c>
      <c r="B92" s="360" t="s">
        <v>1770</v>
      </c>
      <c r="C92" s="360" t="s">
        <v>1771</v>
      </c>
      <c r="D92" s="360" t="s">
        <v>1943</v>
      </c>
      <c r="E92" s="360" t="s">
        <v>1944</v>
      </c>
      <c r="F92" s="360" t="s">
        <v>1946</v>
      </c>
      <c r="G92" s="360" t="s">
        <v>1948</v>
      </c>
    </row>
    <row r="93" ht="15.75" customHeight="1">
      <c r="A93" s="22" t="s">
        <v>1949</v>
      </c>
      <c r="B93" s="189">
        <f>COUNTIF(raw_deals!$D$2:$D1000, 6)</f>
        <v>2</v>
      </c>
      <c r="C93" s="151">
        <f>SUMIFS(raw_payments!$E$2:$E1000, raw_payments!$F$2:$F1000, "initial")</f>
        <v>1650000</v>
      </c>
      <c r="D93" s="151">
        <f>SUMIFS(raw_payments!$E$2:$E1000, raw_payments!$F$2:$F1000, "&lt;&gt;initial", raw_payments!$D$2:$D1000, "&gt;="&amp;DATE(2026,10,1), raw_payments!$D$2:$D1000, "&lt;="&amp;DATE(2026,10,31))</f>
        <v>225000</v>
      </c>
      <c r="E93" s="151">
        <f>SUMIFS(raw_payments!$E$2:$E1000, raw_payments!$F$2:$F1000, "&lt;&gt;initial", raw_payments!$D$2:$D1000, "&gt;="&amp;DATE(2026,11,1), raw_payments!$D$2:$D1000, "&lt;="&amp;DATE(2026,11,30))</f>
        <v>245000</v>
      </c>
      <c r="F93" s="151">
        <v>0.0</v>
      </c>
      <c r="G93" s="149">
        <f>IFERROR((C93+D93+E93+F93)/MAX(C93,1), 1)</f>
        <v>1.284848485</v>
      </c>
    </row>
    <row r="94" ht="15.75" customHeight="1">
      <c r="A94" s="22"/>
    </row>
    <row r="95" ht="15.75" customHeight="1">
      <c r="A95" s="22"/>
    </row>
    <row r="96" ht="15.75" customHeight="1">
      <c r="A96" s="22"/>
    </row>
    <row r="97" ht="15.75" customHeight="1">
      <c r="A97" s="22"/>
    </row>
    <row r="98" ht="15.75" customHeight="1">
      <c r="A98" s="22"/>
    </row>
    <row r="99" ht="15.75" customHeight="1">
      <c r="A99" s="22"/>
    </row>
    <row r="100" ht="15.75" customHeight="1">
      <c r="A100" s="22"/>
    </row>
    <row r="101" ht="15.75" customHeight="1">
      <c r="A101" s="22"/>
      <c r="B101" s="22"/>
      <c r="C101" s="22"/>
    </row>
    <row r="102" ht="15.75" customHeight="1">
      <c r="A102" s="22"/>
      <c r="B102" s="22"/>
      <c r="C102" s="22"/>
    </row>
    <row r="103" ht="15.75" customHeight="1">
      <c r="A103" s="22"/>
    </row>
    <row r="104" ht="15.75" customHeight="1">
      <c r="A104" s="22"/>
    </row>
    <row r="105" ht="15.75" customHeight="1">
      <c r="A105" s="22"/>
    </row>
    <row r="106" ht="15.75" customHeight="1">
      <c r="A106" s="2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>
      <c r="A130" s="361" t="s">
        <v>1953</v>
      </c>
    </row>
    <row r="131" ht="15.75" customHeight="1">
      <c r="A131" s="362" t="s">
        <v>436</v>
      </c>
      <c r="B131" s="362" t="s">
        <v>1647</v>
      </c>
      <c r="C131" s="362" t="s">
        <v>1954</v>
      </c>
      <c r="D131" s="362" t="s">
        <v>1955</v>
      </c>
      <c r="E131" s="362" t="s">
        <v>1956</v>
      </c>
      <c r="F131" s="362" t="s">
        <v>1957</v>
      </c>
      <c r="G131" s="362" t="s">
        <v>1958</v>
      </c>
      <c r="H131" s="362" t="s">
        <v>1959</v>
      </c>
      <c r="I131" s="362" t="s">
        <v>1960</v>
      </c>
    </row>
    <row r="132" ht="15.75" customHeight="1">
      <c r="A132" s="22" t="s">
        <v>487</v>
      </c>
      <c r="B132" s="22">
        <f>SUMIF(raw_marketing!$B$2:$B1000, "Яндекс Директ", raw_marketing!$E$2:$E1000)</f>
        <v>120000</v>
      </c>
      <c r="C132" s="22">
        <f>SUMIFS(raw_touchpoints!$I$2:$I$1000, raw_touchpoints!$E$2:$E$1000, A132, raw_touchpoints!$G$2:$G$1000, "1. First Touch", raw_touchpoints!$J$2:$J$1000, TRUE)</f>
        <v>0</v>
      </c>
      <c r="D132" s="22">
        <f>SUMIFS(raw_touchpoints!$I$2:$I$1000, raw_touchpoints!$E$2:$E$1000, A132, raw_touchpoints!$G$2:$G$1000, "4. Deal Close", raw_touchpoints!$J$2:$J$1000, TRUE)</f>
        <v>0</v>
      </c>
      <c r="E132" s="22">
        <f>SUMIFS(raw_touchpoints!$K$2:$K$1000, raw_touchpoints!$E$2:$E$1000, A132)</f>
        <v>495000</v>
      </c>
      <c r="F132" s="22">
        <f t="shared" ref="F132:F137" si="5">IF(B132&gt;0, (C132-B132)/B132, 0)</f>
        <v>-1</v>
      </c>
      <c r="G132" s="22">
        <f t="shared" ref="G132:G137" si="6">IF(B132&gt;0, (D132-B132)/B132, 0)</f>
        <v>-1</v>
      </c>
      <c r="H132" s="22">
        <f t="shared" ref="H132:H137" si="7">IF(B132&gt;0, (E132-B132)/B132, 0)</f>
        <v>3.125</v>
      </c>
      <c r="I132" s="22" t="str">
        <f t="shared" ref="I132:I136" si="8">IF(B132=0, "🌱 ОРГАНИЧЕСКИЙ ДРАЙВЕР", IF(E132&gt;D132, "🛡️ ЗАКРЫВАЕТ СДЕЛКИ (НЕ ОТКЛЮЧАТЬ!)", IF(G132&gt;5, "🚀 ЛИДЕР МАСШТАБИРОВАНИЯ", "🟢 СБАЛАНСИРОВАН")))</f>
        <v>🛡️ ЗАКРЫВАЕТ СДЕЛКИ (НЕ ОТКЛЮЧАТЬ!)</v>
      </c>
    </row>
    <row r="133" ht="15.75" customHeight="1">
      <c r="A133" s="22" t="s">
        <v>570</v>
      </c>
      <c r="B133" s="22">
        <f>SUMIF(raw_marketing!$B$2:$B1000, "Контур.Фокус", raw_marketing!$E$2:$E1000)</f>
        <v>35000</v>
      </c>
      <c r="C133" s="22">
        <f>SUMIFS(raw_touchpoints!$I$2:$I$1000, raw_touchpoints!$E$2:$E$1000, A133, raw_touchpoints!$G$2:$G$1000, "1. First Touch", raw_touchpoints!$J$2:$J$1000, TRUE)</f>
        <v>1200000</v>
      </c>
      <c r="D133" s="22">
        <f>SUMIFS(raw_touchpoints!$I$2:$I$1000, raw_touchpoints!$E$2:$E$1000, A133, raw_touchpoints!$G$2:$G$1000, "4. Deal Close", raw_touchpoints!$J$2:$J$1000, TRUE)</f>
        <v>1200000</v>
      </c>
      <c r="E133" s="22">
        <f>SUMIFS(raw_touchpoints!$K$2:$K$1000, raw_touchpoints!$E$2:$E$1000, A133)</f>
        <v>840000</v>
      </c>
      <c r="F133" s="22">
        <f t="shared" si="5"/>
        <v>33.28571429</v>
      </c>
      <c r="G133" s="22">
        <f t="shared" si="6"/>
        <v>33.28571429</v>
      </c>
      <c r="H133" s="22">
        <f t="shared" si="7"/>
        <v>23</v>
      </c>
      <c r="I133" s="22" t="str">
        <f t="shared" si="8"/>
        <v>🚀 ЛИДЕР МАСШТАБИРОВАНИЯ</v>
      </c>
    </row>
    <row r="134" ht="15.75" customHeight="1">
      <c r="A134" s="22" t="s">
        <v>539</v>
      </c>
      <c r="B134" s="22">
        <f>SUMIF(raw_marketing!$B$2:$B1000, "Google Ads", raw_marketing!$E$2:$E1000)</f>
        <v>85000</v>
      </c>
      <c r="C134" s="22">
        <f>SUMIFS(raw_touchpoints!$I$2:$I$1000, raw_touchpoints!$E$2:$E$1000, A134, raw_touchpoints!$G$2:$G$1000, "1. First Touch", raw_touchpoints!$J$2:$J$1000, TRUE)</f>
        <v>0</v>
      </c>
      <c r="D134" s="22">
        <f>SUMIFS(raw_touchpoints!$I$2:$I$1000, raw_touchpoints!$E$2:$E$1000, A134, raw_touchpoints!$G$2:$G$1000, "4. Deal Close", raw_touchpoints!$J$2:$J$1000, TRUE)</f>
        <v>450000</v>
      </c>
      <c r="E134" s="22">
        <f>SUMIFS(raw_touchpoints!$K$2:$K$1000, raw_touchpoints!$E$2:$E$1000, A134)</f>
        <v>135000</v>
      </c>
      <c r="F134" s="22">
        <f t="shared" si="5"/>
        <v>-1</v>
      </c>
      <c r="G134" s="22">
        <f t="shared" si="6"/>
        <v>4.294117647</v>
      </c>
      <c r="H134" s="22">
        <f t="shared" si="7"/>
        <v>0.5882352941</v>
      </c>
      <c r="I134" s="22" t="str">
        <f t="shared" si="8"/>
        <v>🟢 СБАЛАНСИРОВАН</v>
      </c>
    </row>
    <row r="135" ht="15.75" customHeight="1">
      <c r="A135" s="22" t="s">
        <v>453</v>
      </c>
      <c r="B135" s="22">
        <f t="shared" ref="B135:B136" si="9">0</f>
        <v>0</v>
      </c>
      <c r="C135" s="22">
        <f>SUMIFS(raw_touchpoints!$I$2:$I$1000, raw_touchpoints!$E$2:$E$1000, A135, raw_touchpoints!$G$2:$G$1000, "1. First Touch", raw_touchpoints!$J$2:$J$1000, TRUE)</f>
        <v>450000</v>
      </c>
      <c r="D135" s="22">
        <f>SUMIFS(raw_touchpoints!$I$2:$I$1000, raw_touchpoints!$E$2:$E$1000, A135, raw_touchpoints!$G$2:$G$1000, "4. Deal Close", raw_touchpoints!$J$2:$J$1000, TRUE)</f>
        <v>0</v>
      </c>
      <c r="E135" s="22">
        <f>SUMIFS(raw_touchpoints!$K$2:$K$1000, raw_touchpoints!$E$2:$E$1000, A135)</f>
        <v>135000</v>
      </c>
      <c r="F135" s="22">
        <f t="shared" si="5"/>
        <v>0</v>
      </c>
      <c r="G135" s="22">
        <f t="shared" si="6"/>
        <v>0</v>
      </c>
      <c r="H135" s="22">
        <f t="shared" si="7"/>
        <v>0</v>
      </c>
      <c r="I135" s="22" t="str">
        <f t="shared" si="8"/>
        <v>🌱 ОРГАНИЧЕСКИЙ ДРАЙВЕР</v>
      </c>
    </row>
    <row r="136" ht="15.75" customHeight="1">
      <c r="A136" s="22" t="s">
        <v>518</v>
      </c>
      <c r="B136" s="22">
        <f t="shared" si="9"/>
        <v>0</v>
      </c>
      <c r="C136" s="22">
        <f>SUMIFS(raw_touchpoints!$I$2:$I$1000, raw_touchpoints!$E$2:$E$1000, A136, raw_touchpoints!$G$2:$G$1000, "1. First Touch", raw_touchpoints!$J$2:$J$1000, TRUE)</f>
        <v>0</v>
      </c>
      <c r="D136" s="22">
        <f>SUMIFS(raw_touchpoints!$I$2:$I$1000, raw_touchpoints!$E$2:$E$1000, A136, raw_touchpoints!$G$2:$G$1000, "4. Deal Close", raw_touchpoints!$J$2:$J$1000, TRUE)</f>
        <v>0</v>
      </c>
      <c r="E136" s="22">
        <f>SUMIFS(raw_touchpoints!$K$2:$K$1000, raw_touchpoints!$E$2:$E$1000, A136)</f>
        <v>45000</v>
      </c>
      <c r="F136" s="22">
        <f t="shared" si="5"/>
        <v>0</v>
      </c>
      <c r="G136" s="22">
        <f t="shared" si="6"/>
        <v>0</v>
      </c>
      <c r="H136" s="22">
        <f t="shared" si="7"/>
        <v>0</v>
      </c>
      <c r="I136" s="22" t="str">
        <f t="shared" si="8"/>
        <v>🌱 ОРГАНИЧЕСКИЙ ДРАЙВЕР</v>
      </c>
    </row>
    <row r="137" ht="15.75" customHeight="1">
      <c r="A137" s="254" t="s">
        <v>2023</v>
      </c>
      <c r="B137" s="254">
        <f t="shared" ref="B137:E137" si="10">SUM(B132:B136)</f>
        <v>240000</v>
      </c>
      <c r="C137" s="254">
        <f t="shared" si="10"/>
        <v>1650000</v>
      </c>
      <c r="D137" s="254">
        <f t="shared" si="10"/>
        <v>1650000</v>
      </c>
      <c r="E137" s="254">
        <f t="shared" si="10"/>
        <v>1650000</v>
      </c>
      <c r="F137" s="254">
        <f t="shared" si="5"/>
        <v>5.875</v>
      </c>
      <c r="G137" s="254">
        <f t="shared" si="6"/>
        <v>5.875</v>
      </c>
      <c r="H137" s="254">
        <f t="shared" si="7"/>
        <v>5.875</v>
      </c>
    </row>
    <row r="138" ht="15.75" customHeight="1"/>
    <row r="139" ht="15.75" customHeight="1"/>
    <row r="140" ht="15.75" customHeight="1"/>
    <row r="141" ht="15.75" customHeight="1"/>
    <row r="142" ht="15.75" customHeight="1">
      <c r="A142" s="359" t="s">
        <v>2024</v>
      </c>
    </row>
    <row r="143" ht="15.75" customHeight="1">
      <c r="A143" s="371" t="s">
        <v>2025</v>
      </c>
      <c r="B143" s="239">
        <f>SUM(raw_invoices!$G$2:$G1000)</f>
        <v>6055000</v>
      </c>
      <c r="C143" s="22" t="s">
        <v>2026</v>
      </c>
    </row>
    <row r="144" ht="15.75" customHeight="1">
      <c r="A144" s="371" t="s">
        <v>2027</v>
      </c>
      <c r="B144" s="239">
        <f>SUMIF(raw_invoices!$H$2:$H1000, "paid", raw_invoices!$G$2:$G1000)</f>
        <v>1650000</v>
      </c>
      <c r="C144" s="22" t="s">
        <v>2029</v>
      </c>
    </row>
    <row r="145" ht="15.75" customHeight="1">
      <c r="A145" s="371" t="s">
        <v>2030</v>
      </c>
      <c r="B145" s="239">
        <f>SUMIF(raw_invoices!$H$2:$H1000, "pending", raw_invoices!$G$2:$G1000)</f>
        <v>0</v>
      </c>
      <c r="C145" s="22" t="s">
        <v>2031</v>
      </c>
    </row>
    <row r="146" ht="15.75" customHeight="1">
      <c r="A146" s="371" t="s">
        <v>2032</v>
      </c>
      <c r="B146" s="239">
        <f>SUMIF(raw_invoices!$H$2:$H1000, "overdue", raw_invoices!$G$2:$G1000)</f>
        <v>330000</v>
      </c>
      <c r="C146" s="22" t="s">
        <v>2034</v>
      </c>
    </row>
    <row r="147" ht="15.75" customHeight="1">
      <c r="A147" s="371" t="s">
        <v>2035</v>
      </c>
      <c r="B147" s="239">
        <f>SUMIF(raw_invoices!$H$2:$H1000, "forecast", raw_invoices!$G$2:$G1000)</f>
        <v>4075000</v>
      </c>
      <c r="C147" s="22" t="s">
        <v>2037</v>
      </c>
    </row>
    <row r="148" ht="15.75" customHeight="1">
      <c r="A148" s="371" t="s">
        <v>2039</v>
      </c>
      <c r="B148" s="373">
        <f>IFERROR((B145+B146)/MAX(B144,1)*30, 14)</f>
        <v>6</v>
      </c>
      <c r="C148" s="22" t="s">
        <v>2041</v>
      </c>
    </row>
    <row r="149" ht="15.75" customHeight="1">
      <c r="A149" s="371" t="s">
        <v>2042</v>
      </c>
      <c r="B149" s="239">
        <f>B144+B145-SUM(raw_marketing!$E$2:$E1000)</f>
        <v>1410000</v>
      </c>
      <c r="C149" s="22" t="s">
        <v>2055</v>
      </c>
    </row>
    <row r="150" ht="15.75" customHeight="1"/>
    <row r="151" ht="15.75" customHeight="1"/>
    <row r="152" ht="15.75" customHeight="1">
      <c r="A152" s="374" t="s">
        <v>2058</v>
      </c>
    </row>
    <row r="153" ht="15.75" customHeight="1">
      <c r="A153" s="22" t="s">
        <v>2061</v>
      </c>
      <c r="B153" s="151">
        <f>SUMIF(raw_deals!$P$2:$P1000, TRUE, raw_deals!$C$2:$C1000)</f>
        <v>1000000</v>
      </c>
    </row>
    <row r="154" ht="15.75" customHeight="1">
      <c r="A154" s="22" t="s">
        <v>2065</v>
      </c>
      <c r="B154" s="151">
        <f>SUM(D73:D76)</f>
        <v>1000000</v>
      </c>
    </row>
    <row r="155" ht="15.75" customHeight="1">
      <c r="A155" s="22" t="s">
        <v>2066</v>
      </c>
      <c r="B155" s="189">
        <f>COUNTIF(raw_deals!$P$2:$P1000, TRUE)</f>
        <v>2</v>
      </c>
    </row>
    <row r="156" ht="15.75" customHeight="1"/>
    <row r="157" ht="15.75" customHeight="1"/>
    <row r="158" ht="15.75" customHeight="1"/>
    <row r="159" ht="15.75" customHeight="1"/>
    <row r="160" ht="15.75" customHeight="1">
      <c r="A160" s="359" t="s">
        <v>2070</v>
      </c>
    </row>
    <row r="161" ht="15.75" customHeight="1">
      <c r="A161" s="375" t="s">
        <v>434</v>
      </c>
      <c r="B161" s="375" t="s">
        <v>495</v>
      </c>
      <c r="C161" s="375" t="s">
        <v>2072</v>
      </c>
      <c r="D161" s="375" t="s">
        <v>2073</v>
      </c>
      <c r="E161" s="375" t="s">
        <v>2074</v>
      </c>
      <c r="F161" s="375" t="s">
        <v>2075</v>
      </c>
      <c r="G161" s="375" t="s">
        <v>2076</v>
      </c>
      <c r="H161" s="375" t="s">
        <v>2077</v>
      </c>
    </row>
    <row r="162" ht="15.75" customHeight="1">
      <c r="A162" s="22" t="s">
        <v>452</v>
      </c>
      <c r="B162" s="22" t="s">
        <v>530</v>
      </c>
      <c r="C162" s="151">
        <v>75000.0</v>
      </c>
      <c r="D162" s="22">
        <v>0.0</v>
      </c>
      <c r="E162" s="22">
        <v>0.0</v>
      </c>
      <c r="F162" s="189">
        <f t="shared" ref="F162:F165" si="11">MAX(0, 100 - D162*3 - E162*15)</f>
        <v>100</v>
      </c>
      <c r="G162" s="22" t="str">
        <f t="shared" ref="G162:G165" si="12">IF(F162&gt;=80, "🟢 ЗДОРОВ", IF(F162&gt;=60, "🟡 РИСК ЗАМЕДЛЕНИЯ", "🔴 ПРЕДОТТОК"))</f>
        <v>🟢 ЗДОРОВ</v>
      </c>
      <c r="H162" s="22" t="s">
        <v>2081</v>
      </c>
    </row>
    <row r="163" ht="15.75" customHeight="1">
      <c r="A163" s="22" t="s">
        <v>569</v>
      </c>
      <c r="B163" s="22" t="s">
        <v>666</v>
      </c>
      <c r="C163" s="151">
        <v>150000.0</v>
      </c>
      <c r="D163" s="22">
        <v>0.0</v>
      </c>
      <c r="E163" s="22">
        <v>0.0</v>
      </c>
      <c r="F163" s="189">
        <f t="shared" si="11"/>
        <v>100</v>
      </c>
      <c r="G163" s="22" t="str">
        <f t="shared" si="12"/>
        <v>🟢 ЗДОРОВ</v>
      </c>
      <c r="H163" s="22" t="s">
        <v>2083</v>
      </c>
    </row>
    <row r="164" ht="15.75" customHeight="1">
      <c r="A164" s="22" t="s">
        <v>699</v>
      </c>
      <c r="B164" s="22" t="s">
        <v>697</v>
      </c>
      <c r="C164" s="151">
        <v>0.0</v>
      </c>
      <c r="D164" s="22">
        <v>1.0</v>
      </c>
      <c r="E164" s="22">
        <v>0.0</v>
      </c>
      <c r="F164" s="189">
        <f t="shared" si="11"/>
        <v>97</v>
      </c>
      <c r="G164" s="22" t="str">
        <f t="shared" si="12"/>
        <v>🟢 ЗДОРОВ</v>
      </c>
      <c r="H164" s="22" t="s">
        <v>2085</v>
      </c>
    </row>
    <row r="165" ht="15.75" customHeight="1">
      <c r="A165" s="22" t="s">
        <v>807</v>
      </c>
      <c r="B165" s="22" t="s">
        <v>806</v>
      </c>
      <c r="C165" s="151">
        <v>0.0</v>
      </c>
      <c r="D165" s="22">
        <v>27.0</v>
      </c>
      <c r="E165" s="22">
        <v>1.0</v>
      </c>
      <c r="F165" s="189">
        <f t="shared" si="11"/>
        <v>4</v>
      </c>
      <c r="G165" s="22" t="str">
        <f t="shared" si="12"/>
        <v>🔴 ПРЕДОТТОК</v>
      </c>
      <c r="H165" s="22" t="s">
        <v>2086</v>
      </c>
    </row>
    <row r="166" ht="15.75" customHeight="1"/>
    <row r="167" ht="15.75" customHeight="1"/>
    <row r="168" ht="15.75" customHeight="1"/>
    <row r="169" ht="15.75" customHeight="1"/>
    <row r="170" ht="15.75" customHeight="1">
      <c r="A170" s="295" t="s">
        <v>2087</v>
      </c>
    </row>
    <row r="171" ht="15.75" customHeight="1">
      <c r="A171" s="376" t="s">
        <v>501</v>
      </c>
      <c r="B171" s="376" t="s">
        <v>2088</v>
      </c>
      <c r="C171" s="376" t="s">
        <v>2089</v>
      </c>
      <c r="D171" s="376" t="s">
        <v>2090</v>
      </c>
      <c r="E171" s="376" t="s">
        <v>2091</v>
      </c>
      <c r="F171" s="376" t="s">
        <v>2092</v>
      </c>
      <c r="G171" s="376" t="s">
        <v>2093</v>
      </c>
      <c r="H171" s="376" t="s">
        <v>2094</v>
      </c>
    </row>
    <row r="172" ht="15.75" customHeight="1">
      <c r="A172" s="22">
        <v>101.0</v>
      </c>
      <c r="B172" s="22" t="s">
        <v>588</v>
      </c>
      <c r="C172" s="151">
        <v>150000.0</v>
      </c>
      <c r="D172" s="151">
        <f>SUMIFS(raw_deals!$C$2:$C1000, raw_deals!$H$2:$H1000, 101, raw_deals!$O$2:$O1000, TRUE)</f>
        <v>1200000</v>
      </c>
      <c r="E172" s="238">
        <v>0.03</v>
      </c>
      <c r="F172" s="238">
        <v>1.0</v>
      </c>
      <c r="G172" s="238">
        <v>1.05</v>
      </c>
      <c r="H172" s="151">
        <f t="shared" ref="H172:H173" si="13">C172 + (D172*E172*F172*G172)</f>
        <v>187800</v>
      </c>
    </row>
    <row r="173" ht="15.75" customHeight="1">
      <c r="A173" s="22">
        <v>102.0</v>
      </c>
      <c r="B173" s="22" t="s">
        <v>591</v>
      </c>
      <c r="C173" s="151">
        <v>100000.0</v>
      </c>
      <c r="D173" s="151">
        <f>SUMIFS(raw_deals!$C$2:$C1000, raw_deals!$H$2:$H1000, 102, raw_deals!$O$2:$O1000, TRUE)</f>
        <v>450000</v>
      </c>
      <c r="E173" s="238">
        <v>0.05</v>
      </c>
      <c r="F173" s="238">
        <v>1.0</v>
      </c>
      <c r="G173" s="238">
        <v>0.7</v>
      </c>
      <c r="H173" s="151">
        <f t="shared" si="13"/>
        <v>115750</v>
      </c>
    </row>
    <row r="174" ht="15.75" customHeight="1">
      <c r="A174" s="22">
        <v>103.0</v>
      </c>
      <c r="B174" s="22" t="s">
        <v>594</v>
      </c>
      <c r="C174" s="151">
        <v>70000.0</v>
      </c>
      <c r="D174" s="151">
        <f>0</f>
        <v>0</v>
      </c>
      <c r="E174" s="238">
        <v>0.0</v>
      </c>
      <c r="F174" s="238">
        <v>1.0</v>
      </c>
      <c r="G174" s="238">
        <v>1.1</v>
      </c>
      <c r="H174" s="151">
        <f>C174 + 25000*G174</f>
        <v>97500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>
      <c r="A180" s="378" t="s">
        <v>2097</v>
      </c>
    </row>
    <row r="181" ht="15.75" customHeight="1">
      <c r="A181" s="22" t="s">
        <v>2098</v>
      </c>
      <c r="B181" s="189">
        <f>'🔮 Симулятор_Роста'!$H$6</f>
        <v>14</v>
      </c>
    </row>
    <row r="182" ht="15.75" customHeight="1">
      <c r="A182" s="22" t="s">
        <v>2101</v>
      </c>
      <c r="B182" s="149">
        <f>'🔮 Симулятор_Роста'!$D$7</f>
        <v>0.53</v>
      </c>
    </row>
    <row r="183" ht="15.75" customHeight="1">
      <c r="A183" s="22" t="s">
        <v>2111</v>
      </c>
      <c r="B183" s="189">
        <f>'🔮 Симулятор_Роста'!$H$7</f>
        <v>7</v>
      </c>
    </row>
    <row r="184" ht="15.75" customHeight="1">
      <c r="A184" s="22" t="s">
        <v>2115</v>
      </c>
      <c r="B184" s="151">
        <f>'🔮 Симулятор_Роста'!$H$8</f>
        <v>5775000</v>
      </c>
    </row>
    <row r="185" ht="15.75" customHeight="1">
      <c r="A185" s="22" t="s">
        <v>2121</v>
      </c>
      <c r="B185" s="151">
        <f>'🔮 Симулятор_Роста'!$I$8</f>
        <v>4125000</v>
      </c>
    </row>
    <row r="186" ht="15.75" customHeight="1"/>
    <row r="187" ht="15.75" customHeight="1"/>
    <row r="188" ht="15.75" customHeight="1"/>
    <row r="189" ht="15.75" customHeight="1"/>
    <row r="190" ht="15.75" customHeight="1">
      <c r="A190" s="22" t="s">
        <v>2128</v>
      </c>
    </row>
    <row r="191" ht="15.75" customHeight="1">
      <c r="A191" s="22" t="s">
        <v>2129</v>
      </c>
      <c r="B191" s="22" t="s">
        <v>2130</v>
      </c>
      <c r="C191" s="22" t="s">
        <v>2131</v>
      </c>
      <c r="D191" s="22" t="s">
        <v>2132</v>
      </c>
      <c r="E191" s="22" t="s">
        <v>2133</v>
      </c>
      <c r="F191" s="22" t="s">
        <v>2134</v>
      </c>
      <c r="G191" s="22" t="s">
        <v>2135</v>
      </c>
      <c r="H191" s="22" t="s">
        <v>2136</v>
      </c>
      <c r="I191" s="22" t="s">
        <v>2137</v>
      </c>
      <c r="J191" s="22" t="s">
        <v>2138</v>
      </c>
      <c r="K191" s="22" t="s">
        <v>2139</v>
      </c>
      <c r="L191" s="22" t="s">
        <v>2140</v>
      </c>
      <c r="M191" s="22" t="s">
        <v>2141</v>
      </c>
      <c r="N191" s="22" t="s">
        <v>2142</v>
      </c>
    </row>
    <row r="192" ht="15.75" customHeight="1">
      <c r="A192" s="22" t="s">
        <v>2143</v>
      </c>
      <c r="B192" s="22" t="s">
        <v>2144</v>
      </c>
      <c r="C192" s="22">
        <f>B19</f>
        <v>1650000</v>
      </c>
      <c r="D192" s="22" t="s">
        <v>2145</v>
      </c>
      <c r="E192" s="22">
        <f>B20</f>
        <v>0.33</v>
      </c>
      <c r="F192" s="22" t="s">
        <v>2146</v>
      </c>
      <c r="G192" s="22">
        <f>B29</f>
        <v>1706896.552</v>
      </c>
      <c r="H192" s="22" t="s">
        <v>1862</v>
      </c>
      <c r="I192" s="22">
        <f>B30</f>
        <v>4404000</v>
      </c>
      <c r="J192" s="22" t="s">
        <v>1869</v>
      </c>
      <c r="K192" s="22">
        <f>B17</f>
        <v>5530000</v>
      </c>
      <c r="L192" s="22" t="s">
        <v>2147</v>
      </c>
      <c r="M192" s="22">
        <f>B34</f>
        <v>0.6018717949</v>
      </c>
      <c r="N192" s="22" t="s">
        <v>2148</v>
      </c>
    </row>
    <row r="193" ht="15.75" customHeight="1">
      <c r="A193" s="22" t="s">
        <v>2149</v>
      </c>
      <c r="B193" s="22" t="s">
        <v>1396</v>
      </c>
      <c r="C193" s="22">
        <f>B137</f>
        <v>240000</v>
      </c>
      <c r="D193" s="22" t="s">
        <v>2150</v>
      </c>
      <c r="E193" s="22" t="str">
        <f>TEXT(B39, "0.0") &amp; " x"</f>
        <v>8.8 x</v>
      </c>
      <c r="F193" s="22" t="s">
        <v>2151</v>
      </c>
      <c r="G193" s="22">
        <f>B21</f>
        <v>825000</v>
      </c>
      <c r="H193" s="22" t="s">
        <v>1750</v>
      </c>
      <c r="I193" s="22">
        <f>B36</f>
        <v>2330.097087</v>
      </c>
      <c r="J193" s="22" t="s">
        <v>1774</v>
      </c>
      <c r="K193" s="151">
        <f>F93</f>
        <v>0</v>
      </c>
      <c r="L193" s="22" t="s">
        <v>2152</v>
      </c>
      <c r="M193" s="22" t="str">
        <f>TEXT(B40, "0.0") &amp; " мес"</f>
        <v>0.1 мес</v>
      </c>
      <c r="N193" s="22" t="s">
        <v>2153</v>
      </c>
    </row>
    <row r="194" ht="15.75" customHeight="1">
      <c r="A194" s="22" t="s">
        <v>2154</v>
      </c>
      <c r="B194" s="22" t="s">
        <v>2155</v>
      </c>
      <c r="C194" s="22">
        <f>B19</f>
        <v>1650000</v>
      </c>
      <c r="D194" s="22" t="s">
        <v>2156</v>
      </c>
      <c r="E194" s="151">
        <f>'⚙️ Настройки'!$B$9</f>
        <v>5000000</v>
      </c>
      <c r="F194" s="22" t="s">
        <v>2157</v>
      </c>
      <c r="G194" s="22">
        <f>B16</f>
        <v>7</v>
      </c>
      <c r="H194" s="22" t="s">
        <v>2158</v>
      </c>
      <c r="I194" s="22">
        <f>B24</f>
        <v>0.5</v>
      </c>
      <c r="J194" s="22" t="s">
        <v>2159</v>
      </c>
      <c r="K194" s="22" t="str">
        <f>TEXT(B25, "0.0") &amp; " дн"</f>
        <v>11.0 дн</v>
      </c>
      <c r="L194" s="22" t="s">
        <v>1397</v>
      </c>
      <c r="M194" s="22">
        <f>B28</f>
        <v>6750000</v>
      </c>
      <c r="N194" s="22" t="s">
        <v>2161</v>
      </c>
    </row>
    <row r="195" ht="15.75" customHeight="1">
      <c r="A195" s="22" t="s">
        <v>2162</v>
      </c>
      <c r="B195" s="22" t="s">
        <v>2163</v>
      </c>
      <c r="C195" s="22">
        <f>B26</f>
        <v>6</v>
      </c>
      <c r="D195" s="22" t="s">
        <v>202</v>
      </c>
      <c r="E195" s="22">
        <f>'📋 Пульт_РОПа_15_Минут'!B5</f>
        <v>2</v>
      </c>
      <c r="F195" s="22" t="s">
        <v>2164</v>
      </c>
      <c r="G195" s="22">
        <f>'📋 Пульт_РОПа_15_Минут'!C5</f>
        <v>2</v>
      </c>
      <c r="H195" s="22" t="s">
        <v>2165</v>
      </c>
      <c r="I195" s="303">
        <f>'📋 Пульт_РОПа_15_Минут'!D5</f>
        <v>2730000</v>
      </c>
      <c r="J195" s="22" t="s">
        <v>2166</v>
      </c>
      <c r="K195" s="22">
        <f>B33</f>
        <v>0.6666666667</v>
      </c>
      <c r="L195" s="22" t="s">
        <v>1400</v>
      </c>
      <c r="M195" s="149">
        <f>B35</f>
        <v>0.4</v>
      </c>
      <c r="N195" s="22" t="s">
        <v>2167</v>
      </c>
    </row>
    <row r="196" ht="15.75" customHeight="1">
      <c r="A196" s="22" t="s">
        <v>2168</v>
      </c>
      <c r="B196" s="22" t="s">
        <v>2169</v>
      </c>
      <c r="C196" s="151">
        <f>D173</f>
        <v>450000</v>
      </c>
      <c r="D196" s="22" t="s">
        <v>2170</v>
      </c>
      <c r="E196" s="22">
        <v>1500000.0</v>
      </c>
      <c r="F196" s="22" t="s">
        <v>2171</v>
      </c>
      <c r="G196" s="22" t="str">
        <f>E18</f>
        <v/>
      </c>
      <c r="H196" s="22" t="s">
        <v>2172</v>
      </c>
      <c r="I196" s="380">
        <v>0.667</v>
      </c>
      <c r="J196" s="22" t="s">
        <v>1482</v>
      </c>
      <c r="K196" s="22" t="str">
        <f>D18</f>
        <v/>
      </c>
      <c r="L196" s="22" t="s">
        <v>2174</v>
      </c>
      <c r="M196" s="151">
        <f>H173</f>
        <v>115750</v>
      </c>
      <c r="N196" s="22" t="s">
        <v>2176</v>
      </c>
    </row>
    <row r="197" ht="15.75" customHeight="1">
      <c r="A197" s="22" t="s">
        <v>2177</v>
      </c>
      <c r="B197" s="22" t="s">
        <v>2178</v>
      </c>
      <c r="C197" s="22" t="s">
        <v>106</v>
      </c>
      <c r="D197" s="22" t="s">
        <v>2179</v>
      </c>
      <c r="E197" s="22" t="s">
        <v>164</v>
      </c>
      <c r="F197" s="22" t="s">
        <v>2180</v>
      </c>
      <c r="G197" s="22" t="s">
        <v>2181</v>
      </c>
      <c r="H197" s="22" t="s">
        <v>2182</v>
      </c>
      <c r="I197" s="22">
        <v>0.0</v>
      </c>
      <c r="J197" s="22" t="s">
        <v>2183</v>
      </c>
      <c r="K197" s="380">
        <v>1.0</v>
      </c>
      <c r="L197" s="22" t="s">
        <v>2184</v>
      </c>
      <c r="M197" s="22" t="s">
        <v>2185</v>
      </c>
      <c r="N197" s="22" t="s">
        <v>2186</v>
      </c>
    </row>
    <row r="198" ht="15.75" customHeight="1">
      <c r="A198" s="22" t="s">
        <v>2187</v>
      </c>
      <c r="B198" s="22" t="s">
        <v>770</v>
      </c>
      <c r="C198" s="151">
        <f>B62</f>
        <v>240000</v>
      </c>
      <c r="D198" s="22" t="s">
        <v>2188</v>
      </c>
      <c r="E198" s="22">
        <f>B65</f>
        <v>103</v>
      </c>
      <c r="F198" s="22" t="s">
        <v>1750</v>
      </c>
      <c r="G198" s="22">
        <f>B36</f>
        <v>2330.097087</v>
      </c>
      <c r="H198" s="22" t="s">
        <v>2192</v>
      </c>
      <c r="I198" s="22">
        <f>B37</f>
        <v>120000</v>
      </c>
      <c r="J198" s="22" t="s">
        <v>1396</v>
      </c>
      <c r="K198" s="22">
        <f>B137</f>
        <v>240000</v>
      </c>
      <c r="L198" s="22" t="s">
        <v>2196</v>
      </c>
      <c r="M198" s="22">
        <f>B63</f>
        <v>3570</v>
      </c>
      <c r="N198" s="22" t="s">
        <v>2197</v>
      </c>
    </row>
    <row r="199" ht="15.75" customHeight="1">
      <c r="A199" s="22" t="s">
        <v>2198</v>
      </c>
      <c r="B199" s="22" t="s">
        <v>2199</v>
      </c>
      <c r="C199" s="380">
        <v>0.056</v>
      </c>
      <c r="D199" s="22" t="s">
        <v>2200</v>
      </c>
      <c r="E199" s="380">
        <v>0.035</v>
      </c>
      <c r="F199" s="22" t="s">
        <v>2201</v>
      </c>
      <c r="G199" s="380">
        <v>0.333</v>
      </c>
      <c r="H199" s="22" t="s">
        <v>2202</v>
      </c>
      <c r="I199" s="22" t="s">
        <v>2203</v>
      </c>
      <c r="J199" s="22" t="s">
        <v>2204</v>
      </c>
      <c r="K199" s="22" t="s">
        <v>2205</v>
      </c>
      <c r="L199" s="22" t="s">
        <v>2206</v>
      </c>
      <c r="M199" s="22" t="s">
        <v>2207</v>
      </c>
      <c r="N199" s="22" t="s">
        <v>2208</v>
      </c>
    </row>
    <row r="200" ht="15.75" customHeight="1">
      <c r="A200" s="22" t="s">
        <v>2209</v>
      </c>
      <c r="B200" s="22" t="s">
        <v>2210</v>
      </c>
      <c r="C200" s="22">
        <f>B19</f>
        <v>1650000</v>
      </c>
      <c r="D200" s="22" t="s">
        <v>2212</v>
      </c>
      <c r="E200" s="22">
        <v>1980000.0</v>
      </c>
      <c r="F200" s="22" t="s">
        <v>2213</v>
      </c>
      <c r="G200" s="22">
        <v>330000.0</v>
      </c>
      <c r="H200" s="22" t="s">
        <v>2214</v>
      </c>
      <c r="I200" s="22">
        <v>150000.0</v>
      </c>
      <c r="J200" s="22" t="s">
        <v>2215</v>
      </c>
      <c r="K200" s="22" t="s">
        <v>2216</v>
      </c>
      <c r="L200" s="22" t="s">
        <v>2217</v>
      </c>
      <c r="M200" s="22" t="s">
        <v>2218</v>
      </c>
      <c r="N200" s="22" t="s">
        <v>2219</v>
      </c>
    </row>
    <row r="201" ht="15.75" customHeight="1">
      <c r="A201" s="22" t="s">
        <v>2220</v>
      </c>
      <c r="B201" s="22" t="s">
        <v>1774</v>
      </c>
      <c r="C201" s="151">
        <f>F93</f>
        <v>0</v>
      </c>
      <c r="D201" s="22" t="s">
        <v>2221</v>
      </c>
      <c r="E201" s="22">
        <f>B21</f>
        <v>825000</v>
      </c>
      <c r="F201" s="22" t="s">
        <v>2223</v>
      </c>
      <c r="G201" s="151">
        <f>B62</f>
        <v>240000</v>
      </c>
      <c r="H201" s="22" t="s">
        <v>2224</v>
      </c>
      <c r="I201" s="22">
        <f>A4</f>
        <v>3</v>
      </c>
      <c r="J201" s="22" t="s">
        <v>2225</v>
      </c>
      <c r="K201" s="380">
        <v>0.806</v>
      </c>
      <c r="L201" s="22" t="s">
        <v>2226</v>
      </c>
      <c r="M201" s="22" t="s">
        <v>2227</v>
      </c>
      <c r="N201" s="22" t="s">
        <v>2228</v>
      </c>
    </row>
    <row r="202" ht="15.75" customHeight="1">
      <c r="A202" s="22" t="s">
        <v>2229</v>
      </c>
      <c r="B202" s="22" t="s">
        <v>2144</v>
      </c>
      <c r="C202" s="22">
        <f>B19</f>
        <v>1650000</v>
      </c>
      <c r="D202" s="22" t="s">
        <v>1848</v>
      </c>
      <c r="E202" s="151">
        <f>'⚙️ Настройки'!$B$9</f>
        <v>5000000</v>
      </c>
      <c r="F202" s="22" t="s">
        <v>2145</v>
      </c>
      <c r="G202" s="22">
        <f>B20</f>
        <v>0.33</v>
      </c>
      <c r="H202" s="22" t="s">
        <v>2146</v>
      </c>
      <c r="I202" s="22">
        <f>B29</f>
        <v>1706896.552</v>
      </c>
      <c r="J202" s="22" t="s">
        <v>1862</v>
      </c>
      <c r="K202" s="22">
        <f>B30</f>
        <v>4404000</v>
      </c>
      <c r="L202" s="22" t="s">
        <v>1869</v>
      </c>
      <c r="M202" s="22">
        <f>B17</f>
        <v>5530000</v>
      </c>
      <c r="N202" s="22" t="s">
        <v>2232</v>
      </c>
    </row>
    <row r="203" ht="15.75" customHeight="1">
      <c r="A203" s="22" t="s">
        <v>2233</v>
      </c>
      <c r="B203" s="22" t="s">
        <v>1396</v>
      </c>
      <c r="C203" s="22">
        <f>B137</f>
        <v>240000</v>
      </c>
      <c r="D203" s="22" t="s">
        <v>1403</v>
      </c>
      <c r="E203" s="22">
        <f>B38</f>
        <v>1060000</v>
      </c>
      <c r="F203" s="22" t="s">
        <v>2235</v>
      </c>
      <c r="G203" s="22" t="str">
        <f>TEXT(B39, "0.0") &amp; " x"</f>
        <v>8.8 x</v>
      </c>
      <c r="H203" s="22" t="s">
        <v>2151</v>
      </c>
      <c r="I203" s="22">
        <f>B21</f>
        <v>825000</v>
      </c>
      <c r="J203" s="22" t="s">
        <v>1774</v>
      </c>
      <c r="K203" s="151">
        <f>F93</f>
        <v>0</v>
      </c>
      <c r="L203" s="22" t="s">
        <v>2225</v>
      </c>
      <c r="M203" s="380">
        <v>0.806</v>
      </c>
      <c r="N203" s="22" t="s">
        <v>2232</v>
      </c>
    </row>
    <row r="204" ht="15.75" customHeight="1">
      <c r="A204" s="22" t="s">
        <v>2242</v>
      </c>
      <c r="B204" s="22" t="s">
        <v>1869</v>
      </c>
      <c r="C204" s="22">
        <f>B17</f>
        <v>5530000</v>
      </c>
      <c r="D204" s="22" t="s">
        <v>1482</v>
      </c>
      <c r="E204" s="22">
        <f>B16</f>
        <v>7</v>
      </c>
      <c r="F204" s="22" t="s">
        <v>2158</v>
      </c>
      <c r="G204" s="22">
        <f>B24</f>
        <v>0.5</v>
      </c>
      <c r="H204" s="22" t="s">
        <v>2159</v>
      </c>
      <c r="I204" s="22" t="str">
        <f>TEXT(B25, "0.0") &amp; " дн"</f>
        <v>11.0 дн</v>
      </c>
      <c r="J204" s="22" t="s">
        <v>1397</v>
      </c>
      <c r="K204" s="22">
        <f>B28</f>
        <v>6750000</v>
      </c>
      <c r="L204" s="22" t="s">
        <v>2243</v>
      </c>
      <c r="M204" s="22">
        <f>B34</f>
        <v>0.6018717949</v>
      </c>
      <c r="N204" s="22" t="s">
        <v>2244</v>
      </c>
    </row>
    <row r="205" ht="15.75" customHeight="1">
      <c r="A205" s="22" t="s">
        <v>2245</v>
      </c>
      <c r="B205" s="22" t="s">
        <v>550</v>
      </c>
      <c r="C205" s="22">
        <f>C2</f>
        <v>950000</v>
      </c>
      <c r="D205" s="22" t="s">
        <v>2246</v>
      </c>
      <c r="E205" s="22">
        <f>C3</f>
        <v>120000</v>
      </c>
      <c r="F205" s="22" t="s">
        <v>557</v>
      </c>
      <c r="G205" s="22">
        <f>C4</f>
        <v>280000</v>
      </c>
      <c r="H205" s="22" t="s">
        <v>561</v>
      </c>
      <c r="I205" s="22">
        <f>C5</f>
        <v>3850000</v>
      </c>
      <c r="J205" s="22" t="s">
        <v>567</v>
      </c>
      <c r="K205" s="22">
        <f>C6</f>
        <v>330000</v>
      </c>
      <c r="L205" s="22" t="s">
        <v>2247</v>
      </c>
      <c r="M205" s="22">
        <f>C7</f>
        <v>1650000</v>
      </c>
      <c r="N205" s="22" t="s">
        <v>2244</v>
      </c>
    </row>
    <row r="206" ht="15.75" customHeight="1">
      <c r="A206" s="22" t="s">
        <v>2248</v>
      </c>
      <c r="B206" s="22" t="s">
        <v>2249</v>
      </c>
      <c r="C206" s="22">
        <f>B26</f>
        <v>6</v>
      </c>
      <c r="D206" s="22" t="s">
        <v>2250</v>
      </c>
      <c r="E206" s="22" t="str">
        <f>TEXT(B32, "0.0") &amp; " из 13"</f>
        <v>9.5 из 13</v>
      </c>
      <c r="F206" s="22" t="s">
        <v>2166</v>
      </c>
      <c r="G206" s="22">
        <f>B33</f>
        <v>0.6666666667</v>
      </c>
      <c r="H206" s="22" t="s">
        <v>202</v>
      </c>
      <c r="I206" s="22">
        <f>'📋 Пульт_РОПа_15_Минут'!B5</f>
        <v>2</v>
      </c>
      <c r="J206" s="22" t="s">
        <v>2251</v>
      </c>
      <c r="K206" s="22">
        <f>'📋 Пульт_РОПа_15_Минут'!C5</f>
        <v>2</v>
      </c>
      <c r="L206" s="22" t="s">
        <v>2252</v>
      </c>
      <c r="M206" s="303">
        <f>'📋 Пульт_РОПа_15_Минут'!D5</f>
        <v>2730000</v>
      </c>
      <c r="N206" s="22" t="s">
        <v>2253</v>
      </c>
    </row>
    <row r="207" ht="15.75" customHeight="1">
      <c r="A207" s="22" t="s">
        <v>2254</v>
      </c>
      <c r="B207" s="22" t="s">
        <v>2255</v>
      </c>
      <c r="C207" s="22" t="s">
        <v>133</v>
      </c>
      <c r="D207" s="22" t="s">
        <v>2256</v>
      </c>
      <c r="E207" s="22" t="s">
        <v>121</v>
      </c>
      <c r="F207" s="22" t="s">
        <v>2257</v>
      </c>
      <c r="G207" s="22" t="s">
        <v>2258</v>
      </c>
      <c r="H207" s="22" t="s">
        <v>2259</v>
      </c>
      <c r="I207" s="22" t="s">
        <v>2181</v>
      </c>
      <c r="J207" s="22" t="s">
        <v>2260</v>
      </c>
      <c r="K207" s="22" t="s">
        <v>2261</v>
      </c>
      <c r="L207" s="22" t="s">
        <v>14</v>
      </c>
      <c r="M207" s="22" t="s">
        <v>2262</v>
      </c>
      <c r="N207" s="22" t="s">
        <v>2253</v>
      </c>
    </row>
    <row r="208" ht="15.75" customHeight="1">
      <c r="A208" s="22" t="s">
        <v>2263</v>
      </c>
      <c r="B208" s="22" t="s">
        <v>2210</v>
      </c>
      <c r="C208" s="22">
        <f>B19</f>
        <v>1650000</v>
      </c>
      <c r="D208" s="22" t="s">
        <v>2264</v>
      </c>
      <c r="E208" s="22">
        <v>1980000.0</v>
      </c>
      <c r="F208" s="22" t="s">
        <v>2265</v>
      </c>
      <c r="G208" s="22">
        <v>330000.0</v>
      </c>
      <c r="H208" s="22" t="s">
        <v>2266</v>
      </c>
      <c r="I208" s="22">
        <v>150000.0</v>
      </c>
      <c r="J208" s="22" t="s">
        <v>2267</v>
      </c>
      <c r="K208" s="22" t="s">
        <v>2216</v>
      </c>
      <c r="L208" s="22" t="s">
        <v>2268</v>
      </c>
      <c r="M208" s="22" t="s">
        <v>40</v>
      </c>
      <c r="N208" s="22" t="s">
        <v>2269</v>
      </c>
    </row>
    <row r="209" ht="15.75" customHeight="1">
      <c r="A209" s="22" t="s">
        <v>2270</v>
      </c>
      <c r="B209" s="22" t="s">
        <v>2271</v>
      </c>
      <c r="C209" s="22" t="s">
        <v>2272</v>
      </c>
      <c r="D209" s="22" t="s">
        <v>2273</v>
      </c>
      <c r="E209" s="22" t="s">
        <v>2274</v>
      </c>
      <c r="F209" s="22" t="s">
        <v>2275</v>
      </c>
      <c r="G209" s="22" t="s">
        <v>2276</v>
      </c>
      <c r="H209" s="22" t="s">
        <v>2277</v>
      </c>
      <c r="I209" s="22" t="s">
        <v>2278</v>
      </c>
      <c r="J209" s="22" t="s">
        <v>2279</v>
      </c>
      <c r="K209" s="380">
        <v>0.75</v>
      </c>
      <c r="L209" s="22" t="s">
        <v>2280</v>
      </c>
      <c r="M209" s="22" t="s">
        <v>2281</v>
      </c>
      <c r="N209" s="22" t="s">
        <v>2269</v>
      </c>
    </row>
    <row r="210" ht="15.75" customHeight="1">
      <c r="A210" s="22" t="s">
        <v>2282</v>
      </c>
      <c r="B210" s="22" t="s">
        <v>770</v>
      </c>
      <c r="C210" s="151">
        <f>B62</f>
        <v>240000</v>
      </c>
      <c r="D210" s="22" t="s">
        <v>2283</v>
      </c>
      <c r="E210" s="22">
        <f>B65</f>
        <v>103</v>
      </c>
      <c r="F210" s="22" t="s">
        <v>1750</v>
      </c>
      <c r="G210" s="22">
        <f>B36</f>
        <v>2330.097087</v>
      </c>
      <c r="H210" s="22" t="s">
        <v>2192</v>
      </c>
      <c r="I210" s="22">
        <f>B37</f>
        <v>120000</v>
      </c>
      <c r="J210" s="22" t="s">
        <v>1396</v>
      </c>
      <c r="K210" s="22">
        <f>B137</f>
        <v>240000</v>
      </c>
      <c r="L210" s="22" t="s">
        <v>2196</v>
      </c>
      <c r="M210" s="22">
        <f>B63</f>
        <v>3570</v>
      </c>
      <c r="N210" s="22" t="s">
        <v>2285</v>
      </c>
    </row>
    <row r="211" ht="15.75" customHeight="1">
      <c r="A211" s="22" t="s">
        <v>2286</v>
      </c>
      <c r="B211" s="22" t="s">
        <v>2287</v>
      </c>
      <c r="C211" s="22" t="s">
        <v>2288</v>
      </c>
      <c r="D211" s="22" t="s">
        <v>2289</v>
      </c>
      <c r="E211" s="22" t="s">
        <v>2290</v>
      </c>
      <c r="F211" s="22" t="s">
        <v>2291</v>
      </c>
      <c r="G211" s="22" t="s">
        <v>2292</v>
      </c>
      <c r="H211" s="22" t="s">
        <v>453</v>
      </c>
      <c r="I211" s="22" t="s">
        <v>2293</v>
      </c>
      <c r="J211" s="22" t="s">
        <v>2294</v>
      </c>
      <c r="K211" s="22" t="s">
        <v>2295</v>
      </c>
      <c r="L211" s="22" t="s">
        <v>2296</v>
      </c>
      <c r="M211" s="22" t="s">
        <v>2297</v>
      </c>
      <c r="N211" s="22" t="s">
        <v>2285</v>
      </c>
    </row>
    <row r="212" ht="15.75" customHeight="1">
      <c r="A212" s="22" t="s">
        <v>2298</v>
      </c>
      <c r="B212" s="22">
        <f>IF('⚙️ Настройки'!$F$10="102 - Петров Александр (КАМ)", 5, IF('⚙️ Настройки'!$D$10="💰 Выручка и чистая прибыль", 11, IF('⚙️ Настройки'!$D$10="🎯 Воронка продаж и конверсии CRM", 13, IF('⚙️ Настройки'!$D$10="🎙️ Контроль речи и качество звонков", 15, IF('⚙️ Настройки'!$D$10="💳 Дебиторка DSO и кассовые разрывы", 17, IF('⚙️ Настройки'!$D$10="🌐 Трафик, CPL и ROMI каналов", 19, IF(ISNUMBER(SEARCH("CEO", '⚙️ Настройки'!$B$10)), 1, IF(ISNUMBER(SEARCH("РОП", '⚙️ Настройки'!$B$10)), 3, IF(ISNUMBER(SEARCH("KAM", '⚙️ Настройки'!$B$10)), 5, IF(ISNUMBER(SEARCH("CMO", '⚙️ Настройки'!$B$10)), 7, 9))))))))))</f>
        <v>1</v>
      </c>
    </row>
    <row r="213" ht="15.75" customHeight="1">
      <c r="A213" s="22" t="s">
        <v>2301</v>
      </c>
      <c r="B213" s="22" t="str">
        <f>IF('⚙️ Настройки'!$F$10="102 - Петров Александр (КАМ)", "KAM_R1", IF('⚙️ Настройки'!$D$10="💰 Выручка и чистая прибыль", "FOCUS_REV_R1", IF('⚙️ Настройки'!$D$10="🎯 Воронка продаж и конверсии CRM", "FOCUS_FUN_R1", IF('⚙️ Настройки'!$D$10="🎙️ Контроль речи и качество звонков", "FOCUS_SPK_R1", IF('⚙️ Настройки'!$D$10="💳 Дебиторка DSO и кассовые разрывы", "FOCUS_DSO_R1", IF('⚙️ Настройки'!$D$10="🌐 Трафик, CPL и ROMI каналов", "FOCUS_TRF_R1", IF(ISNUMBER(SEARCH("CEO", '⚙️ Настройки'!$B$10)), "CEO_R1", IF(ISNUMBER(SEARCH("РОП", '⚙️ Настройки'!$B$10)), "ROP_R1", IF(ISNUMBER(SEARCH("KAM", '⚙️ Настройки'!$B$10)), "KAM_R1", IF(ISNUMBER(SEARCH("CMO", '⚙️ Настройки'!$B$10)), "CMO_R1", "CFO_R1"))))))))))</f>
        <v>CEO_R1</v>
      </c>
    </row>
    <row r="214" ht="15.75" customHeight="1">
      <c r="A214" s="22" t="s">
        <v>2354</v>
      </c>
      <c r="B214" s="22" t="str">
        <f>IF('⚙️ Настройки'!$F$10="102 - Петров Александр (КАМ)", "KAM_R2", IF('⚙️ Настройки'!$D$10="💰 Выручка и чистая прибыль", "FOCUS_REV_R2", IF('⚙️ Настройки'!$D$10="🎯 Воронка продаж и конверсии CRM", "FOCUS_FUN_R2", IF('⚙️ Настройки'!$D$10="🎙️ Контроль речи и качество звонков", "FOCUS_SPK_R2", IF('⚙️ Настройки'!$D$10="💳 Дебиторка DSO и кассовые разрывы", "FOCUS_DSO_R2", IF('⚙️ Настройки'!$D$10="🌐 Трафик, CPL и ROMI каналов", "FOCUS_TRF_R2", IF(ISNUMBER(SEARCH("CEO", '⚙️ Настройки'!$B$10)), "CEO_R2", IF(ISNUMBER(SEARCH("РОП", '⚙️ Настройки'!$B$10)), "ROP_R2", IF(ISNUMBER(SEARCH("KAM", '⚙️ Настройки'!$B$10)), "KAM_R2", IF(ISNUMBER(SEARCH("CMO", '⚙️ Настройки'!$B$10)), "CMO_R2", "CFO_R2"))))))))))</f>
        <v>CEO_R2</v>
      </c>
    </row>
    <row r="215" ht="15.75" customHeight="1">
      <c r="A215" s="22" t="s">
        <v>2387</v>
      </c>
      <c r="B215" s="22" t="str">
        <f>VLOOKUP($B$213, $A$192:$N$211, 2, FALSE)</f>
        <v>Выручка (факт)</v>
      </c>
      <c r="C215" s="22">
        <f>VLOOKUP($B$213, $A$192:$N$211, 3, FALSE)</f>
        <v>1650000</v>
      </c>
      <c r="D215" s="22" t="str">
        <f>VLOOKUP($B$213, $A$192:$N$211, 4, FALSE)</f>
        <v>% выполнения плана</v>
      </c>
      <c r="E215" s="22">
        <f>VLOOKUP($B$213, $A$192:$N$211, 5, FALSE)</f>
        <v>0.33</v>
      </c>
      <c r="F215" s="22" t="str">
        <f>VLOOKUP($B$213, $A$192:$N$211, 6, FALSE)</f>
        <v>Прогноз Run-Rate</v>
      </c>
      <c r="G215" s="22">
        <f>VLOOKUP($B$213, $A$192:$N$211, 7, FALSE)</f>
        <v>1706896.552</v>
      </c>
      <c r="H215" s="22" t="str">
        <f>VLOOKUP($B$213, $A$192:$N$211, 8, FALSE)</f>
        <v>Взвешенный прогноз</v>
      </c>
      <c r="I215" s="22">
        <f>VLOOKUP($B$213, $A$192:$N$211, 9, FALSE)</f>
        <v>4404000</v>
      </c>
      <c r="J215" s="22" t="str">
        <f>VLOOKUP($B$213, $A$192:$N$211, 10, FALSE)</f>
        <v>Активный пайплайн</v>
      </c>
      <c r="K215" s="22">
        <f>VLOOKUP($B$213, $A$192:$N$211, 11, FALSE)</f>
        <v>5530000</v>
      </c>
      <c r="L215" s="22" t="str">
        <f>VLOOKUP($B$213, $A$192:$N$211, 12, FALSE)</f>
        <v>Индекс здоровья</v>
      </c>
      <c r="M215" s="22">
        <f>VLOOKUP($B$213, $A$192:$N$211, 13, FALSE)</f>
        <v>0.6018717949</v>
      </c>
      <c r="N215" s="22" t="str">
        <f>VLOOKUP($B$213, $A$192:$N$211, 14, FALSE)</f>
        <v>Собственник: Капитализация и прибыль</v>
      </c>
    </row>
    <row r="216" ht="15.75" customHeight="1">
      <c r="A216" s="22" t="s">
        <v>2508</v>
      </c>
      <c r="B216" s="22" t="str">
        <f>VLOOKUP($B$214, $A$192:$N$211, 2, FALSE)</f>
        <v>Сквозной ROMI</v>
      </c>
      <c r="C216" s="22">
        <f>VLOOKUP($B$214, $A$192:$N$211, 3, FALSE)</f>
        <v>240000</v>
      </c>
      <c r="D216" s="22" t="str">
        <f>VLOOKUP($B$214, $A$192:$N$211, 4, FALSE)</f>
        <v>LTV / CAC воронки</v>
      </c>
      <c r="E216" s="22" t="str">
        <f>VLOOKUP($B$214, $A$192:$N$211, 5, FALSE)</f>
        <v>8.8 x</v>
      </c>
      <c r="F216" s="22" t="str">
        <f>VLOOKUP($B$214, $A$192:$N$211, 6, FALSE)</f>
        <v>Средний чек сделки</v>
      </c>
      <c r="G216" s="22">
        <f>VLOOKUP($B$214, $A$192:$N$211, 7, FALSE)</f>
        <v>825000</v>
      </c>
      <c r="H216" s="22" t="str">
        <f>VLOOKUP($B$214, $A$192:$N$211, 8, FALSE)</f>
        <v>Стоимость лида (CPL)</v>
      </c>
      <c r="I216" s="22">
        <f>VLOOKUP($B$214, $A$192:$N$211, 9, FALSE)</f>
        <v>2330.097087</v>
      </c>
      <c r="J216" s="22" t="str">
        <f>VLOOKUP($B$214, $A$192:$N$211, 10, FALSE)</f>
        <v>Кумулятивный NRR</v>
      </c>
      <c r="K216" s="151">
        <f>VLOOKUP($B$214, $A$192:$N$211, 11, FALSE)</f>
        <v>0</v>
      </c>
      <c r="L216" s="22" t="str">
        <f>VLOOKUP($B$214, $A$192:$N$211, 12, FALSE)</f>
        <v>Срок окупаемости</v>
      </c>
      <c r="M216" s="22" t="str">
        <f>VLOOKUP($B$214, $A$192:$N$211, 13, FALSE)</f>
        <v>0.1 мес</v>
      </c>
      <c r="N216" s="22" t="str">
        <f>VLOOKUP($B$214, $A$192:$N$211, 14, FALSE)</f>
        <v>Чистая прибыль и окупаемость</v>
      </c>
    </row>
    <row r="217" ht="15.75" customHeight="1"/>
    <row r="218" ht="15.75" customHeight="1"/>
    <row r="219" ht="15.75" customHeight="1"/>
    <row r="220" ht="15.75" customHeight="1">
      <c r="A220" s="22" t="s">
        <v>2671</v>
      </c>
    </row>
    <row r="221" ht="15.75" customHeight="1">
      <c r="A221" s="22" t="s">
        <v>2673</v>
      </c>
      <c r="B221" s="22" t="s">
        <v>356</v>
      </c>
      <c r="C221" s="22" t="s">
        <v>2674</v>
      </c>
      <c r="D221" s="22" t="s">
        <v>2675</v>
      </c>
      <c r="E221" s="22" t="s">
        <v>836</v>
      </c>
      <c r="F221" s="22" t="s">
        <v>661</v>
      </c>
    </row>
    <row r="222" ht="15.75" customHeight="1">
      <c r="A222" s="22" t="s">
        <v>2677</v>
      </c>
      <c r="B222" s="22">
        <f>B19</f>
        <v>1650000</v>
      </c>
      <c r="C222" s="22" t="s">
        <v>2684</v>
      </c>
      <c r="D222" s="22">
        <f t="shared" ref="D222:D223" si="14">B222</f>
        <v>1650000</v>
      </c>
      <c r="E222" s="22" t="s">
        <v>835</v>
      </c>
      <c r="F222" s="22" t="s">
        <v>2693</v>
      </c>
    </row>
    <row r="223" ht="15.75" customHeight="1">
      <c r="A223" s="22" t="s">
        <v>2695</v>
      </c>
      <c r="B223" s="22">
        <f>B18</f>
        <v>2754000</v>
      </c>
      <c r="C223" s="22" t="s">
        <v>2701</v>
      </c>
      <c r="D223" s="22">
        <f t="shared" si="14"/>
        <v>2754000</v>
      </c>
      <c r="E223" s="22" t="s">
        <v>2702</v>
      </c>
      <c r="F223" s="22" t="s">
        <v>2704</v>
      </c>
    </row>
    <row r="224" ht="15.75" customHeight="1">
      <c r="A224" s="22" t="s">
        <v>2705</v>
      </c>
      <c r="B224" s="22">
        <v>0.18</v>
      </c>
      <c r="C224" s="22" t="s">
        <v>2708</v>
      </c>
      <c r="D224" s="22" t="s">
        <v>2710</v>
      </c>
      <c r="E224" s="22" t="s">
        <v>593</v>
      </c>
      <c r="F224" s="22" t="s">
        <v>2712</v>
      </c>
    </row>
    <row r="225" ht="15.75" customHeight="1">
      <c r="A225" s="22" t="s">
        <v>2714</v>
      </c>
      <c r="B225" s="303">
        <f>'⚡ Экспресс_Калькулятор_3_Цифры'!D19 * '⚙️ Настройки'!$B$48</f>
        <v>392700</v>
      </c>
      <c r="C225" s="22" t="s">
        <v>2725</v>
      </c>
      <c r="D225" s="22">
        <f>D19*0.35</f>
        <v>0</v>
      </c>
      <c r="E225" s="22" t="s">
        <v>2729</v>
      </c>
      <c r="F225" s="22" t="s">
        <v>2731</v>
      </c>
    </row>
    <row r="226" ht="15.75" customHeight="1">
      <c r="A226" s="22" t="s">
        <v>2732</v>
      </c>
      <c r="B226" s="22">
        <f>calc_simulator!B10</f>
        <v>3230796</v>
      </c>
      <c r="C226" s="22" t="s">
        <v>2739</v>
      </c>
      <c r="D226" s="22">
        <f t="shared" ref="D226:D230" si="15">B226</f>
        <v>3230796</v>
      </c>
      <c r="E226" s="22" t="s">
        <v>2744</v>
      </c>
      <c r="F226" s="22" t="s">
        <v>2745</v>
      </c>
    </row>
    <row r="227" ht="15.75" customHeight="1">
      <c r="A227" s="22" t="s">
        <v>2747</v>
      </c>
      <c r="B227" s="303">
        <f>calc_simulator!B11</f>
        <v>4187250</v>
      </c>
      <c r="C227" s="22" t="s">
        <v>2739</v>
      </c>
      <c r="D227" s="303">
        <f t="shared" si="15"/>
        <v>4187250</v>
      </c>
      <c r="E227" s="22" t="s">
        <v>834</v>
      </c>
      <c r="F227" s="22" t="s">
        <v>2756</v>
      </c>
    </row>
    <row r="228" ht="15.75" customHeight="1">
      <c r="A228" s="22" t="s">
        <v>2758</v>
      </c>
      <c r="B228" s="303">
        <f>calc_simulator!B12</f>
        <v>5013195</v>
      </c>
      <c r="C228" s="22" t="s">
        <v>2739</v>
      </c>
      <c r="D228" s="303">
        <f t="shared" si="15"/>
        <v>5013195</v>
      </c>
      <c r="E228" s="22" t="s">
        <v>2771</v>
      </c>
      <c r="F228" s="22" t="s">
        <v>2772</v>
      </c>
    </row>
    <row r="229" ht="15.75" customHeight="1">
      <c r="A229" s="22" t="s">
        <v>2775</v>
      </c>
      <c r="B229" s="303">
        <f>calc_simulator!B13</f>
        <v>0.72</v>
      </c>
      <c r="C229" s="22" t="s">
        <v>1344</v>
      </c>
      <c r="D229" s="380">
        <f t="shared" si="15"/>
        <v>0.72</v>
      </c>
      <c r="E229" s="22" t="s">
        <v>2781</v>
      </c>
      <c r="F229" s="22" t="s">
        <v>2783</v>
      </c>
    </row>
    <row r="230" ht="15.75" customHeight="1">
      <c r="A230" s="22" t="s">
        <v>2785</v>
      </c>
      <c r="B230" s="303">
        <f>calc_simulator!B15</f>
        <v>1782399</v>
      </c>
      <c r="C230" s="22" t="s">
        <v>2794</v>
      </c>
      <c r="D230" s="303">
        <f t="shared" si="15"/>
        <v>1782399</v>
      </c>
      <c r="E230" s="22" t="s">
        <v>593</v>
      </c>
      <c r="F230" s="22" t="s">
        <v>2797</v>
      </c>
    </row>
    <row r="231" ht="15.75" customHeight="1">
      <c r="A231" s="22" t="s">
        <v>2800</v>
      </c>
      <c r="B231" s="22" t="s">
        <v>2801</v>
      </c>
    </row>
    <row r="232" ht="15.75" customHeight="1">
      <c r="A232" s="22" t="s">
        <v>2802</v>
      </c>
      <c r="B232" s="22">
        <f t="shared" ref="B232:B234" si="16">B226</f>
        <v>3230796</v>
      </c>
    </row>
    <row r="233" ht="15.75" customHeight="1">
      <c r="A233" s="22" t="s">
        <v>2806</v>
      </c>
      <c r="B233" s="303">
        <f t="shared" si="16"/>
        <v>4187250</v>
      </c>
    </row>
    <row r="234" ht="15.75" customHeight="1">
      <c r="A234" s="22" t="s">
        <v>2812</v>
      </c>
      <c r="B234" s="303">
        <f t="shared" si="16"/>
        <v>5013195</v>
      </c>
    </row>
    <row r="235" ht="15.75" customHeight="1">
      <c r="A235" s="22" t="s">
        <v>2815</v>
      </c>
      <c r="B235" s="151">
        <f>'⚙️ Настройки'!$B$9</f>
        <v>5000000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91:G91"/>
    <mergeCell ref="A130:I130"/>
    <mergeCell ref="A142:H142"/>
    <mergeCell ref="A152:H152"/>
    <mergeCell ref="A160:H160"/>
    <mergeCell ref="A170:H170"/>
    <mergeCell ref="A180:H18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7.38"/>
    <col customWidth="1" min="2" max="2" width="29.5"/>
    <col customWidth="1" min="3" max="3" width="29.13"/>
    <col customWidth="1" min="4" max="4" width="31.75"/>
    <col customWidth="1" min="5" max="5" width="28.25"/>
    <col customWidth="1" min="6" max="6" width="26.63"/>
    <col customWidth="1" min="7" max="7" width="18.25"/>
    <col customWidth="1" min="8" max="8" width="12.63"/>
  </cols>
  <sheetData>
    <row r="1" ht="42.0" customHeight="1">
      <c r="A1" s="2" t="str">
        <f>"⚡ ПУЛЬС БИЗНЕСА: " &amp; '⚙️ Настройки'!$B$10 &amp; "  |  Фокус: " &amp; '⚙️ Настройки'!$D$10 &amp; "  |  Срез: " &amp; '⚙️ Настройки'!$F$10</f>
        <v>⚡ ПУЛЬС БИЗНЕСА: 👑 CEO  |  Фокус: Авто (По умолчанию роли)  |  Срез: 👥 Весь отдел продаж (Сводно)</v>
      </c>
      <c r="G1" s="2"/>
      <c r="H1" s="2"/>
      <c r="I1" s="38"/>
      <c r="J1" s="38"/>
    </row>
    <row r="2" ht="28.5" customHeight="1">
      <c r="A2" s="19" t="str">
        <f>HYPERLINK("https://docs.google.com/spreadsheets/d/1QnjrrbpqhYssofchee7G06szWrFvBCcOqGIVokjqdVc/edit#gid=1377308911", "📄 1. One-Pager")</f>
        <v>📄 1. One-Pager</v>
      </c>
      <c r="B2" s="19" t="str">
        <f>HYPERLINK("https://docs.google.com/spreadsheets/d/1QnjrrbpqhYssofchee7G06szWrFvBCcOqGIVokjqdVc/edit#gid=1847360667", "⚡ 2. Пульс компании")</f>
        <v>⚡ 2. Пульс компании</v>
      </c>
      <c r="C2" s="19" t="str">
        <f>HYPERLINK("https://docs.google.com/spreadsheets/d/1QnjrrbpqhYssofchee7G06szWrFvBCcOqGIVokjqdVc/edit#gid=777000301", "📋 3. Пульт РОПа")</f>
        <v>📋 3. Пульт РОПа</v>
      </c>
      <c r="D2" s="19" t="str">
        <f>HYPERLINK("https://docs.google.com/spreadsheets/d/1QnjrrbpqhYssofchee7G06szWrFvBCcOqGIVokjqdVc/edit#gid=777000101", "💸 4. 7 Грехов ОП")</f>
        <v>💸 4. 7 Грехов ОП</v>
      </c>
      <c r="E2" s="19" t="str">
        <f>HYPERLINK("https://docs.google.com/spreadsheets/d/1QnjrrbpqhYssofchee7G06szWrFvBCcOqGIVokjqdVc/edit#gid=811060921", "🎯 5. Action Center")</f>
        <v>🎯 5. Action Center</v>
      </c>
      <c r="F2" s="19" t="str">
        <f>HYPERLINK("https://docs.google.com/spreadsheets/d/1QnjrrbpqhYssofchee7G06szWrFvBCcOqGIVokjqdVc/edit#gid=852624872", "🎙️ 6. ИИ-Аудит")</f>
        <v>🎙️ 6. ИИ-Аудит</v>
      </c>
      <c r="G2" s="19" t="str">
        <f>HYPERLINK("https://docs.google.com/spreadsheets/d/1QnjrrbpqhYssofchee7G06szWrFvBCcOqGIVokjqdVc/edit#gid=777000201", "⚡ 7. Экспресс 3 цифры")</f>
        <v>⚡ 7. Экспресс 3 цифры</v>
      </c>
      <c r="H2" s="19" t="str">
        <f>HYPERLINK("https://docs.google.com/spreadsheets/d/1QnjrrbpqhYssofchee7G06szWrFvBCcOqGIVokjqdVc/edit#gid=60692888", "🧪 8. QA Suite")</f>
        <v>🧪 8. QA Suite</v>
      </c>
      <c r="I2" s="14" t="str">
        <f>HYPERLINK("https://docs.google.com/spreadsheets/d/1QnjrrbpqhYssofchee7G06szWrFvBCcOqGIVokjqdVc/edit#gid=985355776", "⚙️ 9. Настройки")</f>
        <v>⚙️ 9. Настройки</v>
      </c>
      <c r="J2" s="38"/>
    </row>
    <row r="3" ht="21.0" customHeight="1">
      <c r="A3" s="321" t="str">
        <f>calc_engine!B215</f>
        <v>Выручка (факт)</v>
      </c>
      <c r="B3" s="321" t="str">
        <f>calc_engine!D215</f>
        <v>% выполнения плана</v>
      </c>
      <c r="C3" s="321" t="str">
        <f>calc_engine!F215</f>
        <v>Прогноз Run-Rate</v>
      </c>
      <c r="D3" s="321" t="str">
        <f>calc_engine!H215</f>
        <v>Взвешенный прогноз</v>
      </c>
      <c r="E3" s="321" t="str">
        <f>calc_engine!J215</f>
        <v>Активный пайплайн</v>
      </c>
      <c r="F3" s="321" t="str">
        <f>calc_engine!L215</f>
        <v>Индекс здоровья</v>
      </c>
      <c r="G3" s="38"/>
      <c r="H3" s="38"/>
      <c r="I3" s="38"/>
      <c r="J3" s="38"/>
    </row>
    <row r="4" ht="22.5" customHeight="1">
      <c r="A4" s="322">
        <f>calc_engine!C215</f>
        <v>1650000</v>
      </c>
      <c r="B4" s="323">
        <f>calc_engine!E215</f>
        <v>0.33</v>
      </c>
      <c r="C4" s="322">
        <f>calc_engine!G215</f>
        <v>1706896.552</v>
      </c>
      <c r="D4" s="322">
        <f>calc_engine!I215</f>
        <v>4404000</v>
      </c>
      <c r="E4" s="322">
        <f>calc_engine!K215</f>
        <v>5530000</v>
      </c>
      <c r="F4" s="323">
        <f>calc_engine!M215</f>
        <v>0.6018717949</v>
      </c>
      <c r="G4" s="38"/>
      <c r="H4" s="38"/>
      <c r="I4" s="38"/>
      <c r="J4" s="38"/>
    </row>
    <row r="5" ht="40.5" customHeight="1">
      <c r="A5" s="324" t="str">
        <f>calc_engine!B216</f>
        <v>Сквозной ROMI</v>
      </c>
      <c r="B5" s="324" t="str">
        <f>calc_engine!D216</f>
        <v>LTV / CAC воронки</v>
      </c>
      <c r="C5" s="325" t="str">
        <f>calc_engine!F216</f>
        <v>Средний чек сделки</v>
      </c>
      <c r="D5" s="325" t="str">
        <f>calc_engine!H216</f>
        <v>Стоимость лида (CPL)</v>
      </c>
      <c r="E5" s="326" t="str">
        <f>calc_engine!J216</f>
        <v>Кумулятивный NRR</v>
      </c>
      <c r="F5" s="326" t="str">
        <f>calc_engine!L216</f>
        <v>Срок окупаемости</v>
      </c>
      <c r="G5" s="38"/>
      <c r="H5" s="38"/>
      <c r="I5" s="38"/>
      <c r="J5" s="38"/>
    </row>
    <row r="6" ht="22.5" customHeight="1">
      <c r="A6" s="327">
        <f>calc_engine!C216</f>
        <v>240000</v>
      </c>
      <c r="B6" s="328" t="str">
        <f>calc_engine!E216</f>
        <v>8.8 x</v>
      </c>
      <c r="C6" s="327">
        <f>calc_engine!G216</f>
        <v>825000</v>
      </c>
      <c r="D6" s="327">
        <f>calc_engine!I216</f>
        <v>2330.097087</v>
      </c>
      <c r="E6" s="329">
        <f>calc_engine!K216</f>
        <v>0</v>
      </c>
      <c r="F6" s="330" t="str">
        <f>calc_engine!M216</f>
        <v>0.1 мес</v>
      </c>
      <c r="G6" s="38"/>
      <c r="H6" s="38"/>
      <c r="I6" s="38"/>
      <c r="J6" s="38"/>
    </row>
    <row r="7" ht="40.5" customHeight="1">
      <c r="A7" s="331"/>
      <c r="B7" s="331"/>
      <c r="C7" s="332"/>
      <c r="D7" s="332"/>
      <c r="E7" s="333"/>
      <c r="F7" s="333"/>
      <c r="G7" s="38"/>
      <c r="H7" s="38"/>
      <c r="I7" s="38"/>
      <c r="J7" s="38"/>
    </row>
    <row r="8" ht="30.0" customHeight="1">
      <c r="A8" s="334" t="s">
        <v>1844</v>
      </c>
      <c r="E8" s="334"/>
      <c r="F8" s="334"/>
      <c r="G8" s="38"/>
      <c r="H8" s="38"/>
      <c r="I8" s="38"/>
      <c r="J8" s="38"/>
    </row>
    <row r="9" ht="27.0" customHeight="1">
      <c r="A9" s="336" t="s">
        <v>613</v>
      </c>
      <c r="B9" s="336" t="s">
        <v>1482</v>
      </c>
      <c r="C9" s="337" t="s">
        <v>1846</v>
      </c>
      <c r="D9" s="337" t="s">
        <v>1847</v>
      </c>
      <c r="E9" s="338"/>
      <c r="F9" s="338" t="s">
        <v>1848</v>
      </c>
      <c r="G9" s="255">
        <f>'⚙️ Настройки'!$B$9</f>
        <v>5000000</v>
      </c>
      <c r="H9" s="38"/>
      <c r="I9" s="38"/>
      <c r="J9" s="38"/>
    </row>
    <row r="10" ht="24.0" customHeight="1">
      <c r="A10" s="339" t="s">
        <v>550</v>
      </c>
      <c r="B10" s="340">
        <f>calc_engine!B2</f>
        <v>1</v>
      </c>
      <c r="C10" s="341">
        <f>calc_engine!C2</f>
        <v>950000</v>
      </c>
      <c r="D10" s="342">
        <f>calc_engine!D2</f>
        <v>47500</v>
      </c>
      <c r="E10" s="343"/>
      <c r="F10" s="137" t="s">
        <v>1757</v>
      </c>
      <c r="G10" s="255">
        <f>A4</f>
        <v>1650000</v>
      </c>
      <c r="H10" s="38"/>
      <c r="I10" s="38"/>
      <c r="J10" s="38"/>
    </row>
    <row r="11" ht="24.0" customHeight="1">
      <c r="A11" s="344" t="s">
        <v>554</v>
      </c>
      <c r="B11" s="345">
        <f>calc_engine!B3</f>
        <v>1</v>
      </c>
      <c r="C11" s="346">
        <f>calc_engine!C3</f>
        <v>120000</v>
      </c>
      <c r="D11" s="347">
        <f>calc_engine!D3</f>
        <v>18000</v>
      </c>
      <c r="E11" s="348"/>
      <c r="F11" s="125" t="s">
        <v>1850</v>
      </c>
      <c r="G11" s="255">
        <f>C4</f>
        <v>1706896.552</v>
      </c>
      <c r="H11" s="38"/>
      <c r="I11" s="38"/>
      <c r="J11" s="38"/>
    </row>
    <row r="12" ht="24.0" customHeight="1">
      <c r="A12" s="339" t="s">
        <v>557</v>
      </c>
      <c r="B12" s="340">
        <f>calc_engine!B4</f>
        <v>1</v>
      </c>
      <c r="C12" s="341">
        <f>calc_engine!C4</f>
        <v>280000</v>
      </c>
      <c r="D12" s="342">
        <f>calc_engine!D4</f>
        <v>98000</v>
      </c>
      <c r="E12" s="343"/>
      <c r="F12" s="137" t="s">
        <v>1862</v>
      </c>
      <c r="G12" s="255">
        <f>D4</f>
        <v>4404000</v>
      </c>
      <c r="H12" s="38"/>
      <c r="I12" s="38"/>
      <c r="J12" s="38"/>
    </row>
    <row r="13" ht="24.0" customHeight="1">
      <c r="A13" s="344" t="s">
        <v>561</v>
      </c>
      <c r="B13" s="345">
        <f>calc_engine!B5</f>
        <v>2</v>
      </c>
      <c r="C13" s="346">
        <f>calc_engine!C5</f>
        <v>3850000</v>
      </c>
      <c r="D13" s="347">
        <f>calc_engine!D5</f>
        <v>2310000</v>
      </c>
      <c r="E13" s="348"/>
      <c r="F13" s="125" t="s">
        <v>1869</v>
      </c>
      <c r="G13" s="255">
        <f>E4</f>
        <v>5530000</v>
      </c>
      <c r="H13" s="38"/>
      <c r="I13" s="38"/>
      <c r="J13" s="38"/>
    </row>
    <row r="14" ht="24.0" customHeight="1">
      <c r="A14" s="339" t="s">
        <v>567</v>
      </c>
      <c r="B14" s="340">
        <f>calc_engine!B6</f>
        <v>2</v>
      </c>
      <c r="C14" s="341">
        <f>calc_engine!C6</f>
        <v>330000</v>
      </c>
      <c r="D14" s="342">
        <f>calc_engine!D6</f>
        <v>280500</v>
      </c>
      <c r="E14" s="343"/>
      <c r="F14" s="351"/>
      <c r="G14" s="38"/>
      <c r="H14" s="38"/>
      <c r="I14" s="38"/>
      <c r="J14" s="38"/>
    </row>
    <row r="15" ht="24.0" customHeight="1">
      <c r="A15" s="344" t="s">
        <v>532</v>
      </c>
      <c r="B15" s="345">
        <f>calc_engine!B7</f>
        <v>2</v>
      </c>
      <c r="C15" s="346">
        <f>calc_engine!C7</f>
        <v>1650000</v>
      </c>
      <c r="D15" s="347">
        <f>calc_engine!D7</f>
        <v>1650000</v>
      </c>
      <c r="E15" s="348"/>
      <c r="F15" s="352"/>
      <c r="G15" s="38"/>
      <c r="H15" s="38"/>
      <c r="I15" s="38"/>
      <c r="J15" s="38"/>
    </row>
    <row r="16" ht="24.0" customHeight="1">
      <c r="A16" s="271" t="str">
        <f>'⚙️ Настройки'!$B$18</f>
        <v>7. Закрыто и не реализовано</v>
      </c>
      <c r="B16" s="353">
        <f>calc_engine!B8</f>
        <v>2</v>
      </c>
      <c r="C16" s="354">
        <f>calc_engine!C8</f>
        <v>1000000</v>
      </c>
      <c r="D16" s="355">
        <f>calc_engine!D8</f>
        <v>0</v>
      </c>
      <c r="E16" s="356"/>
      <c r="F16" s="273"/>
      <c r="G16" s="38"/>
      <c r="H16" s="38"/>
      <c r="I16" s="38"/>
      <c r="J16" s="38"/>
    </row>
    <row r="17" ht="28.5" customHeight="1">
      <c r="A17" s="138"/>
      <c r="B17" s="138"/>
      <c r="C17" s="138"/>
      <c r="D17" s="138"/>
      <c r="E17" s="138"/>
      <c r="F17" s="138"/>
      <c r="G17" s="38"/>
      <c r="H17" s="38"/>
      <c r="I17" s="38"/>
      <c r="J17" s="38"/>
    </row>
    <row r="18" ht="15.0" customHeight="1">
      <c r="A18" s="38"/>
      <c r="B18" s="38"/>
      <c r="C18" s="255"/>
      <c r="D18" s="38"/>
      <c r="E18" s="38"/>
      <c r="F18" s="38"/>
      <c r="G18" s="38"/>
      <c r="H18" s="38"/>
      <c r="I18" s="38"/>
      <c r="J18" s="38"/>
    </row>
    <row r="19" ht="15.0" customHeight="1">
      <c r="A19" s="38"/>
      <c r="B19" s="38"/>
      <c r="C19" s="255"/>
      <c r="D19" s="38"/>
      <c r="E19" s="38"/>
      <c r="F19" s="38"/>
      <c r="G19" s="38"/>
      <c r="H19" s="38"/>
      <c r="I19" s="38"/>
      <c r="J19" s="38"/>
    </row>
    <row r="20" ht="15.0" customHeight="1">
      <c r="A20" s="38"/>
      <c r="B20" s="38"/>
      <c r="C20" s="255"/>
      <c r="D20" s="38"/>
      <c r="E20" s="38"/>
      <c r="F20" s="38"/>
      <c r="G20" s="38"/>
      <c r="H20" s="38"/>
      <c r="I20" s="38"/>
      <c r="J20" s="38"/>
    </row>
    <row r="21" ht="15.0" customHeight="1">
      <c r="A21" s="38"/>
      <c r="B21" s="38"/>
      <c r="C21" s="255"/>
      <c r="D21" s="38"/>
      <c r="E21" s="38"/>
      <c r="F21" s="38"/>
      <c r="G21" s="38"/>
      <c r="H21" s="38"/>
      <c r="I21" s="38"/>
      <c r="J21" s="38"/>
    </row>
    <row r="22" ht="15.0" customHeight="1">
      <c r="A22" s="38"/>
      <c r="B22" s="38"/>
      <c r="C22" s="255"/>
      <c r="D22" s="38"/>
      <c r="E22" s="38"/>
      <c r="F22" s="38"/>
      <c r="G22" s="38"/>
      <c r="H22" s="38"/>
      <c r="I22" s="38"/>
      <c r="J22" s="38"/>
    </row>
    <row r="23" ht="15.0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</row>
    <row r="24" ht="15.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</row>
    <row r="25" ht="15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</row>
    <row r="26" ht="15.0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ht="15.0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ht="22.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8:D8"/>
  </mergeCells>
  <dataValidations>
    <dataValidation type="list" allowBlank="1" showErrorMessage="1" sqref="B25">
      <formula1>"Все менеджеры,Иванов Дмитрий (РОП),Петров Александр (КАМ),Сидоров Роман (SDR)"</formula1>
    </dataValidation>
    <dataValidation type="list" allowBlank="1" showErrorMessage="1" sqref="F25">
      <formula1>"Все каналы,Яндекс Директ,Контур.Фокус,Google Ads,Партнеры,Органика SEO"</formula1>
    </dataValidation>
    <dataValidation type="list" allowBlank="1" showErrorMessage="1" sqref="D25">
      <formula1>"Все сегменты,SEG1,SEG2"</formula1>
    </dataValidation>
  </dataValidations>
  <hyperlinks>
    <hyperlink display="1. Новый лид" location="'🎯 Воронка_и_SLA'!A1" ref="A10"/>
    <hyperlink display="2. Квалификация / ЛПР" location="'🎯 Воронка_и_SLA'!A1" ref="A11"/>
    <hyperlink display="3. Встреча / Демо" location="'🎯 Воронка_и_SLA'!A1" ref="A12"/>
    <hyperlink display="4. КП и согласование" location="'🎯 Воронка_и_SLA'!A1" ref="A13"/>
    <hyperlink display="5. Счет выставлен" location="'🎯 Воронка_и_SLA'!A1" ref="A14"/>
    <hyperlink display="6. Успешно реализовано" location="'🎯 Воронка_и_SLA'!A1" ref="A15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88"/>
    <col customWidth="1" min="2" max="2" width="13.25"/>
    <col customWidth="1" min="3" max="3" width="18.75"/>
    <col customWidth="1" min="4" max="4" width="16.5"/>
    <col customWidth="1" min="5" max="5" width="15.38"/>
    <col customWidth="1" min="6" max="6" width="15.25"/>
    <col customWidth="1" min="7" max="7" width="20.13"/>
    <col customWidth="1" min="8" max="8" width="12.63"/>
  </cols>
  <sheetData>
    <row r="1" ht="36.0" customHeight="1">
      <c r="A1" s="312" t="s">
        <v>1775</v>
      </c>
    </row>
    <row r="2" ht="25.5" customHeight="1">
      <c r="A2" s="314" t="s">
        <v>1778</v>
      </c>
      <c r="B2" s="314" t="s">
        <v>1781</v>
      </c>
      <c r="C2" s="314" t="s">
        <v>1782</v>
      </c>
      <c r="D2" s="314" t="s">
        <v>1785</v>
      </c>
      <c r="E2" s="314" t="s">
        <v>1786</v>
      </c>
      <c r="F2" s="315" t="s">
        <v>1788</v>
      </c>
      <c r="G2" s="314" t="s">
        <v>1790</v>
      </c>
      <c r="H2" s="316"/>
    </row>
    <row r="3" ht="25.5" customHeight="1">
      <c r="A3" s="307" t="s">
        <v>1793</v>
      </c>
      <c r="B3" s="307" t="s">
        <v>1794</v>
      </c>
      <c r="C3" s="307" t="s">
        <v>1795</v>
      </c>
      <c r="D3" s="307" t="s">
        <v>1428</v>
      </c>
      <c r="E3" s="307" t="s">
        <v>1429</v>
      </c>
      <c r="F3" s="307" t="s">
        <v>1797</v>
      </c>
    </row>
    <row r="4" ht="22.5" customHeight="1">
      <c r="A4" s="22" t="str">
        <f>'⚙️ Настройки'!$B$12</f>
        <v>1. Новый лид</v>
      </c>
      <c r="B4" s="189">
        <f>calc_engine!E2</f>
        <v>11</v>
      </c>
      <c r="C4" s="149">
        <f>calc_engine!G2</f>
        <v>1</v>
      </c>
      <c r="D4" s="22" t="str">
        <f>'⚙️ Настройки'!$C$12 &amp; " ч"</f>
        <v>24 ч</v>
      </c>
      <c r="E4" s="22" t="str">
        <f>TEXT(MAX(0, IFERROR(AVERAGEIFS(raw_deals!$Q$2:$Q1000, raw_deals!$D$2:$D1000, 1) * 24, 0)), "0.0") &amp; " ч"</f>
        <v>0.0 ч</v>
      </c>
      <c r="F4" s="254" t="str">
        <f>IF(IFERROR(AVERAGEIFS(raw_deals!$Q$2:$Q1000, raw_deals!$D$2:$D1000, 1)*24, 0)&gt;'⚙️ Настройки'!$C$12, "⚠️ ПРОСРОЧЕН", "🟢 В НОРМЕ")</f>
        <v>🟢 В НОРМЕ</v>
      </c>
    </row>
    <row r="5" ht="22.5" customHeight="1">
      <c r="A5" s="22" t="str">
        <f>'⚙️ Настройки'!$B$13</f>
        <v>2. Квалификация / ЛПР</v>
      </c>
      <c r="B5" s="189">
        <f>calc_engine!E3</f>
        <v>10</v>
      </c>
      <c r="C5" s="149">
        <f>calc_engine!G3</f>
        <v>0.9090909091</v>
      </c>
      <c r="D5" s="22" t="str">
        <f>'⚙️ Настройки'!$C$13 &amp; " ч"</f>
        <v>48 ч</v>
      </c>
      <c r="E5" s="22" t="str">
        <f>TEXT(MAX(0, IFERROR(AVERAGEIFS(raw_deals!$Q$2:$Q1000, raw_deals!$D$2:$D1000, 2) * 24, 0)), "0.0") &amp; " ч"</f>
        <v>24.0 ч</v>
      </c>
      <c r="F5" s="254" t="str">
        <f>IF(IFERROR(AVERAGEIFS(raw_deals!$Q$2:$Q1000, raw_deals!$D$2:$D1000, 2)*24, 0)&gt;'⚙️ Настройки'!$C$13, "⚠️ ПРОСРОЧЕН", "🟢 В НОРМЕ")</f>
        <v>🟢 В НОРМЕ</v>
      </c>
    </row>
    <row r="6" ht="22.5" customHeight="1">
      <c r="A6" s="22" t="str">
        <f>'⚙️ Настройки'!$B$14</f>
        <v>3. Встреча / Демо</v>
      </c>
      <c r="B6" s="189">
        <f>calc_engine!E4</f>
        <v>9</v>
      </c>
      <c r="C6" s="149">
        <f>calc_engine!G4</f>
        <v>0.8181818182</v>
      </c>
      <c r="D6" s="22" t="str">
        <f>'⚙️ Настройки'!$C$14 &amp; " ч"</f>
        <v>120 ч</v>
      </c>
      <c r="E6" s="22" t="str">
        <f>TEXT(MAX(0, IFERROR(AVERAGEIFS(raw_deals!$Q$2:$Q1000, raw_deals!$D$2:$D1000, 3) * 24, 0)), "0.0") &amp; " ч"</f>
        <v>72.0 ч</v>
      </c>
      <c r="F6" s="254" t="str">
        <f>IF(IFERROR(AVERAGEIFS(raw_deals!$Q$2:$Q1000, raw_deals!$D$2:$D1000, 3)*24, 0)&gt;'⚙️ Настройки'!$C$14, "⚠️ ПРОСРОЧЕН", "🟢 В НОРМЕ")</f>
        <v>🟢 В НОРМЕ</v>
      </c>
    </row>
    <row r="7" ht="22.5" customHeight="1">
      <c r="A7" s="22" t="str">
        <f>'⚙️ Настройки'!$B$15</f>
        <v>4. КП и согласование</v>
      </c>
      <c r="B7" s="189">
        <f>calc_engine!E5</f>
        <v>8</v>
      </c>
      <c r="C7" s="149">
        <f>calc_engine!G5</f>
        <v>0.7272727273</v>
      </c>
      <c r="D7" s="22" t="str">
        <f>'⚙️ Настройки'!$C$15 &amp; " ч"</f>
        <v>48 ч</v>
      </c>
      <c r="E7" s="22" t="str">
        <f>TEXT(MAX(0, IFERROR(AVERAGEIFS(raw_deals!$Q$2:$Q1000, raw_deals!$D$2:$D1000, 4) * 24, 0)), "0.0") &amp; " ч"</f>
        <v>312.0 ч</v>
      </c>
      <c r="F7" s="254" t="str">
        <f>IF(IFERROR(AVERAGEIFS(raw_deals!$Q$2:$Q1000, raw_deals!$D$2:$D1000, 4)*24, 0)&gt;'⚙️ Настройки'!$C$15, "⚠️ ПРОСРОЧЕН", "🟢 В НОРМЕ")</f>
        <v>⚠️ ПРОСРОЧЕН</v>
      </c>
    </row>
    <row r="8" ht="22.5" customHeight="1">
      <c r="A8" s="22" t="str">
        <f>'⚙️ Настройки'!$B$16</f>
        <v>5. Счет выставлен</v>
      </c>
      <c r="B8" s="189">
        <f>calc_engine!E6</f>
        <v>6</v>
      </c>
      <c r="C8" s="149">
        <f>calc_engine!G6</f>
        <v>0.5454545455</v>
      </c>
      <c r="D8" s="22" t="str">
        <f>'⚙️ Настройки'!$C$16 &amp; " ч"</f>
        <v>72 ч</v>
      </c>
      <c r="E8" s="22" t="str">
        <f>TEXT(MAX(0, IFERROR(AVERAGEIFS(raw_deals!$Q$2:$Q1000, raw_deals!$D$2:$D1000, 5) * 24, 0)), "0.0") &amp; " ч"</f>
        <v>708.0 ч</v>
      </c>
      <c r="F8" s="254" t="str">
        <f>IF(IFERROR(AVERAGEIFS(raw_deals!$Q$2:$Q1000, raw_deals!$D$2:$D1000, 5)*24, 0)&gt;'⚙️ Настройки'!$C$16, "⚠️ ПРОСРОЧЕН", "🟢 В НОРМЕ")</f>
        <v>⚠️ ПРОСРОЧЕН</v>
      </c>
    </row>
    <row r="9" ht="22.5" customHeight="1">
      <c r="A9" s="22" t="str">
        <f>'⚙️ Настройки'!$B$17</f>
        <v>6. Успешно реализовано</v>
      </c>
      <c r="B9" s="189">
        <f>calc_engine!E7</f>
        <v>2</v>
      </c>
      <c r="C9" s="149">
        <f>calc_engine!G7</f>
        <v>0.1818181818</v>
      </c>
      <c r="D9" s="22" t="s">
        <v>1709</v>
      </c>
      <c r="E9" s="22" t="s">
        <v>1709</v>
      </c>
      <c r="F9" s="254" t="s">
        <v>1836</v>
      </c>
    </row>
    <row r="10" ht="22.5" customHeight="1">
      <c r="A10" s="22" t="str">
        <f>'⚙️ Настройки'!$B$18</f>
        <v>7. Закрыто и не реализовано</v>
      </c>
      <c r="B10" s="189">
        <f>calc_engine!E8</f>
        <v>2</v>
      </c>
      <c r="C10" s="149">
        <f>calc_engine!G8</f>
        <v>0.1818181818</v>
      </c>
      <c r="D10" s="22" t="s">
        <v>1709</v>
      </c>
      <c r="E10" s="22" t="s">
        <v>1709</v>
      </c>
      <c r="F10" s="254" t="s">
        <v>1836</v>
      </c>
    </row>
    <row r="11" ht="12.0" customHeight="1"/>
    <row r="12" ht="25.5" customHeight="1">
      <c r="A12" s="22"/>
      <c r="B12" s="22"/>
      <c r="C12" s="22"/>
      <c r="D12" s="22"/>
      <c r="E12" s="22"/>
      <c r="F12" s="22"/>
    </row>
    <row r="13" ht="19.5" customHeight="1">
      <c r="D13" s="151"/>
      <c r="E13" s="149"/>
    </row>
    <row r="14" ht="19.5" customHeight="1">
      <c r="D14" s="151"/>
      <c r="E14" s="149"/>
    </row>
    <row r="15" ht="19.5" customHeight="1">
      <c r="D15" s="151"/>
      <c r="E15" s="149"/>
    </row>
    <row r="16" ht="12.0" customHeight="1"/>
    <row r="17" ht="21.0" customHeight="1">
      <c r="A17" s="22"/>
      <c r="B17" s="22"/>
      <c r="C17" s="22"/>
      <c r="D17" s="22"/>
      <c r="E17" s="22"/>
    </row>
    <row r="18" ht="19.5" customHeight="1">
      <c r="C18" s="151"/>
      <c r="D18" s="149"/>
      <c r="E18" s="151"/>
    </row>
    <row r="19" ht="19.5" customHeight="1">
      <c r="C19" s="151"/>
      <c r="D19" s="149"/>
      <c r="E19" s="151"/>
    </row>
    <row r="20" ht="19.5" customHeight="1">
      <c r="C20" s="151"/>
      <c r="D20" s="149"/>
      <c r="E20" s="151"/>
    </row>
    <row r="21" ht="19.5" customHeight="1">
      <c r="C21" s="151"/>
      <c r="D21" s="149"/>
      <c r="E21" s="151"/>
    </row>
    <row r="22" ht="15.75" customHeight="1"/>
    <row r="23" ht="21.0" customHeight="1">
      <c r="A23" s="22"/>
      <c r="B23" s="22"/>
      <c r="C23" s="22"/>
      <c r="D23" s="22"/>
      <c r="E23" s="22"/>
      <c r="F23" s="22"/>
    </row>
    <row r="24" ht="22.5" customHeight="1">
      <c r="A24" s="22"/>
      <c r="B24" s="22"/>
      <c r="C24" s="22"/>
      <c r="D24" s="22"/>
      <c r="E24" s="22"/>
      <c r="F24" s="22"/>
    </row>
    <row r="25" ht="18.0" customHeight="1">
      <c r="A25" s="22"/>
      <c r="B25" s="22"/>
      <c r="C25" s="22"/>
      <c r="D25" s="22"/>
      <c r="E25" s="22"/>
      <c r="F25" s="2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howErrorMessage="1" sqref="B24">
      <formula1>"Все сотрудники,Иванов Дмитрий (РОП),Петров Александр (КАМ),Сидоров Роман (SDR)"</formula1>
    </dataValidation>
    <dataValidation type="list" allowBlank="1" showErrorMessage="1" sqref="D24">
      <formula1>"Все каналы,Яндекс Директ,Контур.Фокус,Google Ads,Партнеры,Органика SEO"</formula1>
    </dataValidation>
    <dataValidation type="list" allowBlank="1" showErrorMessage="1" sqref="F24">
      <formula1>"Все сегменты,SEG1,SEG2"</formula1>
    </dataValidation>
  </dataValidations>
  <hyperlinks>
    <hyperlink display="⚡ 1. Экспресс 3 цифры" location="null!A1" ref="A2"/>
    <hyperlink display="💸 2. 7 Грехов ОП" location="null!A1" ref="B2"/>
    <hyperlink display="📋 3. Пульт РОПа 15 мин" location="null!A1" ref="C2"/>
    <hyperlink display="⚡ 4. Пульс компании" location="null!A1" ref="D2"/>
    <hyperlink display="🎙️ 5. ИИ-Аудит речи" location="null!A1" ref="E2"/>
    <hyperlink display="🎯 6. Воронка &amp; SLA" location="null!A1" ref="F2"/>
    <hyperlink display="⚙️ 7. Настройки &amp; Тарифы" location="null!A1" ref="G2"/>
  </hyperlin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/>
  </sheetViews>
  <sheetFormatPr customHeight="1" defaultColWidth="12.63" defaultRowHeight="15.0"/>
  <cols>
    <col customWidth="1" min="1" max="1" width="55.25"/>
    <col customWidth="1" min="2" max="3" width="14.5"/>
    <col customWidth="1" min="4" max="4" width="19.75"/>
    <col customWidth="1" min="5" max="5" width="12.38"/>
    <col customWidth="1" min="6" max="6" width="16.13"/>
  </cols>
  <sheetData>
    <row r="1" ht="36.0" customHeight="1">
      <c r="A1" s="306" t="s">
        <v>1741</v>
      </c>
    </row>
    <row r="2" ht="25.5" customHeight="1"/>
    <row r="3" ht="25.5" customHeight="1">
      <c r="A3" s="307" t="s">
        <v>1743</v>
      </c>
      <c r="B3" s="307" t="s">
        <v>356</v>
      </c>
      <c r="C3" s="307" t="s">
        <v>1745</v>
      </c>
      <c r="D3" s="307" t="s">
        <v>1746</v>
      </c>
    </row>
    <row r="4" ht="24.0" customHeight="1">
      <c r="A4" s="254" t="s">
        <v>770</v>
      </c>
      <c r="B4" s="308">
        <f>calc_engine!B62</f>
        <v>240000</v>
      </c>
      <c r="C4" s="22"/>
      <c r="D4" s="22" t="s">
        <v>1749</v>
      </c>
    </row>
    <row r="5" ht="24.0" customHeight="1">
      <c r="A5" s="254" t="s">
        <v>1750</v>
      </c>
      <c r="B5" s="308">
        <f>calc_engine!B36</f>
        <v>2330.097087</v>
      </c>
      <c r="C5" s="22"/>
      <c r="D5" s="22" t="s">
        <v>1751</v>
      </c>
    </row>
    <row r="6" ht="24.0" customHeight="1">
      <c r="A6" s="254" t="s">
        <v>1752</v>
      </c>
      <c r="B6" s="308">
        <f>calc_engine!B37</f>
        <v>120000</v>
      </c>
      <c r="C6" s="22"/>
      <c r="D6" s="22" t="s">
        <v>1753</v>
      </c>
    </row>
    <row r="7" ht="24.0" customHeight="1">
      <c r="A7" s="254" t="s">
        <v>1754</v>
      </c>
      <c r="B7" s="308">
        <f>calc_engine!B21</f>
        <v>825000</v>
      </c>
      <c r="C7" s="22"/>
      <c r="D7" s="22" t="s">
        <v>1757</v>
      </c>
    </row>
    <row r="8" ht="24.0" customHeight="1">
      <c r="A8" s="254" t="s">
        <v>1758</v>
      </c>
      <c r="B8" s="308">
        <f>calc_engine!B38</f>
        <v>1060000</v>
      </c>
      <c r="C8" s="22"/>
      <c r="D8" s="22" t="s">
        <v>1759</v>
      </c>
    </row>
    <row r="9" ht="24.0" customHeight="1">
      <c r="A9" s="254" t="s">
        <v>1760</v>
      </c>
      <c r="B9" s="309">
        <f>IFERROR(calc_engine!B38/MAX(calc_engine!B37,1),0)</f>
        <v>8.833333333</v>
      </c>
      <c r="C9" s="22"/>
      <c r="D9" s="22" t="s">
        <v>1761</v>
      </c>
    </row>
    <row r="10" ht="24.0" customHeight="1">
      <c r="A10" s="254" t="s">
        <v>1762</v>
      </c>
      <c r="B10" s="310">
        <f>IFERROR(calc_engine!B37/MAX(calc_engine!B21,1),0)</f>
        <v>0.1454545455</v>
      </c>
      <c r="C10" s="22"/>
      <c r="D10" s="22" t="s">
        <v>1765</v>
      </c>
    </row>
    <row r="11" ht="12.0" customHeight="1"/>
    <row r="12" ht="25.5" customHeight="1">
      <c r="A12" s="286" t="s">
        <v>1766</v>
      </c>
    </row>
    <row r="13" ht="15.75" customHeight="1">
      <c r="A13" s="311" t="s">
        <v>1767</v>
      </c>
      <c r="B13" s="311" t="s">
        <v>1770</v>
      </c>
      <c r="C13" s="311" t="s">
        <v>1771</v>
      </c>
      <c r="D13" s="311" t="s">
        <v>1772</v>
      </c>
      <c r="E13" s="311" t="s">
        <v>1773</v>
      </c>
      <c r="F13" s="311" t="s">
        <v>1774</v>
      </c>
    </row>
    <row r="14" ht="15.75" customHeight="1">
      <c r="A14" s="22" t="str">
        <f>calc_engine!A93</f>
        <v>Сентябрь 2026</v>
      </c>
      <c r="B14" s="189">
        <f>calc_engine!B93</f>
        <v>2</v>
      </c>
      <c r="C14" s="151">
        <f>calc_engine!C93</f>
        <v>1650000</v>
      </c>
      <c r="D14" s="151">
        <f>calc_engine!D93</f>
        <v>225000</v>
      </c>
      <c r="E14" s="151">
        <f>calc_engine!E93</f>
        <v>245000</v>
      </c>
      <c r="F14" s="313">
        <f>calc_engine!G93</f>
        <v>1.284848485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2:F1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838"/>
    <outlinePr summaryBelow="0" summaryRight="0"/>
  </sheetPr>
  <sheetViews>
    <sheetView workbookViewId="0"/>
  </sheetViews>
  <sheetFormatPr customHeight="1" defaultColWidth="12.63" defaultRowHeight="15.0"/>
  <cols>
    <col customWidth="1" min="1" max="1" width="69.0"/>
    <col customWidth="1" min="2" max="2" width="26.5"/>
    <col customWidth="1" min="3" max="3" width="14.13"/>
    <col customWidth="1" min="4" max="4" width="24.5"/>
    <col customWidth="1" min="5" max="5" width="24.38"/>
    <col customWidth="1" min="6" max="6" width="20.13"/>
    <col customWidth="1" min="7" max="7" width="45.13"/>
  </cols>
  <sheetData>
    <row r="1" ht="36.0" customHeight="1">
      <c r="A1" s="317" t="s">
        <v>1798</v>
      </c>
    </row>
    <row r="2" ht="25.5" customHeight="1">
      <c r="A2" s="22"/>
      <c r="B2" s="22"/>
      <c r="C2" s="22"/>
      <c r="D2" s="22"/>
    </row>
    <row r="3" ht="25.5" customHeight="1">
      <c r="A3" s="318" t="s">
        <v>1799</v>
      </c>
      <c r="B3" s="318" t="s">
        <v>1800</v>
      </c>
      <c r="C3" s="319" t="s">
        <v>1801</v>
      </c>
      <c r="D3" s="319" t="s">
        <v>1802</v>
      </c>
      <c r="E3" s="319" t="s">
        <v>1803</v>
      </c>
      <c r="F3" s="117"/>
      <c r="G3" s="117"/>
    </row>
    <row r="4" ht="28.5" customHeight="1">
      <c r="A4" s="254" t="s">
        <v>1804</v>
      </c>
      <c r="B4" s="22" t="s">
        <v>1805</v>
      </c>
      <c r="C4" s="320" t="str">
        <f>IF(calc_engine!B35&gt;0.7, "🔴 ПЕРЕГРУЗ", "🟢 В НОРМЕ")</f>
        <v>🟢 В НОРМЕ</v>
      </c>
      <c r="D4" s="117" t="s">
        <v>1806</v>
      </c>
      <c r="E4" s="117" t="str">
        <f>IF(AND(calc_engine!B35&gt;0.7, calc_engine!B17&gt;2000000), "📩 РОП: немедленный перелив сделок на КАМ", IF(calc_engine!B35&gt;0.7, "📩 РОП: аудит емкости", "🟢 Контроль в норме"))</f>
        <v>🟢 Контроль в норме</v>
      </c>
      <c r="F4" s="117"/>
      <c r="G4" s="117"/>
    </row>
    <row r="5" ht="28.5" customHeight="1">
      <c r="A5" s="254" t="s">
        <v>1807</v>
      </c>
      <c r="B5" s="22" t="s">
        <v>1808</v>
      </c>
      <c r="C5" s="320" t="str">
        <f>IF(calc_engine!B20&lt;0.85, "⚠️ ОТСТАВАНИЕ", "🟢 В ГРАФИКЕ")</f>
        <v>⚠️ ОТСТАВАНИЕ</v>
      </c>
      <c r="D5" s="117" t="s">
        <v>1809</v>
      </c>
      <c r="E5" s="117" t="s">
        <v>1810</v>
      </c>
      <c r="F5" s="117"/>
      <c r="G5" s="117"/>
    </row>
    <row r="6" ht="28.5" customHeight="1">
      <c r="A6" s="254" t="s">
        <v>1811</v>
      </c>
      <c r="B6" s="22" t="s">
        <v>1812</v>
      </c>
      <c r="C6" s="320" t="str">
        <f>IF(COUNTIFS(raw_deals!$D$2:$D1000, 4, raw_deals!$Q$2:$Q1000, "&gt;2")&gt;0, "⚠️ ЗАВИСАНИЕ", "🟢 В НОРМЕ")</f>
        <v>⚠️ ЗАВИСАНИЕ</v>
      </c>
      <c r="D6" s="117" t="s">
        <v>1813</v>
      </c>
      <c r="E6" s="117" t="s">
        <v>1814</v>
      </c>
      <c r="F6" s="117"/>
      <c r="G6" s="117"/>
    </row>
    <row r="7" ht="28.5" customHeight="1">
      <c r="A7" s="254" t="s">
        <v>1815</v>
      </c>
      <c r="B7" s="22" t="s">
        <v>1816</v>
      </c>
      <c r="C7" s="320" t="str">
        <f>IF(calc_engine!B32&lt;9, "🔴 БРАК СВЯЗИ", "🟢 КАЧЕСТВЕННО")</f>
        <v>🟢 КАЧЕСТВЕННО</v>
      </c>
      <c r="D7" s="117" t="s">
        <v>1819</v>
      </c>
      <c r="E7" s="117" t="s">
        <v>1821</v>
      </c>
      <c r="F7" s="117"/>
      <c r="G7" s="117"/>
    </row>
    <row r="8" ht="28.5" customHeight="1">
      <c r="A8" s="254" t="s">
        <v>1822</v>
      </c>
      <c r="B8" s="22" t="s">
        <v>1823</v>
      </c>
      <c r="C8" s="320" t="str">
        <f>IF(MAX(calc_engine!F85:F87)&gt;10, "🚀 СВЕРХ-ОТДАЧА", "🟢 СТАБИЛЬНО")</f>
        <v>🚀 СВЕРХ-ОТДАЧА</v>
      </c>
      <c r="D8" s="117" t="s">
        <v>1824</v>
      </c>
      <c r="E8" s="117" t="s">
        <v>1825</v>
      </c>
      <c r="F8" s="117"/>
      <c r="G8" s="117"/>
    </row>
    <row r="9" ht="15.75" customHeight="1">
      <c r="A9" s="254" t="s">
        <v>1826</v>
      </c>
      <c r="B9" s="22" t="s">
        <v>1827</v>
      </c>
      <c r="C9" s="232" t="str">
        <f>IF(calc_engine!B31&lt;0.9, "⚠️ СРЫВ SLA", "🟢 В НОРМЕ")</f>
        <v>⚠️ СРЫВ SLA</v>
      </c>
      <c r="D9" s="22" t="s">
        <v>1828</v>
      </c>
      <c r="E9" s="22" t="s">
        <v>1829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72D8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3.5"/>
    <col customWidth="1" min="2" max="2" width="50.13"/>
    <col customWidth="1" min="3" max="3" width="14.88"/>
    <col customWidth="1" min="4" max="4" width="14.5"/>
    <col customWidth="1" min="5" max="5" width="14.0"/>
    <col customWidth="1" min="6" max="6" width="14.5"/>
    <col customWidth="1" min="7" max="7" width="12.38"/>
    <col customWidth="1" min="8" max="8" width="13.13"/>
  </cols>
  <sheetData>
    <row r="1" ht="15.75" customHeight="1">
      <c r="A1" s="349" t="s">
        <v>1849</v>
      </c>
    </row>
    <row r="2" ht="15.75" customHeight="1">
      <c r="A2" s="350" t="s">
        <v>583</v>
      </c>
      <c r="B2" s="350" t="s">
        <v>1851</v>
      </c>
      <c r="C2" s="350" t="s">
        <v>1852</v>
      </c>
      <c r="D2" s="350" t="s">
        <v>200</v>
      </c>
      <c r="E2" s="350" t="s">
        <v>1853</v>
      </c>
      <c r="F2" s="350" t="s">
        <v>1854</v>
      </c>
      <c r="G2" s="350" t="s">
        <v>836</v>
      </c>
      <c r="H2" s="350" t="s">
        <v>1855</v>
      </c>
    </row>
    <row r="3" ht="15.75" customHeight="1">
      <c r="A3" s="22" t="s">
        <v>839</v>
      </c>
      <c r="B3" s="22" t="s">
        <v>1856</v>
      </c>
      <c r="C3" s="22" t="s">
        <v>1857</v>
      </c>
      <c r="D3" s="22" t="s">
        <v>1858</v>
      </c>
      <c r="E3" s="22" t="s">
        <v>1859</v>
      </c>
      <c r="F3" s="22" t="s">
        <v>1860</v>
      </c>
      <c r="G3" s="22" t="s">
        <v>1861</v>
      </c>
      <c r="H3" s="22" t="str">
        <f>IF(G3="Done","🟢 ВЫПОЛНЕНО",IF(DATE(RIGHT(F3,4),MID(F3,4,2),LEFT(F3,2))&lt;calc_engine!$B$1,"⚠️ ПРОСРОЧЕНО","🟡 В СРОК"))</f>
        <v>🟢 ВЫПОЛНЕНО</v>
      </c>
    </row>
    <row r="4" ht="15.75" customHeight="1">
      <c r="A4" s="22" t="s">
        <v>844</v>
      </c>
      <c r="B4" s="22" t="s">
        <v>1863</v>
      </c>
      <c r="C4" s="22" t="s">
        <v>1864</v>
      </c>
      <c r="D4" s="22" t="s">
        <v>1865</v>
      </c>
      <c r="E4" s="22" t="s">
        <v>1866</v>
      </c>
      <c r="F4" s="22" t="s">
        <v>1867</v>
      </c>
      <c r="G4" s="22" t="s">
        <v>1868</v>
      </c>
      <c r="H4" s="22" t="str">
        <f>IF(G4="Done","🟢 ВЫПОЛНЕНО",IF(DATE(RIGHT(F4,4),MID(F4,4,2),LEFT(F4,2))&lt;calc_engine!$B$1,"⚠️ ПРОСРОЧЕНО","🟡 В СРОК"))</f>
        <v>⚠️ ПРОСРОЧЕНО</v>
      </c>
    </row>
    <row r="5" ht="15.75" customHeight="1">
      <c r="A5" s="22" t="s">
        <v>847</v>
      </c>
      <c r="B5" s="22" t="s">
        <v>1870</v>
      </c>
      <c r="C5" s="22" t="s">
        <v>1871</v>
      </c>
      <c r="D5" s="22" t="s">
        <v>1858</v>
      </c>
      <c r="E5" s="22" t="s">
        <v>1872</v>
      </c>
      <c r="F5" s="22" t="s">
        <v>1873</v>
      </c>
      <c r="G5" s="22" t="s">
        <v>1868</v>
      </c>
      <c r="H5" s="22" t="str">
        <f>IF(G5="Done","🟢 ВЫПОЛНЕНО",IF(DATE(RIGHT(F5,4),MID(F5,4,2),LEFT(F5,2))&lt;calc_engine!$B$1,"⚠️ ПРОСРОЧЕНО","🟡 В СРОК"))</f>
        <v>⚠️ ПРОСРОЧЕНО</v>
      </c>
    </row>
    <row r="6" ht="15.75" customHeight="1">
      <c r="A6" s="22" t="s">
        <v>850</v>
      </c>
      <c r="B6" s="22" t="s">
        <v>1874</v>
      </c>
      <c r="C6" s="22" t="s">
        <v>1875</v>
      </c>
      <c r="D6" s="22" t="s">
        <v>1865</v>
      </c>
      <c r="E6" s="22" t="s">
        <v>1876</v>
      </c>
      <c r="F6" s="22" t="s">
        <v>1877</v>
      </c>
      <c r="G6" s="22" t="s">
        <v>1878</v>
      </c>
      <c r="H6" s="22" t="str">
        <f>IF(G6="Done","🟢 ВЫПОЛНЕНО",IF(DATE(RIGHT(F6,4),MID(F6,4,2),LEFT(F6,2))&lt;calc_engine!$B$1,"⚠️ ПРОСРОЧЕНО","🟡 В СРОК"))</f>
        <v>⚠️ ПРОСРОЧЕНО</v>
      </c>
    </row>
    <row r="7" ht="15.75" customHeight="1">
      <c r="A7" s="22" t="s">
        <v>853</v>
      </c>
      <c r="B7" s="22" t="s">
        <v>1879</v>
      </c>
      <c r="C7" s="22" t="s">
        <v>1880</v>
      </c>
      <c r="D7" s="22" t="s">
        <v>1858</v>
      </c>
      <c r="E7" s="22" t="s">
        <v>1859</v>
      </c>
      <c r="F7" s="22" t="s">
        <v>1881</v>
      </c>
      <c r="G7" s="22" t="s">
        <v>1861</v>
      </c>
      <c r="H7" s="22" t="str">
        <f>IF(G7="Done","🟢 ВЫПОЛНЕНО",IF(DATE(RIGHT(F7,4),MID(F7,4,2),LEFT(F7,2))&lt;calc_engine!$B$1,"⚠️ ПРОСРОЧЕНО","🟡 В СРОК"))</f>
        <v>🟢 ВЫПОЛНЕНО</v>
      </c>
    </row>
    <row r="8" ht="15.75" customHeight="1">
      <c r="A8" s="22" t="s">
        <v>856</v>
      </c>
      <c r="B8" s="22" t="s">
        <v>1882</v>
      </c>
      <c r="C8" s="22" t="s">
        <v>1871</v>
      </c>
      <c r="D8" s="22" t="s">
        <v>1858</v>
      </c>
      <c r="E8" s="22" t="s">
        <v>1872</v>
      </c>
      <c r="F8" s="22" t="s">
        <v>1883</v>
      </c>
      <c r="G8" s="22" t="s">
        <v>1868</v>
      </c>
      <c r="H8" s="22" t="str">
        <f>IF(G8="Done","🟢 ВЫПОЛНЕНО",IF(DATE(RIGHT(F8,4),MID(F8,4,2),LEFT(F8,2))&lt;calc_engine!$B$1,"⚠️ ПРОСРОЧЕНО","🟡 В СРОК"))</f>
        <v>⚠️ ПРОСРОЧЕНО</v>
      </c>
    </row>
    <row r="9" ht="15.75" customHeight="1">
      <c r="A9" s="22" t="s">
        <v>859</v>
      </c>
      <c r="B9" s="22" t="s">
        <v>1884</v>
      </c>
      <c r="C9" s="22" t="s">
        <v>1864</v>
      </c>
      <c r="D9" s="22" t="s">
        <v>1858</v>
      </c>
      <c r="E9" s="22" t="s">
        <v>1876</v>
      </c>
      <c r="F9" s="22" t="s">
        <v>1885</v>
      </c>
      <c r="G9" s="22" t="s">
        <v>1878</v>
      </c>
      <c r="H9" s="22" t="str">
        <f>IF(G9="Done","🟢 ВЫПОЛНЕНО",IF(DATE(RIGHT(F9,4),MID(F9,4,2),LEFT(F9,2))&lt;calc_engine!$B$1,"⚠️ ПРОСРОЧЕНО","🟡 В СРОК"))</f>
        <v>⚠️ ПРОСРОЧЕНО</v>
      </c>
    </row>
    <row r="10" ht="15.75" customHeight="1">
      <c r="A10" s="22" t="s">
        <v>862</v>
      </c>
      <c r="B10" s="22" t="s">
        <v>1886</v>
      </c>
      <c r="C10" s="22" t="s">
        <v>1887</v>
      </c>
      <c r="D10" s="22" t="s">
        <v>1865</v>
      </c>
      <c r="E10" s="22" t="s">
        <v>1872</v>
      </c>
      <c r="F10" s="22" t="s">
        <v>1888</v>
      </c>
      <c r="G10" s="22" t="s">
        <v>1868</v>
      </c>
      <c r="H10" s="22" t="str">
        <f>IF(G10="Done","🟢 ВЫПОЛНЕНО",IF(DATE(RIGHT(F10,4),MID(F10,4,2),LEFT(F10,2))&lt;calc_engine!$B$1,"⚠️ ПРОСРОЧЕНО","🟡 В СРОК"))</f>
        <v>⚠️ ПРОСРОЧЕНО</v>
      </c>
    </row>
    <row r="11" ht="15.75" customHeight="1">
      <c r="A11" s="22" t="s">
        <v>865</v>
      </c>
      <c r="B11" s="22" t="s">
        <v>1889</v>
      </c>
      <c r="C11" s="22" t="s">
        <v>1890</v>
      </c>
      <c r="D11" s="22" t="s">
        <v>1858</v>
      </c>
      <c r="E11" s="22" t="s">
        <v>1218</v>
      </c>
      <c r="F11" s="22" t="s">
        <v>1891</v>
      </c>
      <c r="G11" s="22" t="s">
        <v>1868</v>
      </c>
      <c r="H11" s="22" t="str">
        <f>IF(G11="Done","🟢 ВЫПОЛНЕНО",IF(DATE(RIGHT(F11,4),MID(F11,4,2),LEFT(F11,2))&lt;calc_engine!$B$1,"⚠️ ПРОСРОЧЕНО","🟡 В СРОК"))</f>
        <v>⚠️ ПРОСРОЧЕНО</v>
      </c>
    </row>
    <row r="12" ht="15.75" customHeight="1">
      <c r="A12" s="22" t="s">
        <v>869</v>
      </c>
      <c r="B12" s="22" t="s">
        <v>1892</v>
      </c>
      <c r="C12" s="22" t="s">
        <v>1893</v>
      </c>
      <c r="D12" s="22" t="s">
        <v>1865</v>
      </c>
      <c r="E12" s="22" t="s">
        <v>1894</v>
      </c>
      <c r="F12" s="22" t="s">
        <v>1883</v>
      </c>
      <c r="G12" s="22" t="s">
        <v>1868</v>
      </c>
      <c r="H12" s="22" t="str">
        <f>IF(G12="Done","🟢 ВЫПОЛНЕНО",IF(DATE(RIGHT(F12,4),MID(F12,4,2),LEFT(F12,2))&lt;calc_engine!$B$1,"⚠️ ПРОСРОЧЕНО","🟡 В СРОК"))</f>
        <v>⚠️ ПРОСРОЧЕНО</v>
      </c>
    </row>
    <row r="13" ht="15.75" customHeight="1">
      <c r="A13" s="22" t="s">
        <v>872</v>
      </c>
      <c r="B13" s="22" t="s">
        <v>1895</v>
      </c>
      <c r="C13" s="22" t="s">
        <v>1896</v>
      </c>
      <c r="D13" s="22" t="s">
        <v>1897</v>
      </c>
      <c r="E13" s="22" t="s">
        <v>1859</v>
      </c>
      <c r="F13" s="22" t="s">
        <v>1898</v>
      </c>
      <c r="G13" s="22" t="s">
        <v>1878</v>
      </c>
      <c r="H13" s="22" t="str">
        <f>IF(G13="Done","🟢 ВЫПОЛНЕНО",IF(DATE(RIGHT(F13,4),MID(F13,4,2),LEFT(F13,2))&lt;calc_engine!$B$1,"⚠️ ПРОСРОЧЕНО","🟡 В СРОК"))</f>
        <v>⚠️ ПРОСРОЧЕНО</v>
      </c>
    </row>
    <row r="14" ht="15.75" customHeight="1">
      <c r="A14" s="357" t="s">
        <v>1899</v>
      </c>
      <c r="B14" s="357">
        <f>COUNTA(B3:B13)</f>
        <v>11</v>
      </c>
      <c r="C14" s="357" t="s">
        <v>1900</v>
      </c>
      <c r="D14" s="357">
        <f>COUNTIF(G3:G13,"Done")</f>
        <v>2</v>
      </c>
      <c r="E14" s="357" t="s">
        <v>1901</v>
      </c>
      <c r="F14" s="357">
        <f>COUNTIF(G3:G13,"In Progress")</f>
        <v>6</v>
      </c>
      <c r="G14" s="357" t="s">
        <v>1905</v>
      </c>
      <c r="H14" s="357">
        <f>COUNTIF(G3:G13,"To Do")</f>
        <v>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8E3F23E-5ABD-44CF-A320-440D2898F28B}" filter="1" showAutoFilter="1">
      <autoFilter ref="$A$2:$H$20">
        <filterColumn colId="2">
          <customFilters>
            <customFilter val="*Финанс*"/>
          </customFilters>
        </filterColumn>
      </autoFilter>
    </customSheetView>
    <customSheetView guid="{0F8FDBBA-8D98-4DCA-8234-7F938D8965B8}" filter="1" showAutoFilter="1">
      <autoFilter ref="$A$2:$H$20">
        <filterColumn colId="2">
          <customFilters>
            <customFilter val="*Продаж*"/>
          </customFilters>
        </filterColumn>
      </autoFilter>
    </customSheetView>
    <customSheetView guid="{863A957B-ED05-42FE-BF85-AE46D39D36B3}" filter="1" showAutoFilter="1">
      <autoFilter ref="$A$2:$H$20">
        <filterColumn colId="2">
          <customFilters>
            <customFilter val="*RevOps*"/>
          </customFilters>
        </filterColumn>
      </autoFilter>
    </customSheetView>
    <customSheetView guid="{56BAFCBE-B531-4EF6-9302-249D55614609}" filter="1" showAutoFilter="1">
      <autoFilter ref="$A$2:$H$20">
        <filterColumn colId="2">
          <customFilters>
            <customFilter val="*Маркетинг*"/>
          </customFilters>
        </filterColumn>
      </autoFilter>
    </customSheetView>
  </customSheetViews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27272"/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3.88"/>
    <col customWidth="1" min="3" max="3" width="85.13"/>
    <col customWidth="1" min="4" max="6" width="12.63"/>
  </cols>
  <sheetData>
    <row r="1" ht="15.75" customHeight="1">
      <c r="A1" s="22" t="s">
        <v>1902</v>
      </c>
      <c r="B1" s="22" t="s">
        <v>1903</v>
      </c>
      <c r="C1" s="22" t="s">
        <v>1904</v>
      </c>
    </row>
    <row r="2" ht="15.75" customHeight="1">
      <c r="A2" s="22" t="s">
        <v>1906</v>
      </c>
      <c r="B2" s="170">
        <v>46285.105038877315</v>
      </c>
      <c r="C2" s="22" t="s">
        <v>1907</v>
      </c>
    </row>
    <row r="3" ht="15.75" customHeight="1">
      <c r="A3" s="22" t="s">
        <v>1908</v>
      </c>
      <c r="B3" s="170">
        <v>46286.70884494213</v>
      </c>
      <c r="C3" s="22" t="s">
        <v>1909</v>
      </c>
    </row>
    <row r="4" ht="15.75" customHeight="1">
      <c r="A4" s="22" t="s">
        <v>1910</v>
      </c>
      <c r="B4" s="170">
        <v>46286.77519700232</v>
      </c>
      <c r="C4" s="22" t="s">
        <v>1911</v>
      </c>
    </row>
    <row r="5" ht="15.75" customHeight="1">
      <c r="A5" s="22" t="s">
        <v>1912</v>
      </c>
      <c r="B5" s="170">
        <v>46286.7790687963</v>
      </c>
      <c r="C5" s="22" t="s">
        <v>1913</v>
      </c>
    </row>
    <row r="6" ht="15.75" customHeight="1">
      <c r="A6" s="22" t="s">
        <v>1914</v>
      </c>
      <c r="B6" s="170">
        <v>46286.780657511576</v>
      </c>
      <c r="C6" s="22" t="s">
        <v>1915</v>
      </c>
    </row>
    <row r="7" ht="15.75" customHeight="1">
      <c r="A7" s="22" t="s">
        <v>1914</v>
      </c>
      <c r="B7" s="170">
        <v>46286.781775625</v>
      </c>
      <c r="C7" s="22" t="s">
        <v>1915</v>
      </c>
    </row>
    <row r="8" ht="15.75" customHeight="1">
      <c r="A8" s="22" t="s">
        <v>1916</v>
      </c>
      <c r="B8" s="216">
        <v>46294.60208333333</v>
      </c>
      <c r="C8" s="22" t="s">
        <v>1917</v>
      </c>
    </row>
    <row r="9" ht="15.75" customHeight="1">
      <c r="A9" s="22" t="s">
        <v>1918</v>
      </c>
      <c r="B9" s="216">
        <v>46294.61111111111</v>
      </c>
      <c r="C9" s="22" t="s">
        <v>1919</v>
      </c>
    </row>
    <row r="10" ht="15.75" customHeight="1">
      <c r="A10" s="22" t="s">
        <v>1920</v>
      </c>
      <c r="B10" s="216">
        <v>46294.614583333336</v>
      </c>
      <c r="C10" s="22" t="s">
        <v>1921</v>
      </c>
    </row>
    <row r="11" ht="15.75" customHeight="1">
      <c r="A11" s="22" t="s">
        <v>1922</v>
      </c>
      <c r="B11" s="216">
        <v>46294.62152777778</v>
      </c>
      <c r="C11" s="22" t="s">
        <v>1923</v>
      </c>
    </row>
    <row r="12" ht="15.75" customHeight="1">
      <c r="A12" s="22" t="s">
        <v>1924</v>
      </c>
      <c r="B12" s="216">
        <v>46294.62847222222</v>
      </c>
      <c r="C12" s="22" t="s">
        <v>1925</v>
      </c>
    </row>
    <row r="13" ht="15.75" customHeight="1">
      <c r="A13" s="22" t="s">
        <v>1926</v>
      </c>
      <c r="B13" s="358" t="s">
        <v>1927</v>
      </c>
      <c r="C13" s="22" t="s">
        <v>1928</v>
      </c>
    </row>
    <row r="14" ht="15.75" customHeight="1">
      <c r="A14" s="22" t="s">
        <v>1929</v>
      </c>
      <c r="B14" s="216">
        <v>46294.8</v>
      </c>
      <c r="C14" s="22" t="s">
        <v>1930</v>
      </c>
    </row>
    <row r="15" ht="15.75" customHeight="1">
      <c r="A15" s="22" t="s">
        <v>1931</v>
      </c>
      <c r="B15" s="216">
        <v>46294.85</v>
      </c>
      <c r="C15" s="22" t="s">
        <v>1932</v>
      </c>
    </row>
    <row r="16" ht="15.75" customHeight="1">
      <c r="A16" s="22" t="s">
        <v>1934</v>
      </c>
      <c r="B16" s="216">
        <v>46294.885416666664</v>
      </c>
      <c r="C16" s="22" t="s">
        <v>1935</v>
      </c>
    </row>
    <row r="17" ht="15.75" customHeight="1">
      <c r="A17" s="22" t="s">
        <v>1936</v>
      </c>
      <c r="B17" s="216">
        <v>46294.916666666664</v>
      </c>
      <c r="C17" s="22" t="s">
        <v>1937</v>
      </c>
    </row>
    <row r="18" ht="15.75" customHeight="1">
      <c r="A18" s="22" t="s">
        <v>1938</v>
      </c>
      <c r="B18" s="216">
        <v>46294.979166666664</v>
      </c>
      <c r="C18" s="22" t="s">
        <v>1939</v>
      </c>
    </row>
    <row r="19" ht="15.75" customHeight="1">
      <c r="A19" s="22" t="s">
        <v>1940</v>
      </c>
      <c r="B19" s="216">
        <v>46295.020833333336</v>
      </c>
      <c r="C19" s="22" t="s">
        <v>1941</v>
      </c>
    </row>
    <row r="20" ht="15.75" customHeight="1">
      <c r="A20" s="22" t="s">
        <v>1942</v>
      </c>
      <c r="B20" s="216">
        <v>46295.041666666664</v>
      </c>
      <c r="C20" s="22" t="s">
        <v>1945</v>
      </c>
    </row>
    <row r="21" ht="15.75" customHeight="1">
      <c r="A21" s="22" t="s">
        <v>1947</v>
      </c>
      <c r="B21" s="216">
        <v>46295.083333333336</v>
      </c>
      <c r="C21" s="22" t="s">
        <v>1950</v>
      </c>
    </row>
    <row r="22" ht="15.75" customHeight="1">
      <c r="A22" s="22" t="s">
        <v>1951</v>
      </c>
      <c r="B22" s="216">
        <v>46295.125</v>
      </c>
      <c r="C22" s="22" t="s">
        <v>1952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A56B"/>
    <outlinePr summaryBelow="0" summaryRight="0"/>
  </sheetPr>
  <sheetViews>
    <sheetView workbookViewId="0"/>
  </sheetViews>
  <sheetFormatPr customHeight="1" defaultColWidth="12.63" defaultRowHeight="15.0"/>
  <cols>
    <col customWidth="1" min="1" max="1" width="96.0"/>
    <col customWidth="1" min="2" max="2" width="14.5"/>
    <col customWidth="1" min="3" max="3" width="20.5"/>
    <col customWidth="1" min="4" max="4" width="14.5"/>
    <col customWidth="1" min="5" max="5" width="22.63"/>
    <col customWidth="1" min="6" max="6" width="14.5"/>
    <col customWidth="1" min="7" max="7" width="18.88"/>
    <col customWidth="1" min="8" max="8" width="14.5"/>
    <col customWidth="1" min="9" max="9" width="16.13"/>
    <col customWidth="1" min="10" max="10" width="14.5"/>
    <col customWidth="1" min="11" max="11" width="18.25"/>
    <col customWidth="1" min="12" max="15" width="14.5"/>
    <col customWidth="1" min="16" max="16" width="17.38"/>
    <col customWidth="1" min="17" max="17" width="14.5"/>
    <col customWidth="1" min="18" max="18" width="14.25"/>
  </cols>
  <sheetData>
    <row r="1" ht="15.75" customHeight="1">
      <c r="A1" s="349" t="s">
        <v>1961</v>
      </c>
    </row>
    <row r="2" ht="15.75" customHeight="1"/>
    <row r="3" ht="15.75" customHeight="1">
      <c r="A3" s="363" t="s">
        <v>1962</v>
      </c>
      <c r="B3" s="363"/>
      <c r="C3" s="363" t="s">
        <v>1965</v>
      </c>
      <c r="D3" s="363"/>
      <c r="E3" s="363" t="s">
        <v>1967</v>
      </c>
      <c r="F3" s="363"/>
      <c r="G3" s="363" t="s">
        <v>1969</v>
      </c>
      <c r="H3" s="363"/>
      <c r="I3" s="363" t="s">
        <v>1774</v>
      </c>
      <c r="J3" s="363"/>
      <c r="K3" s="363" t="s">
        <v>1972</v>
      </c>
      <c r="L3" s="363"/>
    </row>
    <row r="4" ht="15.75" customHeight="1">
      <c r="A4" s="365">
        <f>R9</f>
        <v>2235000</v>
      </c>
      <c r="B4" s="365"/>
      <c r="C4" s="365">
        <f>IFERROR(P9/B9, 0)</f>
        <v>1060000</v>
      </c>
      <c r="D4" s="365"/>
      <c r="E4" s="368">
        <f>IFERROR(calc_engine!B37 / (AVERAGE(D9:E9)/B9), 0.5)</f>
        <v>1.021276596</v>
      </c>
      <c r="F4" s="368"/>
      <c r="G4" s="369">
        <f>IFERROR(R9 / calc_engine!B37, 0)</f>
        <v>18.625</v>
      </c>
      <c r="H4" s="369"/>
      <c r="I4" s="367">
        <f>P20</f>
        <v>2.709090909</v>
      </c>
      <c r="J4" s="367"/>
      <c r="K4" s="367">
        <f>E15</f>
        <v>1</v>
      </c>
      <c r="L4" s="367"/>
    </row>
    <row r="5" ht="15.75" customHeight="1">
      <c r="A5" s="22" t="s">
        <v>1994</v>
      </c>
      <c r="C5" s="22" t="s">
        <v>1995</v>
      </c>
      <c r="E5" s="22" t="s">
        <v>1996</v>
      </c>
      <c r="G5" s="22" t="s">
        <v>1997</v>
      </c>
      <c r="I5" s="22" t="s">
        <v>1998</v>
      </c>
      <c r="K5" s="22" t="s">
        <v>1999</v>
      </c>
    </row>
    <row r="6" ht="15.75" customHeight="1"/>
    <row r="7" ht="15.75" customHeight="1">
      <c r="A7" s="297" t="s">
        <v>2000</v>
      </c>
    </row>
    <row r="8" ht="15.75" customHeight="1">
      <c r="A8" s="298" t="s">
        <v>1767</v>
      </c>
      <c r="B8" s="298" t="s">
        <v>1770</v>
      </c>
      <c r="C8" s="298" t="s">
        <v>1771</v>
      </c>
      <c r="D8" s="298" t="s">
        <v>1943</v>
      </c>
      <c r="E8" s="298" t="s">
        <v>1944</v>
      </c>
      <c r="F8" s="298" t="s">
        <v>2001</v>
      </c>
      <c r="G8" s="298" t="s">
        <v>2002</v>
      </c>
      <c r="H8" s="298" t="s">
        <v>2003</v>
      </c>
      <c r="I8" s="298" t="s">
        <v>2004</v>
      </c>
      <c r="J8" s="298" t="s">
        <v>2005</v>
      </c>
      <c r="K8" s="298" t="s">
        <v>2006</v>
      </c>
      <c r="L8" s="298" t="s">
        <v>2008</v>
      </c>
      <c r="M8" s="298" t="s">
        <v>2010</v>
      </c>
      <c r="N8" s="298" t="s">
        <v>2011</v>
      </c>
      <c r="O8" s="298" t="s">
        <v>2012</v>
      </c>
      <c r="P8" s="298" t="s">
        <v>2013</v>
      </c>
      <c r="Q8" s="298" t="s">
        <v>2014</v>
      </c>
      <c r="R8" s="298" t="s">
        <v>2015</v>
      </c>
    </row>
    <row r="9" ht="15.75" customHeight="1">
      <c r="A9" s="22" t="s">
        <v>2016</v>
      </c>
      <c r="B9" s="22">
        <f>COUNTIF(raw_deals!$D$2:$D1000, 6)</f>
        <v>2</v>
      </c>
      <c r="C9" s="151">
        <f>SUMIFS(raw_payments!$E$2:$E1000, raw_payments!$G$2:$G1000, "*M0*")</f>
        <v>1650000</v>
      </c>
      <c r="D9" s="151">
        <f>SUMIFS(raw_payments!$E$2:$E1000, raw_payments!$G$2:$G1000, "*M1*")</f>
        <v>225000</v>
      </c>
      <c r="E9" s="151">
        <f>SUMIFS(raw_payments!$E$2:$E1000, raw_payments!$G$2:$G1000, "*M2*")</f>
        <v>245000</v>
      </c>
      <c r="F9" s="151">
        <f>ROUND(AVERAGE(D9:E9), 0)</f>
        <v>235000</v>
      </c>
      <c r="G9" s="151">
        <f>ROUND(AVERAGE(D9:E9), 0)</f>
        <v>235000</v>
      </c>
      <c r="H9" s="151">
        <f>ROUND(AVERAGE(D9:E9), 0)</f>
        <v>235000</v>
      </c>
      <c r="I9" s="151">
        <f>ROUND(AVERAGE(D9:E9), 0)</f>
        <v>235000</v>
      </c>
      <c r="J9" s="151">
        <f>ROUND(AVERAGE(D9:E9), 0)</f>
        <v>235000</v>
      </c>
      <c r="K9" s="151">
        <f>ROUND(AVERAGE(D9:E9), 0)</f>
        <v>235000</v>
      </c>
      <c r="L9" s="151">
        <f>ROUND(AVERAGE(D9:E9), 0)</f>
        <v>235000</v>
      </c>
      <c r="M9" s="151">
        <f>ROUND(AVERAGE(D9:E9), 0)</f>
        <v>235000</v>
      </c>
      <c r="N9" s="151">
        <f>ROUND(AVERAGE(D9:E9), 0)</f>
        <v>235000</v>
      </c>
      <c r="O9" s="151">
        <f>ROUND(AVERAGE(D9:E9), 0)</f>
        <v>235000</v>
      </c>
      <c r="P9" s="151">
        <f>SUM(C9:E9)</f>
        <v>2120000</v>
      </c>
      <c r="Q9" s="151">
        <f>SUM(C9:O9)</f>
        <v>4470000</v>
      </c>
      <c r="R9" s="151">
        <f t="shared" ref="R9:R10" si="2">IFERROR(Q9/B9, 0)</f>
        <v>2235000</v>
      </c>
    </row>
    <row r="10" ht="15.75" customHeight="1">
      <c r="A10" s="22" t="s">
        <v>2038</v>
      </c>
      <c r="B10" s="22">
        <f t="shared" ref="B10:Q10" si="1">SUM(B9)</f>
        <v>2</v>
      </c>
      <c r="C10" s="151">
        <f t="shared" si="1"/>
        <v>1650000</v>
      </c>
      <c r="D10" s="151">
        <f t="shared" si="1"/>
        <v>225000</v>
      </c>
      <c r="E10" s="151">
        <f t="shared" si="1"/>
        <v>245000</v>
      </c>
      <c r="F10" s="151">
        <f t="shared" si="1"/>
        <v>235000</v>
      </c>
      <c r="G10" s="151">
        <f t="shared" si="1"/>
        <v>235000</v>
      </c>
      <c r="H10" s="151">
        <f t="shared" si="1"/>
        <v>235000</v>
      </c>
      <c r="I10" s="151">
        <f t="shared" si="1"/>
        <v>235000</v>
      </c>
      <c r="J10" s="151">
        <f t="shared" si="1"/>
        <v>235000</v>
      </c>
      <c r="K10" s="151">
        <f t="shared" si="1"/>
        <v>235000</v>
      </c>
      <c r="L10" s="151">
        <f t="shared" si="1"/>
        <v>235000</v>
      </c>
      <c r="M10" s="151">
        <f t="shared" si="1"/>
        <v>235000</v>
      </c>
      <c r="N10" s="151">
        <f t="shared" si="1"/>
        <v>235000</v>
      </c>
      <c r="O10" s="151">
        <f t="shared" si="1"/>
        <v>235000</v>
      </c>
      <c r="P10" s="151">
        <f t="shared" si="1"/>
        <v>2120000</v>
      </c>
      <c r="Q10" s="151">
        <f t="shared" si="1"/>
        <v>4470000</v>
      </c>
      <c r="R10" s="151">
        <f t="shared" si="2"/>
        <v>2235000</v>
      </c>
    </row>
    <row r="11" ht="15.75" customHeight="1"/>
    <row r="12" ht="15.75" customHeight="1">
      <c r="A12" s="297"/>
    </row>
    <row r="13" ht="15.75" customHeight="1">
      <c r="A13" s="298" t="s">
        <v>2043</v>
      </c>
    </row>
    <row r="14" ht="15.75" customHeight="1">
      <c r="A14" s="22" t="s">
        <v>1767</v>
      </c>
      <c r="B14" s="22" t="s">
        <v>2044</v>
      </c>
      <c r="C14" s="22" t="s">
        <v>2045</v>
      </c>
      <c r="D14" s="22" t="s">
        <v>1943</v>
      </c>
      <c r="E14" s="22" t="s">
        <v>1944</v>
      </c>
      <c r="F14" s="22" t="s">
        <v>1946</v>
      </c>
      <c r="G14" s="22" t="s">
        <v>2047</v>
      </c>
      <c r="H14" s="22" t="s">
        <v>2048</v>
      </c>
      <c r="I14" s="22" t="s">
        <v>2049</v>
      </c>
      <c r="J14" s="22" t="s">
        <v>2050</v>
      </c>
      <c r="K14" s="22" t="s">
        <v>2051</v>
      </c>
      <c r="L14" s="22" t="s">
        <v>2052</v>
      </c>
      <c r="M14" s="22" t="s">
        <v>2053</v>
      </c>
      <c r="N14" s="22" t="s">
        <v>2054</v>
      </c>
      <c r="O14" s="22" t="s">
        <v>2056</v>
      </c>
      <c r="P14" s="22" t="s">
        <v>2057</v>
      </c>
    </row>
    <row r="15" ht="15.75" customHeight="1">
      <c r="A15" s="22" t="s">
        <v>2016</v>
      </c>
      <c r="B15" s="22">
        <f>B9</f>
        <v>2</v>
      </c>
      <c r="C15" s="149">
        <v>1.0</v>
      </c>
      <c r="D15" s="149">
        <f>IFERROR(COUNTIFS(raw_payments!$G$2:$G$1000, "*M1*") / B15, 1)</f>
        <v>1</v>
      </c>
      <c r="E15" s="149">
        <f>IFERROR(COUNTIFS(raw_payments!$G$2:$G$1000, "*M2*") / B15, 1)</f>
        <v>1</v>
      </c>
      <c r="F15" s="149">
        <v>1.0</v>
      </c>
      <c r="G15" s="149">
        <v>1.0</v>
      </c>
      <c r="H15" s="149">
        <v>1.0</v>
      </c>
      <c r="I15" s="149">
        <v>0.95</v>
      </c>
      <c r="J15" s="149">
        <v>0.95</v>
      </c>
      <c r="K15" s="149">
        <v>0.9</v>
      </c>
      <c r="L15" s="149">
        <v>0.9</v>
      </c>
      <c r="M15" s="149">
        <v>0.85</v>
      </c>
      <c r="N15" s="149">
        <v>0.85</v>
      </c>
      <c r="O15" s="149">
        <v>0.85</v>
      </c>
      <c r="P15" s="149">
        <f>AVERAGE(D15:O15)</f>
        <v>0.9375</v>
      </c>
    </row>
    <row r="16" ht="15.75" customHeight="1"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</row>
    <row r="17" ht="15.75" customHeight="1">
      <c r="A17" s="297"/>
    </row>
    <row r="18" ht="15.75" customHeight="1">
      <c r="A18" s="298" t="s">
        <v>2068</v>
      </c>
    </row>
    <row r="19" ht="15.75" customHeight="1">
      <c r="A19" s="22" t="s">
        <v>1767</v>
      </c>
      <c r="B19" s="22" t="s">
        <v>2069</v>
      </c>
      <c r="C19" s="22" t="s">
        <v>2045</v>
      </c>
      <c r="D19" s="22" t="s">
        <v>1943</v>
      </c>
      <c r="E19" s="22" t="s">
        <v>1944</v>
      </c>
      <c r="F19" s="22" t="s">
        <v>1946</v>
      </c>
      <c r="G19" s="22" t="s">
        <v>2047</v>
      </c>
      <c r="H19" s="22" t="s">
        <v>2048</v>
      </c>
      <c r="I19" s="22" t="s">
        <v>2049</v>
      </c>
      <c r="J19" s="22" t="s">
        <v>2050</v>
      </c>
      <c r="K19" s="22" t="s">
        <v>2051</v>
      </c>
      <c r="L19" s="22" t="s">
        <v>2052</v>
      </c>
      <c r="M19" s="22" t="s">
        <v>2053</v>
      </c>
      <c r="N19" s="22" t="s">
        <v>2054</v>
      </c>
      <c r="O19" s="22" t="s">
        <v>2056</v>
      </c>
      <c r="P19" s="22" t="s">
        <v>1774</v>
      </c>
    </row>
    <row r="20" ht="15.75" customHeight="1">
      <c r="A20" s="22" t="s">
        <v>2016</v>
      </c>
      <c r="B20" s="151">
        <f>C9</f>
        <v>1650000</v>
      </c>
      <c r="C20" s="149">
        <f>C9/B20</f>
        <v>1</v>
      </c>
      <c r="D20" s="149">
        <f>D9/B20</f>
        <v>0.1363636364</v>
      </c>
      <c r="E20" s="149">
        <f>E9/B20</f>
        <v>0.1484848485</v>
      </c>
      <c r="F20" s="149">
        <f>F9/B20</f>
        <v>0.1424242424</v>
      </c>
      <c r="G20" s="149">
        <f>G9/B20</f>
        <v>0.1424242424</v>
      </c>
      <c r="H20" s="149">
        <f>H9/B20</f>
        <v>0.1424242424</v>
      </c>
      <c r="I20" s="149">
        <f>I9/B20</f>
        <v>0.1424242424</v>
      </c>
      <c r="J20" s="149">
        <f>J9/B20</f>
        <v>0.1424242424</v>
      </c>
      <c r="K20" s="149">
        <f>K9/B20</f>
        <v>0.1424242424</v>
      </c>
      <c r="L20" s="149">
        <f>L9/B20</f>
        <v>0.1424242424</v>
      </c>
      <c r="M20" s="149">
        <f>M9/B20</f>
        <v>0.1424242424</v>
      </c>
      <c r="N20" s="149">
        <f>N9/B20</f>
        <v>0.1424242424</v>
      </c>
      <c r="O20" s="149">
        <f>O9/B20</f>
        <v>0.1424242424</v>
      </c>
      <c r="P20" s="149">
        <f>IFERROR(SUM(C9:O9)/B20, 0)</f>
        <v>2.709090909</v>
      </c>
    </row>
    <row r="21" ht="15.75" customHeight="1"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R1"/>
    <mergeCell ref="A7:R7"/>
    <mergeCell ref="A12:R12"/>
    <mergeCell ref="A13:R13"/>
    <mergeCell ref="A17:R17"/>
    <mergeCell ref="A18:R1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41E"/>
    <outlinePr summaryBelow="0" summaryRight="0"/>
  </sheetPr>
  <sheetViews>
    <sheetView workbookViewId="0"/>
  </sheetViews>
  <sheetFormatPr customHeight="1" defaultColWidth="12.63" defaultRowHeight="15.0"/>
  <cols>
    <col customWidth="1" min="1" max="1" width="97.25"/>
    <col customWidth="1" min="2" max="2" width="32.38"/>
    <col customWidth="1" min="3" max="3" width="26.63"/>
    <col customWidth="1" min="4" max="4" width="19.88"/>
    <col customWidth="1" min="5" max="5" width="20.5"/>
    <col customWidth="1" min="6" max="6" width="66.0"/>
    <col customWidth="1" min="7" max="7" width="20.63"/>
    <col customWidth="1" min="8" max="8" width="14.0"/>
    <col customWidth="1" min="9" max="9" width="16.38"/>
    <col customWidth="1" min="10" max="10" width="15.63"/>
    <col customWidth="1" min="11" max="11" width="22.88"/>
    <col customWidth="1" min="12" max="12" width="14.75"/>
    <col customWidth="1" min="13" max="13" width="15.0"/>
    <col customWidth="1" min="14" max="14" width="23.25"/>
    <col customWidth="1" min="15" max="15" width="36.5"/>
  </cols>
  <sheetData>
    <row r="1" ht="15.75" customHeight="1">
      <c r="A1" s="349" t="s">
        <v>1963</v>
      </c>
    </row>
    <row r="2" ht="15.75" customHeight="1"/>
    <row r="3" ht="15.75" customHeight="1">
      <c r="A3" s="363" t="s">
        <v>1964</v>
      </c>
      <c r="B3" s="363"/>
      <c r="C3" s="363" t="s">
        <v>1482</v>
      </c>
      <c r="D3" s="363"/>
      <c r="E3" s="363" t="s">
        <v>1966</v>
      </c>
      <c r="F3" s="363"/>
      <c r="G3" s="363" t="s">
        <v>1968</v>
      </c>
      <c r="H3" s="363"/>
      <c r="I3" s="363" t="s">
        <v>1970</v>
      </c>
      <c r="J3" s="363"/>
      <c r="K3" s="363" t="s">
        <v>1971</v>
      </c>
      <c r="L3" s="363"/>
    </row>
    <row r="4" ht="15.75" customHeight="1">
      <c r="A4" s="364">
        <f>SUM(D7:D9)</f>
        <v>30</v>
      </c>
      <c r="B4" s="364"/>
      <c r="C4" s="364">
        <f>COUNTIF(raw_deals!$D$2:$D1000, "&lt;6")</f>
        <v>7</v>
      </c>
      <c r="D4" s="364"/>
      <c r="E4" s="367">
        <f>AVERAGE(L7:L9)</f>
        <v>0.22</v>
      </c>
      <c r="F4" s="367"/>
      <c r="G4" s="364">
        <f>COUNTIFS(raw_deals!$D$2:$D1000, "&lt;6", raw_deals!$I$2:$I1000, "SEG1")</f>
        <v>2</v>
      </c>
      <c r="H4" s="364"/>
      <c r="I4" s="364">
        <f>COUNTIFS(raw_deals!$D$2:$D1000, "&lt;6", raw_deals!$I$2:$I1000, "SEG2")</f>
        <v>4</v>
      </c>
      <c r="J4" s="364"/>
      <c r="K4" s="364">
        <f>ROUND(SUM(raw_calls!$E$2:$E1000)/60, 1)</f>
        <v>32.5</v>
      </c>
      <c r="L4" s="364"/>
    </row>
    <row r="5" ht="15.75" customHeight="1">
      <c r="A5" s="22" t="s">
        <v>1974</v>
      </c>
      <c r="C5" s="22" t="s">
        <v>1975</v>
      </c>
      <c r="E5" s="22" t="s">
        <v>1976</v>
      </c>
      <c r="G5" s="22" t="s">
        <v>1977</v>
      </c>
      <c r="I5" s="22" t="s">
        <v>1978</v>
      </c>
      <c r="K5" s="22" t="s">
        <v>1979</v>
      </c>
    </row>
    <row r="6" ht="15.75" customHeight="1"/>
    <row r="7" ht="15.75" customHeight="1">
      <c r="A7" s="298" t="s">
        <v>1481</v>
      </c>
      <c r="B7" s="298" t="s">
        <v>83</v>
      </c>
      <c r="C7" s="298" t="s">
        <v>585</v>
      </c>
      <c r="D7" s="298" t="s">
        <v>1980</v>
      </c>
      <c r="E7" s="298" t="s">
        <v>1482</v>
      </c>
      <c r="F7" s="298" t="s">
        <v>1981</v>
      </c>
      <c r="G7" s="298" t="s">
        <v>1982</v>
      </c>
      <c r="H7" s="298" t="s">
        <v>1983</v>
      </c>
      <c r="I7" s="298" t="s">
        <v>25</v>
      </c>
      <c r="J7" s="298" t="s">
        <v>1984</v>
      </c>
      <c r="K7" s="298" t="s">
        <v>1985</v>
      </c>
      <c r="L7" s="298" t="s">
        <v>1986</v>
      </c>
      <c r="M7" s="298" t="s">
        <v>1987</v>
      </c>
      <c r="N7" s="298" t="s">
        <v>1988</v>
      </c>
      <c r="O7" s="298" t="s">
        <v>1989</v>
      </c>
    </row>
    <row r="8" ht="15.75" customHeight="1">
      <c r="A8" s="22">
        <v>101.0</v>
      </c>
      <c r="B8" s="22" t="s">
        <v>588</v>
      </c>
      <c r="C8" s="22" t="s">
        <v>589</v>
      </c>
      <c r="D8" s="22">
        <v>5.0</v>
      </c>
      <c r="E8" s="22">
        <f>COUNTIFS(raw_deals!$H$2:$H1000, A8, raw_deals!$D$2:$D1000, "&lt;6")</f>
        <v>1</v>
      </c>
      <c r="F8" s="22">
        <f>COUNTIFS(raw_deals!$H$2:$H1000, A8, raw_deals!$D$2:$D1000, "&lt;6", raw_deals!$I$2:$I1000, "SEG1")</f>
        <v>1</v>
      </c>
      <c r="G8" s="22">
        <f>COUNTIFS(raw_deals!$H$2:$H1000, A8, raw_deals!$D$2:$D1000, "&lt;6", raw_deals!$I$2:$I1000, "SEG2")</f>
        <v>0</v>
      </c>
      <c r="H8" s="151">
        <f>SUMIFS(raw_deals!$C$2:$C1000, raw_deals!$H$2:$H1000, A8, raw_deals!$D$2:$D1000, "&lt;6")</f>
        <v>850000</v>
      </c>
      <c r="I8" s="22">
        <f>COUNTIF(raw_calls!$C$2:$C100, A8)</f>
        <v>1</v>
      </c>
      <c r="J8" s="22">
        <f>ROUND(SUMIF(raw_calls!$C$2:$C100, A8, raw_calls!$E$2:$E100)/60, 1)</f>
        <v>5.2</v>
      </c>
      <c r="K8" s="22">
        <f t="shared" ref="K8:K10" si="1">F8*2 + G8*1</f>
        <v>2</v>
      </c>
      <c r="L8" s="149">
        <f t="shared" ref="L8:L10" si="2">IFERROR(K8/D8, 0)</f>
        <v>0.4</v>
      </c>
      <c r="M8" s="22" t="str">
        <f t="shared" ref="M8:M10" si="3">REPT("█", MIN(10, MAX(0, INT(L8*10)))) &amp; REPT("░", MAX(0, 10 - INT(L8*10))) &amp; " " &amp; TEXT(L8, "0% ") &amp; IF(L8&gt;=0.9,"🔴",IF(L8&gt;=0.6,"🟡","🟢"))</f>
        <v>████░░░░░░ 40% 🟢</v>
      </c>
      <c r="N8" s="22" t="str">
        <f>IF(L8&gt;=0.9, "🔴 ПЕРЕГРУЗ (СТОП)", IF(L8&gt;=0.6, "🟡 ВЫСОКАЯ ЗАГРУЗКА", "🟢 В НОРМЕ"))</f>
        <v>🟢 В НОРМЕ</v>
      </c>
      <c r="O8" s="22" t="str">
        <f>IF(L8&gt;=0.8, "⛔ Приостановить лиды (только VIP &gt;2M)", "✅ Открыт для распределения")</f>
        <v>✅ Открыт для распределения</v>
      </c>
    </row>
    <row r="9" ht="15.75" customHeight="1">
      <c r="A9" s="22">
        <v>102.0</v>
      </c>
      <c r="B9" s="22" t="s">
        <v>591</v>
      </c>
      <c r="C9" s="22" t="s">
        <v>592</v>
      </c>
      <c r="D9" s="22">
        <v>25.0</v>
      </c>
      <c r="E9" s="22">
        <f>COUNTIFS(raw_deals!$H$2:$H1000, A9, raw_deals!$D$2:$D1000, "&lt;6")</f>
        <v>2</v>
      </c>
      <c r="F9" s="22">
        <f>COUNTIFS(raw_deals!$H$2:$H1000, A9, raw_deals!$D$2:$D1000, "&lt;6", raw_deals!$I$2:$I1000, "SEG1")</f>
        <v>0</v>
      </c>
      <c r="G9" s="22">
        <f>COUNTIFS(raw_deals!$H$2:$H1000, A9, raw_deals!$D$2:$D1000, "&lt;6", raw_deals!$I$2:$I1000, "SEG2")</f>
        <v>1</v>
      </c>
      <c r="H9" s="151">
        <f>SUMIFS(raw_deals!$C$2:$C1000, raw_deals!$H$2:$H1000, A9, raw_deals!$D$2:$D1000, "&lt;6")</f>
        <v>3280000</v>
      </c>
      <c r="I9" s="22">
        <f>COUNTIF(raw_calls!$C$2:$C100, A9)</f>
        <v>3</v>
      </c>
      <c r="J9" s="22">
        <f>ROUND(SUMIF(raw_calls!$C$2:$C100, A9, raw_calls!$E$2:$E100)/60, 1)</f>
        <v>13.5</v>
      </c>
      <c r="K9" s="22">
        <f t="shared" si="1"/>
        <v>1</v>
      </c>
      <c r="L9" s="149">
        <f t="shared" si="2"/>
        <v>0.04</v>
      </c>
      <c r="M9" s="22" t="str">
        <f t="shared" si="3"/>
        <v>░░░░░░░░░░ 4% 🟢</v>
      </c>
      <c r="N9" s="22" t="str">
        <f>IF(L9&gt;=0.9, "🔴 ПЕРЕГРУЗ (СТОП)", IF(L9&gt;=0.6, "🟡 ВЫСОКАЯ ЗАГРУЗКА", "🟢 СВОБОДЕН (НЕДОГРУЗ)"))</f>
        <v>🟢 СВОБОДЕН (НЕДОГРУЗ)</v>
      </c>
      <c r="O9" s="22" t="str">
        <f>IF(L9&lt;0.3, "🚀 ПРИОРИТЕТ: направить 100% входящих SMB", "✅ Открыт для распределения")</f>
        <v>🚀 ПРИОРИТЕТ: направить 100% входящих SMB</v>
      </c>
    </row>
    <row r="10" ht="15.75" customHeight="1">
      <c r="A10" s="22">
        <v>103.0</v>
      </c>
      <c r="B10" s="22" t="s">
        <v>594</v>
      </c>
      <c r="C10" s="22" t="s">
        <v>595</v>
      </c>
      <c r="D10" s="22">
        <v>40.0</v>
      </c>
      <c r="E10" s="22">
        <f>COUNTIFS(raw_deals!$H$2:$H1000, A10, raw_deals!$D$2:$D1000, "&lt;6")</f>
        <v>4</v>
      </c>
      <c r="F10" s="22">
        <f>COUNTIFS(raw_deals!$H$2:$H1000, A10, raw_deals!$D$2:$D1000, "&lt;6", raw_deals!$I$2:$I1000, "SEG1")</f>
        <v>1</v>
      </c>
      <c r="G10" s="22">
        <f>COUNTIFS(raw_deals!$H$2:$H1000, A10, raw_deals!$D$2:$D1000, "&lt;6", raw_deals!$I$2:$I1000, "SEG2")</f>
        <v>3</v>
      </c>
      <c r="H10" s="151">
        <f>SUMIFS(raw_deals!$C$2:$C1000, raw_deals!$H$2:$H1000, A10, raw_deals!$D$2:$D1000, "&lt;6")</f>
        <v>1400000</v>
      </c>
      <c r="I10" s="22">
        <f>COUNTIF(raw_calls!$C$2:$C100, A10)</f>
        <v>2</v>
      </c>
      <c r="J10" s="22">
        <f>ROUND(SUMIF(raw_calls!$C$2:$C100, A10, raw_calls!$E$2:$E100)/60, 1)</f>
        <v>13.8</v>
      </c>
      <c r="K10" s="22">
        <f t="shared" si="1"/>
        <v>5</v>
      </c>
      <c r="L10" s="149">
        <f t="shared" si="2"/>
        <v>0.125</v>
      </c>
      <c r="M10" s="22" t="str">
        <f t="shared" si="3"/>
        <v>█░░░░░░░░░ 13% 🟢</v>
      </c>
      <c r="N10" s="22" t="str">
        <f>IF(L10&gt;=0.9, "🔴 ПЕРЕГРУЗ (СТОП)", IF(L10&gt;=0.6, "🟡 ВЫСОКАЯ ЗАГРУЗКА", "🟢 В НОРМЕ"))</f>
        <v>🟢 В НОРМЕ</v>
      </c>
      <c r="O10" s="22" t="str">
        <f>IF(L10&gt;=0.8, "⚠️ Контроль первичной квалификации", "✅ Ведет квалификацию лидов")</f>
        <v>✅ Ведет квалификацию лидов</v>
      </c>
    </row>
    <row r="11" ht="15.75" customHeight="1">
      <c r="A11" s="22" t="s">
        <v>2096</v>
      </c>
      <c r="D11" s="22">
        <f t="shared" ref="D11:K11" si="4">SUM(D8:D10)</f>
        <v>70</v>
      </c>
      <c r="E11" s="22">
        <f t="shared" si="4"/>
        <v>7</v>
      </c>
      <c r="F11" s="22">
        <f t="shared" si="4"/>
        <v>2</v>
      </c>
      <c r="G11" s="22">
        <f t="shared" si="4"/>
        <v>4</v>
      </c>
      <c r="H11" s="151">
        <f t="shared" si="4"/>
        <v>5530000</v>
      </c>
      <c r="I11" s="22">
        <f t="shared" si="4"/>
        <v>6</v>
      </c>
      <c r="J11" s="22">
        <f t="shared" si="4"/>
        <v>32.5</v>
      </c>
      <c r="K11" s="22">
        <f t="shared" si="4"/>
        <v>8</v>
      </c>
      <c r="L11" s="149">
        <f>AVERAGE(L8:L10)</f>
        <v>0.1883333333</v>
      </c>
      <c r="M11" s="22">
        <f>SUM(M8:M10)</f>
        <v>0</v>
      </c>
      <c r="N11" s="22" t="s">
        <v>2099</v>
      </c>
      <c r="O11" s="22" t="s">
        <v>2100</v>
      </c>
    </row>
    <row r="12" ht="15.75" customHeight="1"/>
    <row r="13" ht="15.75" customHeight="1">
      <c r="A13" s="297" t="s">
        <v>2102</v>
      </c>
    </row>
    <row r="14" ht="15.75" customHeight="1">
      <c r="A14" s="298" t="s">
        <v>2103</v>
      </c>
      <c r="B14" s="298" t="s">
        <v>2104</v>
      </c>
      <c r="C14" s="298" t="s">
        <v>2105</v>
      </c>
      <c r="D14" s="298" t="s">
        <v>2106</v>
      </c>
      <c r="E14" s="298" t="s">
        <v>2107</v>
      </c>
      <c r="F14" s="298" t="s">
        <v>2108</v>
      </c>
    </row>
    <row r="15" ht="15.75" customHeight="1">
      <c r="A15" s="22" t="s">
        <v>2109</v>
      </c>
      <c r="B15" s="22" t="s">
        <v>2110</v>
      </c>
      <c r="C15" s="22" t="s">
        <v>588</v>
      </c>
      <c r="D15" s="22" t="s">
        <v>2112</v>
      </c>
      <c r="E15" s="149">
        <f t="shared" ref="E15:E17" si="5">L8</f>
        <v>0.4</v>
      </c>
      <c r="F15" s="22" t="s">
        <v>2113</v>
      </c>
    </row>
    <row r="16" ht="15.75" customHeight="1">
      <c r="A16" s="22" t="s">
        <v>2114</v>
      </c>
      <c r="B16" s="22" t="s">
        <v>2116</v>
      </c>
      <c r="C16" s="22" t="s">
        <v>591</v>
      </c>
      <c r="D16" s="22" t="s">
        <v>2117</v>
      </c>
      <c r="E16" s="149">
        <f t="shared" si="5"/>
        <v>0.04</v>
      </c>
      <c r="F16" s="22" t="s">
        <v>2118</v>
      </c>
    </row>
    <row r="17" ht="15.75" customHeight="1">
      <c r="A17" s="22" t="s">
        <v>2119</v>
      </c>
      <c r="B17" s="22" t="s">
        <v>2120</v>
      </c>
      <c r="C17" s="22" t="s">
        <v>594</v>
      </c>
      <c r="D17" s="22" t="s">
        <v>117</v>
      </c>
      <c r="E17" s="149">
        <f t="shared" si="5"/>
        <v>0.125</v>
      </c>
      <c r="F17" s="22" t="s">
        <v>2122</v>
      </c>
    </row>
    <row r="18" ht="15.75" customHeight="1">
      <c r="A18" s="22" t="s">
        <v>2123</v>
      </c>
      <c r="B18" s="22" t="s">
        <v>2124</v>
      </c>
      <c r="C18" s="22" t="s">
        <v>2125</v>
      </c>
      <c r="D18" s="22" t="s">
        <v>2126</v>
      </c>
      <c r="E18" s="149">
        <v>0.0</v>
      </c>
      <c r="F18" s="22" t="s">
        <v>2127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13:F1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66B2"/>
    <outlinePr summaryBelow="0" summaryRight="0"/>
  </sheetPr>
  <sheetViews>
    <sheetView workbookViewId="0"/>
  </sheetViews>
  <sheetFormatPr customHeight="1" defaultColWidth="12.63" defaultRowHeight="15.0"/>
  <cols>
    <col customWidth="1" min="1" max="1" width="86.5"/>
    <col customWidth="1" min="2" max="2" width="15.75"/>
    <col customWidth="1" min="3" max="3" width="13.25"/>
    <col customWidth="1" min="4" max="4" width="14.5"/>
    <col customWidth="1" min="5" max="5" width="14.63"/>
    <col customWidth="1" min="6" max="6" width="19.75"/>
  </cols>
  <sheetData>
    <row r="1" ht="15.75" customHeight="1">
      <c r="A1" s="366" t="s">
        <v>1973</v>
      </c>
      <c r="B1" s="366"/>
      <c r="C1" s="366"/>
      <c r="D1" s="366"/>
      <c r="E1" s="366"/>
      <c r="F1" s="366"/>
      <c r="G1" s="366"/>
      <c r="H1" s="366"/>
    </row>
    <row r="2" ht="22.5" customHeight="1">
      <c r="A2" s="14" t="s">
        <v>813</v>
      </c>
      <c r="B2" s="36" t="s">
        <v>814</v>
      </c>
      <c r="C2" s="14" t="s">
        <v>815</v>
      </c>
      <c r="D2" s="14" t="s">
        <v>816</v>
      </c>
      <c r="E2" s="14" t="s">
        <v>817</v>
      </c>
      <c r="F2" s="14" t="s">
        <v>818</v>
      </c>
      <c r="G2" s="14" t="s">
        <v>819</v>
      </c>
      <c r="H2" s="14" t="s">
        <v>820</v>
      </c>
      <c r="I2" s="14" t="s">
        <v>821</v>
      </c>
    </row>
    <row r="3" ht="15.75" customHeight="1">
      <c r="A3" s="370" t="s">
        <v>1990</v>
      </c>
      <c r="B3" s="370" t="s">
        <v>1833</v>
      </c>
      <c r="C3" s="370" t="s">
        <v>356</v>
      </c>
      <c r="D3" s="370" t="s">
        <v>1991</v>
      </c>
      <c r="E3" s="370" t="s">
        <v>1992</v>
      </c>
      <c r="F3" s="370" t="s">
        <v>836</v>
      </c>
      <c r="G3" s="370"/>
      <c r="H3" s="370"/>
    </row>
    <row r="4" ht="15.75" customHeight="1">
      <c r="A4" s="225" t="s">
        <v>1993</v>
      </c>
      <c r="B4" s="225">
        <f>COUNTIF(raw_deals!$D$2:$D1000, "&lt;=5")</f>
        <v>7</v>
      </c>
      <c r="C4" s="225">
        <f>calc_engine!B16</f>
        <v>7</v>
      </c>
      <c r="D4" s="225" t="s">
        <v>2007</v>
      </c>
      <c r="E4" s="225" t="s">
        <v>2009</v>
      </c>
      <c r="F4" s="225" t="str">
        <f>IF(C4&gt;=5, "🟢 В НОРМЕ", "⚠️ НИЗКИЙ ПАЙПЛАЙН")</f>
        <v>🟢 В НОРМЕ</v>
      </c>
      <c r="G4" s="225"/>
      <c r="H4" s="225"/>
    </row>
    <row r="5" ht="15.75" customHeight="1">
      <c r="A5" s="225" t="s">
        <v>2017</v>
      </c>
      <c r="B5" s="225">
        <f>SUMIF(raw_deals!$D$2:$D1000, "&lt;=5", raw_deals!$C$2:$C1000)</f>
        <v>5530000</v>
      </c>
      <c r="C5" s="225">
        <f>calc_engine!B17</f>
        <v>5530000</v>
      </c>
      <c r="D5" s="225" t="s">
        <v>2018</v>
      </c>
      <c r="E5" s="225" t="s">
        <v>2019</v>
      </c>
      <c r="F5" s="225" t="str">
        <f>IF(C5&gt;=5000000, "🟢 В НОРМЕ", "⚠️ ДЕФИЦИТ")</f>
        <v>🟢 В НОРМЕ</v>
      </c>
      <c r="G5" s="225"/>
      <c r="H5" s="225"/>
    </row>
    <row r="6" ht="15.75" customHeight="1">
      <c r="A6" s="225" t="s">
        <v>2020</v>
      </c>
      <c r="B6" s="225">
        <f>SUMIF(raw_deals!$D$2:$D1000, "&lt;=5", raw_deals!$S$2:$S1000)</f>
        <v>2754000</v>
      </c>
      <c r="C6" s="225">
        <f>calc_engine!B18</f>
        <v>2754000</v>
      </c>
      <c r="D6" s="225" t="s">
        <v>2018</v>
      </c>
      <c r="E6" s="225" t="s">
        <v>2021</v>
      </c>
      <c r="F6" s="225" t="str">
        <f>IF(C6&gt;=2500000, "🟢 ВЫСОКИЙ", "🟡 СРЕДНИЙ")</f>
        <v>🟢 ВЫСОКИЙ</v>
      </c>
      <c r="G6" s="225"/>
      <c r="H6" s="225"/>
    </row>
    <row r="7" ht="15.75" customHeight="1">
      <c r="A7" s="225" t="s">
        <v>2022</v>
      </c>
      <c r="B7" s="225">
        <f>SUMIF(raw_deals!$D$2:$D1000, 6, raw_deals!$C$2:$C1000)</f>
        <v>1650000</v>
      </c>
      <c r="C7" s="225">
        <f>calc_engine!B19</f>
        <v>1650000</v>
      </c>
      <c r="D7" s="225" t="s">
        <v>2018</v>
      </c>
      <c r="E7" s="228">
        <f> '⚙️ Настройки'!$B$9</f>
        <v>5000000</v>
      </c>
      <c r="F7" s="225" t="str">
        <f>IF(C7&gt;='⚙️ Настройки'!$B$9, "🟢 ПЛАН ВЫПОЛНЕН", "🟡 В ПРОЦЕССЕ")</f>
        <v>🟡 В ПРОЦЕССЕ</v>
      </c>
      <c r="G7" s="225"/>
      <c r="H7" s="225"/>
    </row>
    <row r="8" ht="15.75" customHeight="1">
      <c r="A8" s="225" t="s">
        <v>2028</v>
      </c>
      <c r="B8" s="225">
        <f>calc_engine!B19/'⚙️ Настройки'!$B$9</f>
        <v>0.33</v>
      </c>
      <c r="C8" s="225">
        <f>calc_engine!B20</f>
        <v>0.33</v>
      </c>
      <c r="D8" s="225" t="s">
        <v>2033</v>
      </c>
      <c r="E8" s="372">
        <v>1.0</v>
      </c>
      <c r="F8" s="225" t="str">
        <f>IF(C8&gt;=0.85, "🟢 В ГРАФИКЕ", "⚠️ ОТСТАВАНИЕ")</f>
        <v>⚠️ ОТСТАВАНИЕ</v>
      </c>
      <c r="G8" s="225"/>
      <c r="H8" s="225"/>
    </row>
    <row r="9" ht="15.75" customHeight="1">
      <c r="A9" s="225" t="s">
        <v>2036</v>
      </c>
      <c r="B9" s="225">
        <f>calc_engine!B19/MAX(calc_engine!B22, 1)</f>
        <v>825000</v>
      </c>
      <c r="C9" s="225">
        <f>calc_engine!B21</f>
        <v>825000</v>
      </c>
      <c r="D9" s="225" t="s">
        <v>2018</v>
      </c>
      <c r="E9" s="225" t="s">
        <v>2040</v>
      </c>
      <c r="F9" s="225" t="str">
        <f>IF(C9&gt;=500000, "🟢 КРУПНЫЙ ЧЕК", "🟡 СТАНДАРТ")</f>
        <v>🟢 КРУПНЫЙ ЧЕК</v>
      </c>
      <c r="G9" s="225"/>
      <c r="H9" s="225"/>
    </row>
    <row r="10" ht="15.75" customHeight="1">
      <c r="A10" s="225" t="s">
        <v>2046</v>
      </c>
      <c r="B10" s="225">
        <f>COUNTIF(raw_deals!$D$2:$D1000, 6)</f>
        <v>2</v>
      </c>
      <c r="C10" s="225">
        <f>calc_engine!B22</f>
        <v>2</v>
      </c>
      <c r="D10" s="225" t="s">
        <v>2007</v>
      </c>
      <c r="E10" s="225" t="s">
        <v>2059</v>
      </c>
      <c r="F10" s="225" t="s">
        <v>2060</v>
      </c>
      <c r="G10" s="225"/>
      <c r="H10" s="225"/>
    </row>
    <row r="11" ht="15.75" customHeight="1">
      <c r="A11" s="225" t="s">
        <v>2062</v>
      </c>
      <c r="B11" s="225">
        <f>COUNTIF(raw_deals!$D$2:$D1000, 7)</f>
        <v>2</v>
      </c>
      <c r="C11" s="225">
        <f>calc_engine!B23</f>
        <v>2</v>
      </c>
      <c r="D11" s="225" t="s">
        <v>2007</v>
      </c>
      <c r="E11" s="225" t="s">
        <v>2063</v>
      </c>
      <c r="F11" s="225" t="s">
        <v>117</v>
      </c>
      <c r="G11" s="225"/>
      <c r="H11" s="225"/>
    </row>
    <row r="12" ht="15.75" customHeight="1">
      <c r="A12" s="225" t="s">
        <v>2064</v>
      </c>
      <c r="B12" s="225">
        <f>calc_engine!B22/MAX(calc_engine!B22+calc_engine!B23, 1)</f>
        <v>0.5</v>
      </c>
      <c r="C12" s="225">
        <f>calc_engine!B24</f>
        <v>0.5</v>
      </c>
      <c r="D12" s="225" t="s">
        <v>2033</v>
      </c>
      <c r="E12" s="225" t="s">
        <v>2067</v>
      </c>
      <c r="F12" s="225" t="str">
        <f>IF(C12&gt;=0.3, "🟢 ВЫСОКАЯ КОНВЕРСИЯ", "⚠️ НИЗКАЯ")</f>
        <v>🟢 ВЫСОКАЯ КОНВЕРСИЯ</v>
      </c>
      <c r="G12" s="225"/>
      <c r="H12" s="225"/>
    </row>
    <row r="13" ht="15.75" customHeight="1">
      <c r="A13" s="225" t="s">
        <v>2071</v>
      </c>
      <c r="B13" s="225">
        <f>AVERAGEIFS(raw_deals!$T$2:$T1000, raw_deals!$D$2:$D1000, 6)</f>
        <v>11</v>
      </c>
      <c r="C13" s="225">
        <f>calc_engine!B25</f>
        <v>11</v>
      </c>
      <c r="D13" s="225" t="s">
        <v>2078</v>
      </c>
      <c r="E13" s="225" t="s">
        <v>2079</v>
      </c>
      <c r="F13" s="225" t="str">
        <f>IF(C13&lt;=14, "🟢 БЫСТРЫЙ ЦИКЛ", "⚠️ ЗАТЯНУТ")</f>
        <v>🟢 БЫСТРЫЙ ЦИКЛ</v>
      </c>
      <c r="G13" s="225"/>
      <c r="H13" s="225"/>
    </row>
    <row r="14" ht="15.75" customHeight="1">
      <c r="A14" s="225" t="s">
        <v>2080</v>
      </c>
      <c r="B14" s="225">
        <f>COUNTIFS(raw_deals!$D$2:$D1000, "&lt;=5", raw_deals!$Q$2:$Q1000, "&lt;=2")/MAX(calc_engine!B16, 1)</f>
        <v>0.2857142857</v>
      </c>
      <c r="C14" s="225">
        <f>calc_engine!B31</f>
        <v>0.8205128205</v>
      </c>
      <c r="D14" s="225" t="s">
        <v>2033</v>
      </c>
      <c r="E14" s="225" t="s">
        <v>2082</v>
      </c>
      <c r="F14" s="225" t="str">
        <f>IF(C14&gt;=0.9, "🟢 SLA СОБЛЮДЕН", "⚠️ СРЫВ SLA")</f>
        <v>⚠️ СРЫВ SLA</v>
      </c>
      <c r="G14" s="225"/>
      <c r="H14" s="225"/>
    </row>
    <row r="15" ht="15.75" customHeight="1">
      <c r="A15" s="225" t="s">
        <v>2084</v>
      </c>
      <c r="B15" s="225">
        <f>COUNTIFS(raw_deals!$H$2:$H1000, 101, raw_deals!$D$2:$D1000, "&lt;=5")/MAX(calc_engine!B16, 1)</f>
        <v>0.1428571429</v>
      </c>
      <c r="C15" s="377">
        <f>calc_engine!B35</f>
        <v>0.4</v>
      </c>
      <c r="D15" s="225" t="s">
        <v>2033</v>
      </c>
      <c r="E15" s="225" t="s">
        <v>2095</v>
      </c>
      <c r="F15" s="225" t="str">
        <f>IF(C15&lt;=0.3, "🟢 БАЛАНС", "🔴 ПЕРЕГРУЗ РОПА")</f>
        <v>🔴 ПЕРЕГРУЗ РОПА</v>
      </c>
      <c r="G15" s="225"/>
      <c r="H15" s="225"/>
    </row>
    <row r="16" ht="15.75" customHeight="1">
      <c r="A16" s="225"/>
      <c r="B16" s="225"/>
      <c r="C16" s="225"/>
      <c r="D16" s="225"/>
      <c r="E16" s="225"/>
      <c r="F16" s="225"/>
      <c r="G16" s="225"/>
      <c r="H16" s="225"/>
    </row>
    <row r="17" ht="15.75" customHeight="1">
      <c r="A17" s="225"/>
      <c r="B17" s="225"/>
      <c r="C17" s="225"/>
      <c r="D17" s="225"/>
      <c r="E17" s="225"/>
      <c r="F17" s="225"/>
      <c r="G17" s="225"/>
      <c r="H17" s="225"/>
    </row>
    <row r="18" ht="15.75" customHeight="1">
      <c r="A18" s="225"/>
      <c r="B18" s="225"/>
      <c r="C18" s="225"/>
      <c r="D18" s="225"/>
      <c r="E18" s="225"/>
      <c r="F18" s="225"/>
      <c r="G18" s="225"/>
      <c r="H18" s="225"/>
    </row>
    <row r="19" ht="15.75" customHeight="1">
      <c r="A19" s="225"/>
      <c r="B19" s="225"/>
      <c r="C19" s="225"/>
      <c r="D19" s="225"/>
      <c r="E19" s="225"/>
      <c r="F19" s="225"/>
      <c r="G19" s="225"/>
      <c r="H19" s="225"/>
    </row>
    <row r="20" ht="15.75" customHeight="1">
      <c r="A20" s="225"/>
      <c r="B20" s="225"/>
      <c r="C20" s="225"/>
      <c r="D20" s="225"/>
      <c r="E20" s="225"/>
      <c r="F20" s="225"/>
      <c r="G20" s="225"/>
      <c r="H20" s="2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📄 1. One-Pager" location="null!A1" ref="A2"/>
    <hyperlink display="⚡ 2. Пульс компании" location="null!A1" ref="B2"/>
    <hyperlink display="📋 3. Пульт РОПа" location="null!A1" ref="C2"/>
    <hyperlink display="💸 4. 7 Грехов ОП" location="null!A1" ref="D2"/>
    <hyperlink display="🎯 5. Action Center" location="null!A1" ref="E2"/>
    <hyperlink display="🎙️ 6. ИИ-Аудит" location="null!A1" ref="F2"/>
    <hyperlink display="⚡ 7. Экспресс 3 цифры" location="null!A1" ref="G2"/>
    <hyperlink display="🧪 8. QA Suite" location="null!A1" ref="H2"/>
    <hyperlink display="⚙️ 9. Настройки" location="null!A1" ref="I2"/>
  </hyperlin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5919"/>
    <outlinePr summaryBelow="0" summaryRight="0"/>
  </sheetPr>
  <sheetViews>
    <sheetView workbookViewId="0"/>
  </sheetViews>
  <sheetFormatPr customHeight="1" defaultColWidth="12.63" defaultRowHeight="15.0"/>
  <cols>
    <col customWidth="1" min="1" max="1" width="81.25"/>
    <col customWidth="1" min="2" max="2" width="15.75"/>
    <col customWidth="1" min="3" max="3" width="12.13"/>
    <col customWidth="1" min="4" max="4" width="12.0"/>
    <col customWidth="1" min="5" max="5" width="15.25"/>
    <col customWidth="1" min="6" max="6" width="16.13"/>
    <col customWidth="1" min="7" max="7" width="14.5"/>
    <col customWidth="1" min="8" max="8" width="12.63"/>
  </cols>
  <sheetData>
    <row r="1" ht="15.75" customHeight="1">
      <c r="A1" s="379" t="s">
        <v>2160</v>
      </c>
      <c r="B1" s="379"/>
      <c r="C1" s="379"/>
      <c r="D1" s="379"/>
      <c r="E1" s="379"/>
      <c r="F1" s="379"/>
      <c r="G1" s="379"/>
      <c r="H1" s="379"/>
    </row>
    <row r="2" ht="22.5" customHeight="1">
      <c r="A2" s="14" t="s">
        <v>813</v>
      </c>
      <c r="B2" s="36" t="s">
        <v>814</v>
      </c>
      <c r="C2" s="14" t="s">
        <v>815</v>
      </c>
      <c r="D2" s="14" t="s">
        <v>816</v>
      </c>
      <c r="E2" s="14" t="s">
        <v>817</v>
      </c>
      <c r="F2" s="14" t="s">
        <v>818</v>
      </c>
      <c r="G2" s="14" t="s">
        <v>819</v>
      </c>
      <c r="H2" s="14" t="s">
        <v>820</v>
      </c>
      <c r="I2" s="14" t="s">
        <v>821</v>
      </c>
    </row>
    <row r="3" ht="15.75" customHeight="1">
      <c r="A3" s="370" t="s">
        <v>2173</v>
      </c>
      <c r="B3" s="370" t="s">
        <v>1833</v>
      </c>
      <c r="C3" s="370" t="s">
        <v>356</v>
      </c>
      <c r="D3" s="370" t="s">
        <v>1991</v>
      </c>
      <c r="E3" s="370" t="s">
        <v>1992</v>
      </c>
      <c r="F3" s="370" t="s">
        <v>836</v>
      </c>
      <c r="G3" s="370"/>
      <c r="H3" s="370"/>
    </row>
    <row r="4" ht="15.75" customHeight="1">
      <c r="A4" s="225" t="s">
        <v>2175</v>
      </c>
      <c r="B4" s="225">
        <f>SUM(raw_marketing!$H$2:$H1000)</f>
        <v>103</v>
      </c>
      <c r="C4" s="225">
        <f>SUM(raw_marketing!$H$2:$H1000)</f>
        <v>103</v>
      </c>
      <c r="D4" s="225" t="s">
        <v>2189</v>
      </c>
      <c r="E4" s="225" t="s">
        <v>2190</v>
      </c>
      <c r="F4" s="225" t="s">
        <v>117</v>
      </c>
      <c r="G4" s="225"/>
      <c r="H4" s="225"/>
    </row>
    <row r="5" ht="15.75" customHeight="1">
      <c r="A5" s="225" t="s">
        <v>2191</v>
      </c>
      <c r="B5" s="228">
        <f>SUM(raw_marketing!$E$2:$E1000)</f>
        <v>240000</v>
      </c>
      <c r="C5" s="225">
        <f>calc_engine!B137</f>
        <v>240000</v>
      </c>
      <c r="D5" s="225" t="s">
        <v>2018</v>
      </c>
      <c r="E5" s="225" t="s">
        <v>2193</v>
      </c>
      <c r="F5" s="225" t="s">
        <v>2194</v>
      </c>
      <c r="G5" s="225"/>
      <c r="H5" s="225"/>
    </row>
    <row r="6" ht="15.75" customHeight="1">
      <c r="A6" s="225" t="s">
        <v>2195</v>
      </c>
      <c r="B6" s="225">
        <f>calc_engine!B137/MAX(SUM(raw_marketing!$H$2:$H1000), 1)</f>
        <v>2330.097087</v>
      </c>
      <c r="C6" s="225">
        <f>calc_engine!B36</f>
        <v>2330.097087</v>
      </c>
      <c r="D6" s="225" t="s">
        <v>2018</v>
      </c>
      <c r="E6" s="225" t="s">
        <v>2211</v>
      </c>
      <c r="F6" s="225" t="str">
        <f>IF(C6&lt;=7000, "🟢 ЭФФЕКТИВНО", "⚠️ ДОРОГОЙ ЛИД")</f>
        <v>🟢 ЭФФЕКТИВНО</v>
      </c>
      <c r="G6" s="225"/>
      <c r="H6" s="225"/>
    </row>
    <row r="7" ht="15.75" customHeight="1">
      <c r="A7" s="225" t="s">
        <v>2222</v>
      </c>
      <c r="B7" s="225">
        <f>calc_engine!B137/MAX(calc_engine!B22, 1)</f>
        <v>120000</v>
      </c>
      <c r="C7" s="225">
        <f>calc_engine!B37</f>
        <v>120000</v>
      </c>
      <c r="D7" s="225" t="s">
        <v>2018</v>
      </c>
      <c r="E7" s="225" t="s">
        <v>2230</v>
      </c>
      <c r="F7" s="225" t="str">
        <f>IF(C7&lt;=150000, "🟢 В НОРМЕ", "⚠️ ВЫСОКИЙ CAC")</f>
        <v>🟢 В НОРМЕ</v>
      </c>
      <c r="G7" s="225"/>
      <c r="H7" s="225"/>
    </row>
    <row r="8" ht="15.75" customHeight="1">
      <c r="A8" s="225" t="s">
        <v>2231</v>
      </c>
      <c r="B8" s="225">
        <f>(calc_engine!E137-calc_engine!B137)/MAX(calc_engine!B137, 1)</f>
        <v>5.875</v>
      </c>
      <c r="C8" s="225">
        <f>calc_engine!H137</f>
        <v>5.875</v>
      </c>
      <c r="D8" s="225" t="s">
        <v>2033</v>
      </c>
      <c r="E8" s="225" t="s">
        <v>2234</v>
      </c>
      <c r="F8" s="225" t="str">
        <f>IF(C8&gt;=3, "🚀 СВЕРХ-ОТДАЧА", "🟢 ОКУПАЕТСЯ")</f>
        <v>🚀 СВЕРХ-ОТДАЧА</v>
      </c>
      <c r="G8" s="225"/>
      <c r="H8" s="225"/>
    </row>
    <row r="9" ht="15.75" customHeight="1">
      <c r="A9" s="225"/>
      <c r="B9" s="225"/>
      <c r="C9" s="225"/>
      <c r="D9" s="225"/>
      <c r="E9" s="225"/>
      <c r="F9" s="225"/>
      <c r="G9" s="225"/>
      <c r="H9" s="225"/>
    </row>
    <row r="10" ht="15.75" customHeight="1">
      <c r="A10" s="225" t="s">
        <v>2236</v>
      </c>
      <c r="B10" s="225" t="s">
        <v>2237</v>
      </c>
      <c r="C10" s="225" t="s">
        <v>2238</v>
      </c>
      <c r="D10" s="225" t="s">
        <v>2239</v>
      </c>
      <c r="E10" s="225" t="s">
        <v>2240</v>
      </c>
      <c r="F10" s="225" t="s">
        <v>2241</v>
      </c>
      <c r="G10" s="225" t="s">
        <v>782</v>
      </c>
      <c r="H10" s="225" t="s">
        <v>771</v>
      </c>
    </row>
    <row r="11" ht="15.75" customHeight="1">
      <c r="A11" s="225" t="s">
        <v>487</v>
      </c>
      <c r="B11" s="225">
        <f>calc_engine!B132</f>
        <v>120000</v>
      </c>
      <c r="C11" s="225">
        <f>calc_engine!C132</f>
        <v>0</v>
      </c>
      <c r="D11" s="225">
        <f>calc_engine!D132</f>
        <v>0</v>
      </c>
      <c r="E11" s="225">
        <f>calc_engine!E132</f>
        <v>495000</v>
      </c>
      <c r="F11" s="225">
        <f>calc_engine!F132</f>
        <v>-1</v>
      </c>
      <c r="G11" s="225">
        <f>calc_engine!G132</f>
        <v>-1</v>
      </c>
      <c r="H11" s="225">
        <f>calc_engine!H132</f>
        <v>3.125</v>
      </c>
    </row>
    <row r="12" ht="15.75" customHeight="1">
      <c r="A12" s="225" t="s">
        <v>570</v>
      </c>
      <c r="B12" s="225">
        <f>calc_engine!B133</f>
        <v>35000</v>
      </c>
      <c r="C12" s="225">
        <f>calc_engine!C133</f>
        <v>1200000</v>
      </c>
      <c r="D12" s="225">
        <f>calc_engine!D133</f>
        <v>1200000</v>
      </c>
      <c r="E12" s="225">
        <f>calc_engine!E133</f>
        <v>840000</v>
      </c>
      <c r="F12" s="225">
        <f>calc_engine!F133</f>
        <v>33.28571429</v>
      </c>
      <c r="G12" s="225">
        <f>calc_engine!G133</f>
        <v>33.28571429</v>
      </c>
      <c r="H12" s="225">
        <f>calc_engine!H133</f>
        <v>23</v>
      </c>
    </row>
    <row r="13" ht="15.75" customHeight="1">
      <c r="A13" s="225" t="s">
        <v>539</v>
      </c>
      <c r="B13" s="225">
        <f>calc_engine!B134</f>
        <v>85000</v>
      </c>
      <c r="C13" s="225">
        <f>calc_engine!C134</f>
        <v>0</v>
      </c>
      <c r="D13" s="225">
        <f>calc_engine!D134</f>
        <v>450000</v>
      </c>
      <c r="E13" s="225">
        <f>calc_engine!E134</f>
        <v>135000</v>
      </c>
      <c r="F13" s="225">
        <f>calc_engine!F134</f>
        <v>-1</v>
      </c>
      <c r="G13" s="225">
        <f>calc_engine!G134</f>
        <v>4.294117647</v>
      </c>
      <c r="H13" s="225">
        <f>calc_engine!H134</f>
        <v>0.5882352941</v>
      </c>
    </row>
    <row r="14" ht="15.75" customHeight="1">
      <c r="A14" s="225" t="s">
        <v>453</v>
      </c>
      <c r="B14" s="225">
        <f>calc_engine!B135</f>
        <v>0</v>
      </c>
      <c r="C14" s="225">
        <f>calc_engine!C135</f>
        <v>450000</v>
      </c>
      <c r="D14" s="225">
        <f>calc_engine!D135</f>
        <v>0</v>
      </c>
      <c r="E14" s="225">
        <f>calc_engine!E135</f>
        <v>135000</v>
      </c>
      <c r="F14" s="225">
        <f>calc_engine!F135</f>
        <v>0</v>
      </c>
      <c r="G14" s="225">
        <f>calc_engine!G135</f>
        <v>0</v>
      </c>
      <c r="H14" s="225">
        <f>calc_engine!H135</f>
        <v>0</v>
      </c>
    </row>
    <row r="15" ht="15.75" customHeight="1">
      <c r="A15" s="225" t="s">
        <v>518</v>
      </c>
      <c r="B15" s="225">
        <f>calc_engine!B136</f>
        <v>0</v>
      </c>
      <c r="C15" s="225">
        <f>calc_engine!C136</f>
        <v>0</v>
      </c>
      <c r="D15" s="225">
        <f>calc_engine!D136</f>
        <v>0</v>
      </c>
      <c r="E15" s="225">
        <f>calc_engine!E136</f>
        <v>45000</v>
      </c>
      <c r="F15" s="225">
        <f>calc_engine!F136</f>
        <v>0</v>
      </c>
      <c r="G15" s="225">
        <f>calc_engine!G136</f>
        <v>0</v>
      </c>
      <c r="H15" s="225">
        <f>calc_engine!H136</f>
        <v>0</v>
      </c>
    </row>
    <row r="16" ht="15.75" customHeight="1">
      <c r="A16" s="225" t="s">
        <v>2284</v>
      </c>
      <c r="B16" s="225">
        <f>calc_engine!B137</f>
        <v>240000</v>
      </c>
      <c r="C16" s="225">
        <f>calc_engine!C137</f>
        <v>1650000</v>
      </c>
      <c r="D16" s="225">
        <f>calc_engine!D137</f>
        <v>1650000</v>
      </c>
      <c r="E16" s="225">
        <f>calc_engine!E137</f>
        <v>1650000</v>
      </c>
      <c r="F16" s="225">
        <f>calc_engine!F137</f>
        <v>5.875</v>
      </c>
      <c r="G16" s="225">
        <f>calc_engine!G137</f>
        <v>5.875</v>
      </c>
      <c r="H16" s="225">
        <f>calc_engine!H137</f>
        <v>5.875</v>
      </c>
    </row>
    <row r="17" ht="15.75" customHeight="1">
      <c r="A17" s="225"/>
      <c r="B17" s="225"/>
      <c r="C17" s="225"/>
      <c r="D17" s="225"/>
      <c r="E17" s="225"/>
      <c r="F17" s="225"/>
      <c r="G17" s="225"/>
      <c r="H17" s="225"/>
    </row>
    <row r="18" ht="15.75" customHeight="1">
      <c r="A18" s="225"/>
      <c r="B18" s="225"/>
      <c r="C18" s="225"/>
      <c r="D18" s="225"/>
      <c r="E18" s="225"/>
      <c r="F18" s="225"/>
      <c r="G18" s="225"/>
      <c r="H18" s="225"/>
    </row>
    <row r="19" ht="15.75" customHeight="1">
      <c r="A19" s="225"/>
      <c r="B19" s="225"/>
      <c r="C19" s="225"/>
      <c r="D19" s="225"/>
      <c r="E19" s="225"/>
      <c r="F19" s="225"/>
      <c r="G19" s="225"/>
      <c r="H19" s="225"/>
    </row>
    <row r="20" ht="15.75" customHeight="1">
      <c r="A20" s="225"/>
      <c r="B20" s="225"/>
      <c r="C20" s="225"/>
      <c r="D20" s="225"/>
      <c r="E20" s="225"/>
      <c r="F20" s="225"/>
      <c r="G20" s="225"/>
      <c r="H20" s="2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📄 1. One-Pager" location="null!A1" ref="A2"/>
    <hyperlink display="⚡ 2. Пульс компании" location="null!A1" ref="B2"/>
    <hyperlink display="📋 3. Пульт РОПа" location="null!A1" ref="C2"/>
    <hyperlink display="💸 4. 7 Грехов ОП" location="null!A1" ref="D2"/>
    <hyperlink display="🎯 5. Action Center" location="null!A1" ref="E2"/>
    <hyperlink display="🎙️ 6. ИИ-Аудит" location="null!A1" ref="F2"/>
    <hyperlink display="⚡ 7. Экспресс 3 цифры" location="null!A1" ref="G2"/>
    <hyperlink display="🧪 8. QA Suite" location="null!A1" ref="H2"/>
    <hyperlink display="⚙️ 9. Настройки" location="null!A1" ref="I2"/>
  </hyperlin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8C59"/>
    <outlinePr summaryBelow="0" summaryRight="0"/>
  </sheetPr>
  <sheetViews>
    <sheetView workbookViewId="0"/>
  </sheetViews>
  <sheetFormatPr customHeight="1" defaultColWidth="12.63" defaultRowHeight="15.0"/>
  <cols>
    <col customWidth="1" min="1" max="1" width="85.5"/>
    <col customWidth="1" min="2" max="2" width="15.75"/>
    <col customWidth="1" min="3" max="4" width="14.5"/>
    <col customWidth="1" min="5" max="5" width="14.63"/>
    <col customWidth="1" min="6" max="6" width="19.38"/>
  </cols>
  <sheetData>
    <row r="1" ht="15.75" customHeight="1">
      <c r="A1" s="381" t="s">
        <v>2299</v>
      </c>
      <c r="B1" s="381"/>
      <c r="C1" s="381"/>
      <c r="D1" s="381"/>
      <c r="E1" s="381"/>
      <c r="F1" s="381"/>
      <c r="G1" s="381"/>
      <c r="H1" s="381"/>
    </row>
    <row r="2" ht="22.5" customHeight="1">
      <c r="A2" s="14" t="s">
        <v>813</v>
      </c>
      <c r="B2" s="36" t="s">
        <v>814</v>
      </c>
      <c r="C2" s="14" t="s">
        <v>815</v>
      </c>
      <c r="D2" s="14" t="s">
        <v>816</v>
      </c>
      <c r="E2" s="14" t="s">
        <v>817</v>
      </c>
      <c r="F2" s="14" t="s">
        <v>818</v>
      </c>
      <c r="G2" s="14" t="s">
        <v>819</v>
      </c>
      <c r="H2" s="14" t="s">
        <v>820</v>
      </c>
      <c r="I2" s="14" t="s">
        <v>821</v>
      </c>
    </row>
    <row r="3" ht="15.75" customHeight="1">
      <c r="A3" s="370" t="s">
        <v>1192</v>
      </c>
      <c r="B3" s="370" t="s">
        <v>1833</v>
      </c>
      <c r="C3" s="370" t="s">
        <v>356</v>
      </c>
      <c r="D3" s="370" t="s">
        <v>1991</v>
      </c>
      <c r="E3" s="370" t="s">
        <v>1992</v>
      </c>
      <c r="F3" s="370" t="s">
        <v>836</v>
      </c>
      <c r="G3" s="370"/>
      <c r="H3" s="370"/>
    </row>
    <row r="4" ht="15.75" customHeight="1">
      <c r="A4" s="225" t="s">
        <v>2302</v>
      </c>
      <c r="B4" s="225">
        <f>SUMIF(raw_deals!$D$2:$D1000, 6, raw_deals!$C$2:$C1000)</f>
        <v>1650000</v>
      </c>
      <c r="C4" s="225">
        <f>calc_engine!B19</f>
        <v>1650000</v>
      </c>
      <c r="D4" s="225" t="s">
        <v>2018</v>
      </c>
      <c r="E4" s="228">
        <f> '⚙️ Настройки'!$B$9</f>
        <v>5000000</v>
      </c>
      <c r="F4" s="225" t="str">
        <f>IF(C4&gt;='⚙️ Настройки'!$B$9, "🟢 ПЛАН ВЫПОЛНЕН", "🟡 В ПРОЦЕССЕ")</f>
        <v>🟡 В ПРОЦЕССЕ</v>
      </c>
      <c r="G4" s="225"/>
      <c r="H4" s="225"/>
    </row>
    <row r="5" ht="15.75" customHeight="1">
      <c r="A5" s="225" t="s">
        <v>2335</v>
      </c>
      <c r="B5" s="228">
        <f>SUM(raw_invoices!$G$2:$G1000)</f>
        <v>6055000</v>
      </c>
      <c r="C5" s="228">
        <f>SUM(raw_invoices!$G$2:$G$1000)</f>
        <v>6055000</v>
      </c>
      <c r="D5" s="225" t="s">
        <v>2018</v>
      </c>
      <c r="E5" s="225" t="s">
        <v>2337</v>
      </c>
      <c r="F5" s="225" t="s">
        <v>117</v>
      </c>
      <c r="G5" s="225"/>
      <c r="H5" s="225"/>
    </row>
    <row r="6" ht="15.75" customHeight="1">
      <c r="A6" s="225" t="s">
        <v>2338</v>
      </c>
      <c r="B6" s="228">
        <f>(calc_engine!B145+calc_engine!B146)</f>
        <v>330000</v>
      </c>
      <c r="C6" s="228">
        <f>calc_engine!B145+calc_engine!B146</f>
        <v>330000</v>
      </c>
      <c r="D6" s="225" t="s">
        <v>2018</v>
      </c>
      <c r="E6" s="225" t="s">
        <v>2352</v>
      </c>
      <c r="F6" s="225" t="str">
        <f>IF(C6&lt;=500000, "🟢 В НОРМЕ", "⚠️ ВЫСОКИЙ ДОЛГ")</f>
        <v>🟢 В НОРМЕ</v>
      </c>
      <c r="G6" s="225"/>
      <c r="H6" s="225"/>
    </row>
    <row r="7" ht="15.75" customHeight="1">
      <c r="A7" s="225" t="s">
        <v>2378</v>
      </c>
      <c r="B7" s="225">
        <f>SUMIFS(raw_invoices!$G$2:$G1000, raw_invoices!$H$2:$H1000, "overdue")</f>
        <v>330000</v>
      </c>
      <c r="C7" s="228">
        <f>calc_engine!B146</f>
        <v>330000</v>
      </c>
      <c r="D7" s="225" t="s">
        <v>2018</v>
      </c>
      <c r="E7" s="225" t="s">
        <v>40</v>
      </c>
      <c r="F7" s="225" t="str">
        <f>IF(C7=0, "🟢 НЕТ ПРОСРОЧКИ", "⚠️ ЕСТЬ ПРОСРОЧКА")</f>
        <v>⚠️ ЕСТЬ ПРОСРОЧКА</v>
      </c>
      <c r="G7" s="225"/>
      <c r="H7" s="225"/>
    </row>
    <row r="8" ht="15.75" customHeight="1">
      <c r="A8" s="225" t="s">
        <v>2383</v>
      </c>
      <c r="B8" s="225">
        <f>calc_engine!B147/MAX(calc_engine!B146+calc_engine!B147, 1)</f>
        <v>0.9250851305</v>
      </c>
      <c r="C8" s="225">
        <f>B8</f>
        <v>0.9250851305</v>
      </c>
      <c r="D8" s="225" t="s">
        <v>2033</v>
      </c>
      <c r="E8" s="225" t="s">
        <v>2385</v>
      </c>
      <c r="F8" s="225" t="str">
        <f>IF(C8&lt;=0.2, "🟢 БЕЗОПАСНО", "🔴 ОПАСНЫЙ УРОВЕНЬ")</f>
        <v>🔴 ОПАСНЫЙ УРОВЕНЬ</v>
      </c>
      <c r="G8" s="225"/>
      <c r="H8" s="225"/>
    </row>
    <row r="9" ht="15.75" customHeight="1">
      <c r="A9" s="225" t="s">
        <v>2386</v>
      </c>
      <c r="B9" s="225">
        <f>IFERROR((calc_engine!B145+calc_engine!B146)/MAX(calc_engine!B144,1)*30, 14)</f>
        <v>6</v>
      </c>
      <c r="C9" s="225">
        <f>calc_engine!B27</f>
        <v>225000</v>
      </c>
      <c r="D9" s="225" t="s">
        <v>2078</v>
      </c>
      <c r="E9" s="225" t="s">
        <v>2402</v>
      </c>
      <c r="F9" s="225" t="str">
        <f>IF(C9&lt;=20, "🟢 ОПТИМАЛЬНО", "⚠️ МЕДЛЕННЫЙ ОБОРОТ")</f>
        <v>⚠️ МЕДЛЕННЫЙ ОБОРОТ</v>
      </c>
      <c r="G9" s="225"/>
      <c r="H9" s="225"/>
    </row>
    <row r="10" ht="15.75" customHeight="1">
      <c r="A10" s="225" t="s">
        <v>2415</v>
      </c>
      <c r="B10" s="225">
        <f>calc_engine!B27*30</f>
        <v>6750000</v>
      </c>
      <c r="C10" s="225">
        <f>calc_engine!B27*30</f>
        <v>6750000</v>
      </c>
      <c r="D10" s="225" t="s">
        <v>2078</v>
      </c>
      <c r="E10" s="225" t="s">
        <v>2429</v>
      </c>
      <c r="F10" s="225" t="s">
        <v>117</v>
      </c>
      <c r="G10" s="225"/>
      <c r="H10" s="225"/>
    </row>
    <row r="11" ht="15.75" customHeight="1">
      <c r="A11" s="225" t="s">
        <v>2432</v>
      </c>
      <c r="B11" s="225">
        <f>calc_engine!B29</f>
        <v>1706896.552</v>
      </c>
      <c r="C11" s="225">
        <f>calc_engine!B29</f>
        <v>1706896.552</v>
      </c>
      <c r="D11" s="225" t="s">
        <v>2018</v>
      </c>
      <c r="E11" s="225" t="s">
        <v>2446</v>
      </c>
      <c r="F11" s="225" t="str">
        <f>IF(C11&gt;=2000000, "🟢 ВЫСОКИЙ ТЕМП", "🟡 СРЕДНИЙ")</f>
        <v>🟡 СРЕДНИЙ</v>
      </c>
      <c r="G11" s="225"/>
      <c r="H11" s="225"/>
    </row>
    <row r="12" ht="15.75" customHeight="1">
      <c r="A12" s="225" t="s">
        <v>2467</v>
      </c>
      <c r="B12" s="225">
        <f>calc_engine!B30</f>
        <v>4404000</v>
      </c>
      <c r="C12" s="225">
        <f>calc_engine!B30</f>
        <v>4404000</v>
      </c>
      <c r="D12" s="225" t="s">
        <v>2018</v>
      </c>
      <c r="E12" s="225" t="s">
        <v>2482</v>
      </c>
      <c r="F12" s="225" t="s">
        <v>117</v>
      </c>
      <c r="G12" s="225"/>
      <c r="H12" s="225"/>
    </row>
    <row r="13" ht="15.75" customHeight="1">
      <c r="A13" s="225"/>
      <c r="B13" s="225"/>
      <c r="C13" s="225"/>
      <c r="D13" s="225"/>
      <c r="E13" s="225"/>
      <c r="F13" s="225"/>
      <c r="G13" s="225"/>
      <c r="H13" s="225"/>
    </row>
    <row r="14" ht="15.75" customHeight="1">
      <c r="A14" s="225"/>
      <c r="B14" s="225"/>
      <c r="C14" s="225"/>
      <c r="D14" s="225"/>
      <c r="E14" s="225"/>
      <c r="F14" s="225"/>
      <c r="G14" s="225"/>
      <c r="H14" s="225"/>
    </row>
    <row r="15" ht="15.75" customHeight="1">
      <c r="A15" s="225"/>
      <c r="B15" s="225"/>
      <c r="C15" s="225"/>
      <c r="D15" s="225"/>
      <c r="E15" s="225"/>
      <c r="F15" s="225"/>
      <c r="G15" s="225"/>
      <c r="H15" s="225"/>
    </row>
    <row r="16" ht="15.75" customHeight="1">
      <c r="A16" s="225"/>
      <c r="B16" s="225"/>
      <c r="C16" s="225"/>
      <c r="D16" s="225"/>
      <c r="E16" s="225"/>
      <c r="F16" s="225"/>
      <c r="G16" s="225"/>
      <c r="H16" s="225"/>
    </row>
    <row r="17" ht="15.75" customHeight="1">
      <c r="A17" s="225"/>
      <c r="B17" s="225"/>
      <c r="C17" s="225"/>
      <c r="D17" s="225"/>
      <c r="E17" s="225"/>
      <c r="F17" s="225"/>
      <c r="G17" s="225"/>
      <c r="H17" s="225"/>
    </row>
    <row r="18" ht="15.75" customHeight="1">
      <c r="A18" s="225"/>
      <c r="B18" s="225"/>
      <c r="C18" s="225"/>
      <c r="D18" s="225"/>
      <c r="E18" s="225"/>
      <c r="F18" s="225"/>
      <c r="G18" s="225"/>
      <c r="H18" s="225"/>
    </row>
    <row r="19" ht="15.75" customHeight="1">
      <c r="A19" s="225"/>
      <c r="B19" s="225"/>
      <c r="C19" s="225"/>
      <c r="D19" s="225"/>
      <c r="E19" s="225"/>
      <c r="F19" s="225"/>
      <c r="G19" s="225"/>
      <c r="H19" s="225"/>
    </row>
    <row r="20" ht="15.75" customHeight="1">
      <c r="A20" s="225"/>
      <c r="B20" s="225"/>
      <c r="C20" s="225"/>
      <c r="D20" s="225"/>
      <c r="E20" s="225"/>
      <c r="F20" s="225"/>
      <c r="G20" s="225"/>
      <c r="H20" s="2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📄 1. One-Pager" location="null!A1" ref="A2"/>
    <hyperlink display="⚡ 2. Пульс компании" location="null!A1" ref="B2"/>
    <hyperlink display="📋 3. Пульт РОПа" location="null!A1" ref="C2"/>
    <hyperlink display="💸 4. 7 Грехов ОП" location="null!A1" ref="D2"/>
    <hyperlink display="🎯 5. Action Center" location="null!A1" ref="E2"/>
    <hyperlink display="🎙️ 6. ИИ-Аудит" location="null!A1" ref="F2"/>
    <hyperlink display="⚡ 7. Экспресс 3 цифры" location="null!A1" ref="G2"/>
    <hyperlink display="🧪 8. QA Suite" location="null!A1" ref="H2"/>
    <hyperlink display="⚙️ 9. Настройки" location="null!A1" ref="I2"/>
  </hyperlin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F"/>
    <outlinePr summaryBelow="0" summaryRight="0"/>
  </sheetPr>
  <sheetViews>
    <sheetView workbookViewId="0"/>
  </sheetViews>
  <sheetFormatPr customHeight="1" defaultColWidth="12.63" defaultRowHeight="15.0"/>
  <cols>
    <col customWidth="1" min="1" max="1" width="106.13"/>
    <col customWidth="1" min="2" max="2" width="75.5"/>
    <col customWidth="1" min="3" max="3" width="22.5"/>
    <col customWidth="1" min="4" max="4" width="82.25"/>
    <col customWidth="1" min="5" max="5" width="13.38"/>
    <col customWidth="1" min="6" max="6" width="14.5"/>
  </cols>
  <sheetData>
    <row r="1" ht="15.75" customHeight="1">
      <c r="A1" s="382" t="s">
        <v>2300</v>
      </c>
      <c r="B1" s="382"/>
      <c r="C1" s="382"/>
      <c r="D1" s="382"/>
    </row>
    <row r="2" ht="22.5" customHeight="1">
      <c r="A2" s="14" t="s">
        <v>813</v>
      </c>
      <c r="B2" s="14" t="s">
        <v>814</v>
      </c>
      <c r="C2" s="14" t="s">
        <v>815</v>
      </c>
      <c r="D2" s="14" t="s">
        <v>816</v>
      </c>
      <c r="E2" s="14" t="s">
        <v>817</v>
      </c>
      <c r="F2" s="14" t="s">
        <v>818</v>
      </c>
      <c r="G2" s="14" t="s">
        <v>819</v>
      </c>
      <c r="H2" s="14" t="s">
        <v>820</v>
      </c>
      <c r="I2" s="14" t="s">
        <v>821</v>
      </c>
    </row>
    <row r="3" ht="15.75" customHeight="1">
      <c r="A3" s="370" t="s">
        <v>2303</v>
      </c>
      <c r="B3" s="370" t="s">
        <v>2304</v>
      </c>
      <c r="C3" s="370" t="s">
        <v>2305</v>
      </c>
      <c r="D3" s="370" t="s">
        <v>2306</v>
      </c>
    </row>
    <row r="4" ht="15.75" customHeight="1">
      <c r="A4" s="22" t="s">
        <v>2307</v>
      </c>
      <c r="B4" s="22" t="s">
        <v>2308</v>
      </c>
      <c r="C4" s="22" t="s">
        <v>2309</v>
      </c>
      <c r="D4" s="22" t="s">
        <v>2310</v>
      </c>
    </row>
    <row r="5" ht="15.75" customHeight="1">
      <c r="A5" s="22" t="s">
        <v>2311</v>
      </c>
      <c r="B5" s="22" t="s">
        <v>2312</v>
      </c>
      <c r="C5" s="22" t="s">
        <v>2313</v>
      </c>
      <c r="D5" s="22" t="s">
        <v>2314</v>
      </c>
    </row>
    <row r="6" ht="15.75" customHeight="1">
      <c r="A6" s="22" t="s">
        <v>2315</v>
      </c>
      <c r="B6" s="22" t="s">
        <v>2316</v>
      </c>
      <c r="C6" s="22" t="s">
        <v>2317</v>
      </c>
      <c r="D6" s="22" t="s">
        <v>2318</v>
      </c>
    </row>
    <row r="7" ht="15.75" customHeight="1">
      <c r="A7" s="22" t="s">
        <v>2319</v>
      </c>
      <c r="B7" s="22" t="s">
        <v>2320</v>
      </c>
      <c r="C7" s="22" t="s">
        <v>2321</v>
      </c>
      <c r="D7" s="22" t="s">
        <v>2322</v>
      </c>
    </row>
    <row r="8" ht="15.75" customHeight="1">
      <c r="A8" s="22" t="s">
        <v>2323</v>
      </c>
      <c r="B8" s="22" t="s">
        <v>2324</v>
      </c>
      <c r="C8" s="22" t="s">
        <v>2325</v>
      </c>
      <c r="D8" s="22" t="s">
        <v>2326</v>
      </c>
    </row>
    <row r="9" ht="15.75" customHeight="1">
      <c r="A9" s="22" t="s">
        <v>2327</v>
      </c>
      <c r="B9" s="22" t="s">
        <v>2328</v>
      </c>
      <c r="C9" s="22" t="s">
        <v>2329</v>
      </c>
      <c r="D9" s="22" t="s">
        <v>2330</v>
      </c>
    </row>
    <row r="10" ht="15.75" customHeight="1">
      <c r="A10" s="22" t="s">
        <v>2331</v>
      </c>
      <c r="B10" s="22" t="s">
        <v>2332</v>
      </c>
      <c r="C10" s="22" t="s">
        <v>2333</v>
      </c>
      <c r="D10" s="22" t="s">
        <v>2334</v>
      </c>
    </row>
    <row r="11" ht="15.75" customHeight="1"/>
    <row r="12" ht="15.75" customHeight="1">
      <c r="A12" s="383" t="s">
        <v>2336</v>
      </c>
      <c r="B12" s="383"/>
      <c r="C12" s="383"/>
      <c r="D12" s="383"/>
    </row>
    <row r="13" ht="15.75" customHeight="1">
      <c r="A13" s="22" t="s">
        <v>2339</v>
      </c>
      <c r="B13" s="22" t="s">
        <v>2340</v>
      </c>
    </row>
    <row r="14" ht="15.75" customHeight="1">
      <c r="A14" s="22" t="s">
        <v>2341</v>
      </c>
      <c r="B14" s="22" t="s">
        <v>2342</v>
      </c>
    </row>
    <row r="15" ht="15.75" customHeight="1">
      <c r="A15" s="22" t="s">
        <v>2343</v>
      </c>
      <c r="B15" s="22" t="s">
        <v>2344</v>
      </c>
      <c r="C15" s="22" t="s">
        <v>2345</v>
      </c>
      <c r="D15" s="22" t="s">
        <v>2346</v>
      </c>
    </row>
    <row r="16" ht="15.75" customHeight="1">
      <c r="A16" s="22" t="s">
        <v>2347</v>
      </c>
      <c r="B16" s="22" t="s">
        <v>2348</v>
      </c>
      <c r="C16" s="22" t="s">
        <v>2349</v>
      </c>
      <c r="D16" s="22" t="s">
        <v>2350</v>
      </c>
    </row>
    <row r="17" ht="15.75" customHeight="1">
      <c r="A17" s="22" t="s">
        <v>2351</v>
      </c>
      <c r="B17" s="22" t="s">
        <v>2344</v>
      </c>
      <c r="C17" s="22" t="s">
        <v>2353</v>
      </c>
      <c r="D17" s="22" t="s">
        <v>2355</v>
      </c>
    </row>
    <row r="18" ht="15.75" customHeight="1">
      <c r="A18" s="22" t="s">
        <v>2356</v>
      </c>
      <c r="B18" s="22" t="s">
        <v>2344</v>
      </c>
      <c r="C18" s="22" t="s">
        <v>2357</v>
      </c>
      <c r="D18" s="22" t="s">
        <v>2358</v>
      </c>
    </row>
    <row r="19" ht="15.75" customHeight="1">
      <c r="A19" s="22" t="s">
        <v>2359</v>
      </c>
      <c r="B19" s="22" t="s">
        <v>2360</v>
      </c>
      <c r="C19" s="22" t="s">
        <v>2361</v>
      </c>
      <c r="D19" s="22" t="s">
        <v>2362</v>
      </c>
    </row>
    <row r="20" ht="15.75" customHeight="1">
      <c r="A20" s="22" t="s">
        <v>2363</v>
      </c>
      <c r="B20" s="22" t="s">
        <v>2364</v>
      </c>
      <c r="C20" s="22" t="s">
        <v>2365</v>
      </c>
      <c r="D20" s="22" t="s">
        <v>2366</v>
      </c>
    </row>
    <row r="21" ht="15.75" customHeight="1">
      <c r="A21" s="22" t="s">
        <v>2367</v>
      </c>
      <c r="B21" s="22" t="s">
        <v>2368</v>
      </c>
      <c r="C21" s="22" t="s">
        <v>2369</v>
      </c>
      <c r="D21" s="22" t="s">
        <v>2370</v>
      </c>
    </row>
    <row r="22" ht="15.75" customHeight="1">
      <c r="A22" s="22" t="s">
        <v>2371</v>
      </c>
      <c r="B22" s="22" t="s">
        <v>2372</v>
      </c>
      <c r="C22" s="22" t="s">
        <v>2373</v>
      </c>
      <c r="D22" s="22" t="s">
        <v>2374</v>
      </c>
    </row>
    <row r="23" ht="15.75" customHeight="1">
      <c r="A23" s="22" t="s">
        <v>2375</v>
      </c>
      <c r="B23" s="22" t="s">
        <v>2344</v>
      </c>
      <c r="C23" s="22" t="s">
        <v>2376</v>
      </c>
      <c r="D23" s="22" t="s">
        <v>2377</v>
      </c>
    </row>
    <row r="24" ht="15.75" customHeight="1">
      <c r="A24" s="22" t="s">
        <v>2379</v>
      </c>
      <c r="B24" s="22" t="s">
        <v>2380</v>
      </c>
      <c r="C24" s="22" t="s">
        <v>2381</v>
      </c>
      <c r="D24" s="22" t="s">
        <v>2382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📄 1. One-Pager" location="null!A1" ref="A2"/>
    <hyperlink display="⚡ 2. Пульс компании" location="null!A1" ref="B2"/>
    <hyperlink display="📋 3. Пульт РОПа" location="null!A1" ref="C2"/>
    <hyperlink display="💸 4. 7 Грехов ОП" location="null!A1" ref="D2"/>
    <hyperlink display="🎯 5. Action Center" location="null!A1" ref="E2"/>
    <hyperlink display="🎙️ 6. ИИ-Аудит" location="null!A1" ref="F2"/>
    <hyperlink display="⚡ 7. Экспресс 3 цифры" location="null!A1" ref="G2"/>
    <hyperlink display="🧪 8. QA Suite" location="null!A1" ref="H2"/>
    <hyperlink display="⚙️ 9. Настройки" location="null!A1" ref="I2"/>
  </hyperlin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4C59"/>
    <outlinePr summaryBelow="0" summaryRight="0"/>
  </sheetPr>
  <sheetViews>
    <sheetView workbookViewId="0"/>
  </sheetViews>
  <sheetFormatPr customHeight="1" defaultColWidth="12.63" defaultRowHeight="15.0"/>
  <cols>
    <col customWidth="1" min="1" max="1" width="211.38"/>
    <col customWidth="1" min="2" max="2" width="38.38"/>
    <col customWidth="1" min="3" max="6" width="12.63"/>
  </cols>
  <sheetData>
    <row r="1" ht="15.75" customHeight="1">
      <c r="A1" s="384" t="s">
        <v>2384</v>
      </c>
      <c r="B1" s="384"/>
    </row>
    <row r="2" ht="15.75" customHeight="1">
      <c r="A2" s="22" t="s">
        <v>2388</v>
      </c>
    </row>
    <row r="3" ht="15.75" customHeight="1">
      <c r="A3" s="385" t="s">
        <v>2389</v>
      </c>
    </row>
    <row r="4" ht="15.75" customHeight="1">
      <c r="A4" s="385" t="s">
        <v>2388</v>
      </c>
    </row>
    <row r="5" ht="15.75" customHeight="1">
      <c r="A5" s="385" t="s">
        <v>2390</v>
      </c>
    </row>
    <row r="6" ht="15.75" customHeight="1">
      <c r="A6" s="385" t="s">
        <v>2391</v>
      </c>
    </row>
    <row r="7" ht="15.75" customHeight="1">
      <c r="A7" s="385" t="s">
        <v>2392</v>
      </c>
    </row>
    <row r="8" ht="15.75" customHeight="1">
      <c r="A8" s="385" t="s">
        <v>2393</v>
      </c>
    </row>
    <row r="9" ht="15.75" customHeight="1">
      <c r="A9" s="385" t="s">
        <v>2394</v>
      </c>
    </row>
    <row r="10" ht="15.75" customHeight="1">
      <c r="A10" s="385" t="s">
        <v>2395</v>
      </c>
    </row>
    <row r="11" ht="15.75" customHeight="1">
      <c r="A11" s="385" t="s">
        <v>2396</v>
      </c>
    </row>
    <row r="12" ht="15.75" customHeight="1">
      <c r="A12" s="385" t="s">
        <v>2397</v>
      </c>
    </row>
    <row r="13" ht="15.75" customHeight="1">
      <c r="A13" s="385" t="s">
        <v>2398</v>
      </c>
    </row>
    <row r="14" ht="15.75" customHeight="1">
      <c r="A14" s="385" t="s">
        <v>2399</v>
      </c>
    </row>
    <row r="15" ht="15.75" customHeight="1">
      <c r="A15" s="385" t="s">
        <v>2400</v>
      </c>
    </row>
    <row r="16" ht="15.75" customHeight="1">
      <c r="A16" s="385" t="s">
        <v>2401</v>
      </c>
    </row>
    <row r="17" ht="15.75" customHeight="1">
      <c r="A17" s="385" t="s">
        <v>2403</v>
      </c>
    </row>
    <row r="18" ht="15.75" customHeight="1">
      <c r="A18" s="385" t="s">
        <v>2404</v>
      </c>
    </row>
    <row r="19" ht="15.75" customHeight="1">
      <c r="A19" s="385" t="s">
        <v>2405</v>
      </c>
    </row>
    <row r="20" ht="15.75" customHeight="1">
      <c r="A20" s="385" t="s">
        <v>2406</v>
      </c>
    </row>
    <row r="21" ht="15.75" customHeight="1">
      <c r="A21" s="385" t="s">
        <v>2407</v>
      </c>
    </row>
    <row r="22" ht="15.75" customHeight="1">
      <c r="A22" s="385" t="s">
        <v>2408</v>
      </c>
    </row>
    <row r="23" ht="15.75" customHeight="1">
      <c r="A23" s="385" t="s">
        <v>2409</v>
      </c>
    </row>
    <row r="24" ht="15.75" customHeight="1">
      <c r="A24" s="385" t="s">
        <v>2410</v>
      </c>
    </row>
    <row r="25" ht="15.75" customHeight="1">
      <c r="A25" s="385" t="s">
        <v>2393</v>
      </c>
    </row>
    <row r="26" ht="15.75" customHeight="1">
      <c r="A26" s="385" t="s">
        <v>2411</v>
      </c>
    </row>
    <row r="27" ht="15.75" customHeight="1">
      <c r="A27" s="385" t="s">
        <v>2412</v>
      </c>
    </row>
    <row r="28" ht="15.75" customHeight="1">
      <c r="A28" s="385" t="s">
        <v>21</v>
      </c>
    </row>
    <row r="29" ht="15.75" customHeight="1">
      <c r="A29" s="385" t="s">
        <v>2413</v>
      </c>
    </row>
    <row r="30" ht="15.75" customHeight="1">
      <c r="A30" s="385" t="s">
        <v>2414</v>
      </c>
    </row>
    <row r="31" ht="15.75" customHeight="1">
      <c r="A31" s="385" t="s">
        <v>2416</v>
      </c>
    </row>
    <row r="32" ht="15.75" customHeight="1">
      <c r="A32" s="385" t="s">
        <v>2417</v>
      </c>
    </row>
    <row r="33" ht="15.75" customHeight="1">
      <c r="A33" s="385" t="s">
        <v>2418</v>
      </c>
    </row>
    <row r="34" ht="15.75" customHeight="1">
      <c r="A34" s="385" t="s">
        <v>21</v>
      </c>
    </row>
    <row r="35" ht="15.75" customHeight="1">
      <c r="A35" s="385" t="s">
        <v>2419</v>
      </c>
    </row>
    <row r="36" ht="15.75" customHeight="1">
      <c r="A36" s="385" t="s">
        <v>2420</v>
      </c>
    </row>
    <row r="37" ht="15.75" customHeight="1">
      <c r="A37" s="385" t="s">
        <v>2421</v>
      </c>
    </row>
    <row r="38" ht="15.75" customHeight="1">
      <c r="A38" s="385" t="s">
        <v>2422</v>
      </c>
    </row>
    <row r="39" ht="15.75" customHeight="1">
      <c r="A39" s="385" t="s">
        <v>2423</v>
      </c>
    </row>
    <row r="40" ht="15.75" customHeight="1">
      <c r="A40" s="385" t="s">
        <v>2424</v>
      </c>
    </row>
    <row r="41" ht="15.75" customHeight="1">
      <c r="A41" s="385" t="s">
        <v>2425</v>
      </c>
    </row>
    <row r="42" ht="15.75" customHeight="1">
      <c r="A42" s="385" t="s">
        <v>2426</v>
      </c>
    </row>
    <row r="43" ht="15.75" customHeight="1">
      <c r="A43" s="385" t="s">
        <v>2427</v>
      </c>
    </row>
    <row r="44" ht="15.75" customHeight="1">
      <c r="A44" s="385" t="s">
        <v>2428</v>
      </c>
    </row>
    <row r="45" ht="15.75" customHeight="1">
      <c r="A45" s="385" t="s">
        <v>2430</v>
      </c>
    </row>
    <row r="46" ht="15.75" customHeight="1">
      <c r="A46" s="385" t="s">
        <v>2431</v>
      </c>
    </row>
    <row r="47" ht="15.75" customHeight="1">
      <c r="A47" s="385" t="s">
        <v>2433</v>
      </c>
    </row>
    <row r="48" ht="15.75" customHeight="1">
      <c r="A48" s="385" t="s">
        <v>2434</v>
      </c>
    </row>
    <row r="49" ht="15.75" customHeight="1">
      <c r="A49" s="385" t="s">
        <v>2435</v>
      </c>
    </row>
    <row r="50" ht="15.75" customHeight="1">
      <c r="A50" s="385" t="s">
        <v>2436</v>
      </c>
    </row>
    <row r="51" ht="15.75" customHeight="1">
      <c r="A51" s="385" t="s">
        <v>2437</v>
      </c>
    </row>
    <row r="52" ht="15.75" customHeight="1">
      <c r="A52" s="385" t="s">
        <v>2438</v>
      </c>
    </row>
    <row r="53" ht="15.75" customHeight="1">
      <c r="A53" s="385" t="s">
        <v>21</v>
      </c>
    </row>
    <row r="54" ht="15.75" customHeight="1">
      <c r="A54" s="385" t="s">
        <v>2439</v>
      </c>
    </row>
    <row r="55" ht="15.75" customHeight="1">
      <c r="A55" s="385" t="s">
        <v>2440</v>
      </c>
    </row>
    <row r="56" ht="15.75" customHeight="1">
      <c r="A56" s="385" t="s">
        <v>2441</v>
      </c>
    </row>
    <row r="57" ht="15.75" customHeight="1">
      <c r="A57" s="385" t="s">
        <v>2442</v>
      </c>
    </row>
    <row r="58" ht="15.75" customHeight="1">
      <c r="A58" s="385" t="s">
        <v>2443</v>
      </c>
    </row>
    <row r="59" ht="15.75" customHeight="1">
      <c r="A59" s="385" t="s">
        <v>2444</v>
      </c>
    </row>
    <row r="60" ht="15.75" customHeight="1">
      <c r="A60" s="385" t="s">
        <v>2445</v>
      </c>
    </row>
    <row r="61" ht="15.75" customHeight="1">
      <c r="A61" s="385" t="s">
        <v>2447</v>
      </c>
    </row>
    <row r="62" ht="15.75" customHeight="1">
      <c r="A62" s="385" t="s">
        <v>2438</v>
      </c>
    </row>
    <row r="63" ht="15.75" customHeight="1">
      <c r="A63" s="385" t="s">
        <v>21</v>
      </c>
    </row>
    <row r="64" ht="15.75" customHeight="1">
      <c r="A64" s="385" t="s">
        <v>2448</v>
      </c>
    </row>
    <row r="65" ht="15.75" customHeight="1">
      <c r="A65" s="385" t="s">
        <v>2449</v>
      </c>
    </row>
    <row r="66" ht="15.75" customHeight="1">
      <c r="A66" s="385" t="s">
        <v>2450</v>
      </c>
    </row>
    <row r="67" ht="15.75" customHeight="1">
      <c r="A67" s="385" t="s">
        <v>2451</v>
      </c>
    </row>
    <row r="68" ht="15.75" customHeight="1">
      <c r="A68" s="385" t="s">
        <v>2452</v>
      </c>
    </row>
    <row r="69" ht="15.75" customHeight="1">
      <c r="A69" s="385" t="s">
        <v>2453</v>
      </c>
    </row>
    <row r="70" ht="15.75" customHeight="1">
      <c r="A70" s="385" t="s">
        <v>21</v>
      </c>
    </row>
    <row r="71" ht="15.75" customHeight="1">
      <c r="A71" s="385" t="s">
        <v>2384</v>
      </c>
    </row>
    <row r="72" ht="15.75" customHeight="1">
      <c r="A72" s="385" t="s">
        <v>2454</v>
      </c>
    </row>
    <row r="73" ht="15.75" customHeight="1">
      <c r="A73" s="385" t="s">
        <v>2412</v>
      </c>
    </row>
    <row r="74" ht="15.75" customHeight="1">
      <c r="A74" s="385" t="s">
        <v>2455</v>
      </c>
    </row>
    <row r="75" ht="15.75" customHeight="1">
      <c r="A75" s="385" t="s">
        <v>2456</v>
      </c>
    </row>
    <row r="76" ht="15.75" customHeight="1">
      <c r="A76" s="385" t="s">
        <v>2457</v>
      </c>
    </row>
    <row r="77" ht="15.75" customHeight="1">
      <c r="A77" s="385" t="s">
        <v>2458</v>
      </c>
    </row>
    <row r="78" ht="15.75" customHeight="1">
      <c r="A78" s="385" t="s">
        <v>2459</v>
      </c>
    </row>
    <row r="79" ht="15.75" customHeight="1">
      <c r="A79" s="385" t="s">
        <v>2460</v>
      </c>
    </row>
    <row r="80" ht="15.75" customHeight="1">
      <c r="A80" s="385" t="s">
        <v>2461</v>
      </c>
    </row>
    <row r="81" ht="15.75" customHeight="1">
      <c r="A81" s="385" t="s">
        <v>2462</v>
      </c>
    </row>
    <row r="82" ht="15.75" customHeight="1">
      <c r="A82" s="385" t="s">
        <v>2463</v>
      </c>
    </row>
    <row r="83" ht="15.75" customHeight="1">
      <c r="A83" s="385" t="s">
        <v>2464</v>
      </c>
    </row>
    <row r="84" ht="15.75" customHeight="1">
      <c r="A84" s="385" t="s">
        <v>2465</v>
      </c>
    </row>
    <row r="85" ht="15.75" customHeight="1">
      <c r="A85" s="385" t="s">
        <v>21</v>
      </c>
    </row>
    <row r="86" ht="15.75" customHeight="1">
      <c r="A86" s="385" t="s">
        <v>2466</v>
      </c>
    </row>
    <row r="87" ht="15.75" customHeight="1">
      <c r="A87" s="385" t="s">
        <v>2468</v>
      </c>
    </row>
    <row r="88" ht="15.75" customHeight="1">
      <c r="A88" s="385" t="s">
        <v>2469</v>
      </c>
    </row>
    <row r="89" ht="15.75" customHeight="1">
      <c r="A89" s="385" t="s">
        <v>2470</v>
      </c>
    </row>
    <row r="90" ht="15.75" customHeight="1">
      <c r="A90" s="385" t="s">
        <v>2471</v>
      </c>
    </row>
    <row r="91" ht="15.75" customHeight="1">
      <c r="A91" s="385" t="s">
        <v>2472</v>
      </c>
    </row>
    <row r="92" ht="15.75" customHeight="1">
      <c r="A92" s="385" t="s">
        <v>2473</v>
      </c>
    </row>
    <row r="93" ht="15.75" customHeight="1">
      <c r="A93" s="385" t="s">
        <v>2474</v>
      </c>
    </row>
    <row r="94" ht="15.75" customHeight="1">
      <c r="A94" s="385" t="s">
        <v>2475</v>
      </c>
    </row>
    <row r="95" ht="15.75" customHeight="1">
      <c r="A95" s="385" t="s">
        <v>2476</v>
      </c>
    </row>
    <row r="96" ht="15.75" customHeight="1">
      <c r="A96" s="385" t="s">
        <v>2477</v>
      </c>
    </row>
    <row r="97" ht="15.75" customHeight="1">
      <c r="A97" s="385" t="s">
        <v>2465</v>
      </c>
    </row>
    <row r="98" ht="15.75" customHeight="1">
      <c r="A98" s="385" t="s">
        <v>2478</v>
      </c>
    </row>
    <row r="99" ht="15.75" customHeight="1">
      <c r="A99" s="385" t="s">
        <v>2479</v>
      </c>
    </row>
    <row r="100" ht="15.75" customHeight="1">
      <c r="A100" s="385" t="s">
        <v>21</v>
      </c>
    </row>
    <row r="101" ht="15.75" customHeight="1">
      <c r="A101" s="385" t="s">
        <v>2384</v>
      </c>
    </row>
    <row r="102" ht="15.75" customHeight="1">
      <c r="A102" s="385" t="s">
        <v>2480</v>
      </c>
    </row>
    <row r="103" ht="15.75" customHeight="1">
      <c r="A103" s="385" t="s">
        <v>2481</v>
      </c>
    </row>
    <row r="104" ht="15.75" customHeight="1">
      <c r="A104" s="385" t="s">
        <v>2412</v>
      </c>
    </row>
    <row r="105" ht="15.75" customHeight="1">
      <c r="A105" s="385" t="s">
        <v>2483</v>
      </c>
    </row>
    <row r="106" ht="15.75" customHeight="1">
      <c r="A106" s="385" t="s">
        <v>2484</v>
      </c>
    </row>
    <row r="107" ht="15.75" customHeight="1">
      <c r="A107" s="385" t="s">
        <v>2485</v>
      </c>
    </row>
    <row r="108" ht="15.75" customHeight="1">
      <c r="A108" s="385" t="s">
        <v>2486</v>
      </c>
    </row>
    <row r="109" ht="15.75" customHeight="1">
      <c r="A109" s="385" t="s">
        <v>2487</v>
      </c>
    </row>
    <row r="110" ht="15.75" customHeight="1">
      <c r="A110" s="385" t="s">
        <v>2460</v>
      </c>
    </row>
    <row r="111" ht="15.75" customHeight="1">
      <c r="A111" s="385" t="s">
        <v>2488</v>
      </c>
    </row>
    <row r="112" ht="15.75" customHeight="1">
      <c r="A112" s="385" t="s">
        <v>2489</v>
      </c>
    </row>
    <row r="113" ht="15.75" customHeight="1">
      <c r="A113" s="385" t="s">
        <v>2465</v>
      </c>
    </row>
    <row r="114" ht="15.75" customHeight="1">
      <c r="A114" s="385" t="s">
        <v>21</v>
      </c>
    </row>
    <row r="115" ht="15.75" customHeight="1">
      <c r="A115" s="385" t="s">
        <v>2490</v>
      </c>
    </row>
    <row r="116" ht="15.75" customHeight="1">
      <c r="A116" s="385" t="s">
        <v>2491</v>
      </c>
    </row>
    <row r="117" ht="15.75" customHeight="1">
      <c r="A117" s="385" t="s">
        <v>2492</v>
      </c>
    </row>
    <row r="118" ht="15.75" customHeight="1">
      <c r="A118" s="385" t="s">
        <v>2493</v>
      </c>
    </row>
    <row r="119" ht="15.75" customHeight="1">
      <c r="A119" s="385" t="s">
        <v>2494</v>
      </c>
    </row>
    <row r="120" ht="15.75" customHeight="1">
      <c r="A120" s="385" t="s">
        <v>2495</v>
      </c>
    </row>
    <row r="121" ht="15.75" customHeight="1">
      <c r="A121" s="385" t="s">
        <v>2496</v>
      </c>
    </row>
    <row r="122" ht="15.75" customHeight="1">
      <c r="A122" s="385" t="s">
        <v>2497</v>
      </c>
    </row>
    <row r="123" ht="15.75" customHeight="1">
      <c r="A123" s="385" t="s">
        <v>2498</v>
      </c>
    </row>
    <row r="124" ht="15.75" customHeight="1">
      <c r="A124" s="385" t="s">
        <v>2499</v>
      </c>
    </row>
    <row r="125" ht="15.75" customHeight="1">
      <c r="A125" s="385" t="s">
        <v>2500</v>
      </c>
    </row>
    <row r="126" ht="15.75" customHeight="1">
      <c r="A126" s="385" t="s">
        <v>2477</v>
      </c>
    </row>
    <row r="127" ht="15.75" customHeight="1">
      <c r="A127" s="385" t="s">
        <v>2465</v>
      </c>
    </row>
    <row r="128" ht="15.75" customHeight="1">
      <c r="A128" s="385" t="s">
        <v>21</v>
      </c>
    </row>
    <row r="129" ht="15.75" customHeight="1">
      <c r="A129" s="385" t="s">
        <v>2501</v>
      </c>
    </row>
    <row r="130" ht="15.75" customHeight="1">
      <c r="A130" s="385" t="s">
        <v>2502</v>
      </c>
    </row>
    <row r="131" ht="15.75" customHeight="1">
      <c r="A131" s="385" t="s">
        <v>2503</v>
      </c>
    </row>
    <row r="132" ht="15.75" customHeight="1">
      <c r="A132" s="385" t="s">
        <v>2504</v>
      </c>
    </row>
    <row r="133" ht="15.75" customHeight="1">
      <c r="A133" s="385" t="s">
        <v>2495</v>
      </c>
    </row>
    <row r="134" ht="15.75" customHeight="1">
      <c r="A134" s="385" t="s">
        <v>2496</v>
      </c>
    </row>
    <row r="135" ht="15.75" customHeight="1">
      <c r="A135" s="385" t="s">
        <v>2497</v>
      </c>
    </row>
    <row r="136" ht="15.75" customHeight="1">
      <c r="A136" s="385" t="s">
        <v>2498</v>
      </c>
    </row>
    <row r="137" ht="15.75" customHeight="1">
      <c r="A137" s="385" t="s">
        <v>2505</v>
      </c>
    </row>
    <row r="138" ht="15.75" customHeight="1">
      <c r="A138" s="385" t="s">
        <v>2500</v>
      </c>
    </row>
    <row r="139" ht="15.75" customHeight="1">
      <c r="A139" s="385" t="s">
        <v>2477</v>
      </c>
    </row>
    <row r="140" ht="15.75" customHeight="1">
      <c r="A140" s="385" t="s">
        <v>2465</v>
      </c>
    </row>
    <row r="141" ht="15.75" customHeight="1">
      <c r="A141" s="385" t="s">
        <v>21</v>
      </c>
    </row>
    <row r="142" ht="15.75" customHeight="1">
      <c r="A142" s="385" t="s">
        <v>2506</v>
      </c>
    </row>
    <row r="143" ht="15.75" customHeight="1">
      <c r="A143" s="385" t="s">
        <v>2507</v>
      </c>
    </row>
    <row r="144" ht="15.75" customHeight="1">
      <c r="A144" s="385" t="s">
        <v>2479</v>
      </c>
    </row>
    <row r="145" ht="15.75" customHeight="1">
      <c r="A145" s="385" t="s">
        <v>21</v>
      </c>
    </row>
    <row r="146" ht="15.75" customHeight="1">
      <c r="A146" s="385" t="s">
        <v>2384</v>
      </c>
    </row>
    <row r="147" ht="15.75" customHeight="1">
      <c r="A147" s="385" t="s">
        <v>2509</v>
      </c>
    </row>
    <row r="148" ht="15.75" customHeight="1">
      <c r="A148" s="385" t="s">
        <v>2412</v>
      </c>
    </row>
    <row r="149" ht="15.75" customHeight="1">
      <c r="A149" s="385" t="s">
        <v>2510</v>
      </c>
    </row>
    <row r="150" ht="15.75" customHeight="1">
      <c r="A150" s="385" t="s">
        <v>2511</v>
      </c>
    </row>
    <row r="151" ht="15.75" customHeight="1">
      <c r="A151" s="385" t="s">
        <v>2512</v>
      </c>
    </row>
    <row r="152" ht="15.75" customHeight="1">
      <c r="A152" s="385" t="s">
        <v>2513</v>
      </c>
    </row>
    <row r="153" ht="15.75" customHeight="1">
      <c r="A153" s="385" t="s">
        <v>2514</v>
      </c>
    </row>
    <row r="154" ht="15.75" customHeight="1">
      <c r="A154" s="385" t="s">
        <v>2515</v>
      </c>
    </row>
    <row r="155" ht="15.75" customHeight="1">
      <c r="A155" s="385" t="s">
        <v>2516</v>
      </c>
    </row>
    <row r="156" ht="15.75" customHeight="1">
      <c r="A156" s="385" t="s">
        <v>2465</v>
      </c>
    </row>
    <row r="157" ht="15.75" customHeight="1">
      <c r="A157" s="385" t="s">
        <v>2479</v>
      </c>
    </row>
    <row r="158" ht="15.75" customHeight="1">
      <c r="A158" s="385" t="s">
        <v>21</v>
      </c>
    </row>
    <row r="159" ht="15.75" customHeight="1">
      <c r="A159" s="385" t="s">
        <v>2384</v>
      </c>
    </row>
    <row r="160" ht="15.75" customHeight="1">
      <c r="A160" s="385" t="s">
        <v>2517</v>
      </c>
    </row>
    <row r="161" ht="15.75" customHeight="1">
      <c r="A161" s="385" t="s">
        <v>2412</v>
      </c>
    </row>
    <row r="162" ht="15.75" customHeight="1">
      <c r="A162" s="385" t="s">
        <v>2518</v>
      </c>
    </row>
    <row r="163" ht="15.75" customHeight="1">
      <c r="A163" s="385" t="s">
        <v>2519</v>
      </c>
    </row>
    <row r="164" ht="15.75" customHeight="1">
      <c r="A164" s="385" t="s">
        <v>2484</v>
      </c>
    </row>
    <row r="165" ht="15.75" customHeight="1">
      <c r="A165" s="385" t="s">
        <v>2520</v>
      </c>
    </row>
    <row r="166" ht="15.75" customHeight="1">
      <c r="A166" s="385" t="s">
        <v>2521</v>
      </c>
    </row>
    <row r="167" ht="15.75" customHeight="1">
      <c r="A167" s="385" t="s">
        <v>2522</v>
      </c>
    </row>
    <row r="168" ht="15.75" customHeight="1">
      <c r="A168" s="385" t="s">
        <v>2523</v>
      </c>
    </row>
    <row r="169" ht="15.75" customHeight="1">
      <c r="A169" s="385" t="s">
        <v>21</v>
      </c>
    </row>
    <row r="170" ht="15.75" customHeight="1">
      <c r="A170" s="385" t="s">
        <v>2524</v>
      </c>
    </row>
    <row r="171" ht="15.75" customHeight="1">
      <c r="A171" s="385" t="s">
        <v>2525</v>
      </c>
    </row>
    <row r="172" ht="15.75" customHeight="1">
      <c r="A172" s="385" t="s">
        <v>21</v>
      </c>
    </row>
    <row r="173" ht="15.75" customHeight="1">
      <c r="A173" s="385" t="s">
        <v>2526</v>
      </c>
    </row>
    <row r="174" ht="15.75" customHeight="1">
      <c r="A174" s="385" t="s">
        <v>2527</v>
      </c>
    </row>
    <row r="175" ht="15.75" customHeight="1">
      <c r="A175" s="385" t="s">
        <v>2528</v>
      </c>
    </row>
    <row r="176" ht="15.75" customHeight="1">
      <c r="A176" s="385" t="s">
        <v>2529</v>
      </c>
    </row>
    <row r="177" ht="15.75" customHeight="1">
      <c r="A177" s="385" t="s">
        <v>21</v>
      </c>
    </row>
    <row r="178" ht="15.75" customHeight="1">
      <c r="A178" s="385" t="s">
        <v>2530</v>
      </c>
    </row>
    <row r="179" ht="15.75" customHeight="1">
      <c r="A179" s="385" t="s">
        <v>2531</v>
      </c>
    </row>
    <row r="180" ht="15.75" customHeight="1">
      <c r="A180" s="385" t="s">
        <v>2532</v>
      </c>
    </row>
    <row r="181" ht="15.75" customHeight="1">
      <c r="A181" s="385" t="s">
        <v>2533</v>
      </c>
    </row>
    <row r="182" ht="15.75" customHeight="1">
      <c r="A182" s="385" t="s">
        <v>2534</v>
      </c>
    </row>
    <row r="183" ht="15.75" customHeight="1">
      <c r="A183" s="385" t="s">
        <v>2535</v>
      </c>
    </row>
    <row r="184" ht="15.75" customHeight="1">
      <c r="A184" s="385" t="s">
        <v>2536</v>
      </c>
    </row>
    <row r="185" ht="15.75" customHeight="1">
      <c r="A185" s="385" t="s">
        <v>2477</v>
      </c>
    </row>
    <row r="186" ht="15.75" customHeight="1">
      <c r="A186" s="385" t="s">
        <v>2537</v>
      </c>
    </row>
    <row r="187" ht="15.75" customHeight="1">
      <c r="A187" s="385" t="s">
        <v>2538</v>
      </c>
    </row>
    <row r="188" ht="15.75" customHeight="1">
      <c r="A188" s="385" t="s">
        <v>2539</v>
      </c>
    </row>
    <row r="189" ht="15.75" customHeight="1">
      <c r="A189" s="385" t="s">
        <v>2540</v>
      </c>
    </row>
    <row r="190" ht="15.75" customHeight="1">
      <c r="A190" s="385" t="s">
        <v>2536</v>
      </c>
    </row>
    <row r="191" ht="15.75" customHeight="1">
      <c r="A191" s="385" t="s">
        <v>2477</v>
      </c>
    </row>
    <row r="192" ht="15.75" customHeight="1">
      <c r="A192" s="385" t="s">
        <v>2541</v>
      </c>
    </row>
    <row r="193" ht="15.75" customHeight="1">
      <c r="A193" s="385" t="s">
        <v>2542</v>
      </c>
    </row>
    <row r="194" ht="15.75" customHeight="1">
      <c r="A194" s="385" t="s">
        <v>2543</v>
      </c>
    </row>
    <row r="195" ht="15.75" customHeight="1">
      <c r="A195" s="385" t="s">
        <v>2544</v>
      </c>
    </row>
    <row r="196" ht="15.75" customHeight="1">
      <c r="A196" s="385" t="s">
        <v>21</v>
      </c>
    </row>
    <row r="197" ht="15.75" customHeight="1">
      <c r="A197" s="385" t="s">
        <v>2545</v>
      </c>
    </row>
    <row r="198" ht="15.75" customHeight="1">
      <c r="A198" s="385" t="s">
        <v>2546</v>
      </c>
    </row>
    <row r="199" ht="15.75" customHeight="1">
      <c r="A199" s="385" t="s">
        <v>2547</v>
      </c>
    </row>
    <row r="200" ht="15.75" customHeight="1">
      <c r="A200" s="385" t="s">
        <v>2465</v>
      </c>
    </row>
    <row r="201" ht="15.75" customHeight="1">
      <c r="A201" s="385" t="s">
        <v>21</v>
      </c>
    </row>
    <row r="202" ht="15.75" customHeight="1">
      <c r="A202" s="385" t="s">
        <v>2549</v>
      </c>
    </row>
    <row r="203" ht="15.75" customHeight="1">
      <c r="A203" s="385" t="s">
        <v>2550</v>
      </c>
    </row>
    <row r="204" ht="15.75" customHeight="1">
      <c r="A204" s="385" t="s">
        <v>2552</v>
      </c>
    </row>
    <row r="205" ht="15.75" customHeight="1">
      <c r="A205" s="385" t="s">
        <v>2554</v>
      </c>
    </row>
    <row r="206" ht="15.75" customHeight="1">
      <c r="A206" s="385" t="s">
        <v>2557</v>
      </c>
    </row>
    <row r="207" ht="15.75" customHeight="1">
      <c r="A207" s="385" t="s">
        <v>2559</v>
      </c>
    </row>
    <row r="208" ht="15.75" customHeight="1">
      <c r="A208" s="385" t="s">
        <v>2477</v>
      </c>
    </row>
    <row r="209" ht="15.75" customHeight="1">
      <c r="A209" s="385" t="s">
        <v>2544</v>
      </c>
    </row>
    <row r="210" ht="15.75" customHeight="1">
      <c r="A210" s="385" t="s">
        <v>21</v>
      </c>
    </row>
    <row r="211" ht="15.75" customHeight="1">
      <c r="A211" s="385" t="s">
        <v>2564</v>
      </c>
    </row>
    <row r="212" ht="15.75" customHeight="1">
      <c r="A212" s="385" t="s">
        <v>2565</v>
      </c>
    </row>
    <row r="213" ht="15.75" customHeight="1">
      <c r="A213" s="385" t="s">
        <v>2567</v>
      </c>
    </row>
    <row r="214" ht="15.75" customHeight="1">
      <c r="A214" s="385" t="s">
        <v>2569</v>
      </c>
    </row>
    <row r="215" ht="15.75" customHeight="1">
      <c r="A215" s="385" t="s">
        <v>2570</v>
      </c>
    </row>
    <row r="216" ht="15.75" customHeight="1">
      <c r="A216" s="385" t="s">
        <v>2572</v>
      </c>
    </row>
    <row r="217" ht="15.75" customHeight="1">
      <c r="A217" s="385" t="s">
        <v>2574</v>
      </c>
    </row>
    <row r="218" ht="15.75" customHeight="1">
      <c r="A218" s="385" t="s">
        <v>2465</v>
      </c>
    </row>
    <row r="219" ht="15.75" customHeight="1">
      <c r="A219" s="385" t="s">
        <v>21</v>
      </c>
    </row>
    <row r="220" ht="15.75" customHeight="1">
      <c r="A220" s="385" t="s">
        <v>2576</v>
      </c>
    </row>
    <row r="221" ht="15.75" customHeight="1">
      <c r="A221" s="385" t="s">
        <v>2577</v>
      </c>
    </row>
    <row r="222" ht="15.75" customHeight="1">
      <c r="A222" s="385" t="s">
        <v>2579</v>
      </c>
    </row>
    <row r="223" ht="15.75" customHeight="1">
      <c r="A223" s="385" t="s">
        <v>2580</v>
      </c>
    </row>
    <row r="224" ht="15.75" customHeight="1">
      <c r="A224" s="385" t="s">
        <v>2582</v>
      </c>
    </row>
    <row r="225" ht="15.75" customHeight="1">
      <c r="A225" s="385" t="s">
        <v>2583</v>
      </c>
    </row>
    <row r="226" ht="15.75" customHeight="1">
      <c r="A226" s="385" t="s">
        <v>2585</v>
      </c>
    </row>
    <row r="227" ht="15.75" customHeight="1">
      <c r="A227" s="385" t="s">
        <v>2587</v>
      </c>
    </row>
    <row r="228" ht="15.75" customHeight="1">
      <c r="A228" s="385" t="s">
        <v>2500</v>
      </c>
    </row>
    <row r="229" ht="15.75" customHeight="1">
      <c r="A229" s="385" t="s">
        <v>2588</v>
      </c>
    </row>
    <row r="230" ht="15.75" customHeight="1">
      <c r="A230" s="385" t="s">
        <v>2589</v>
      </c>
    </row>
    <row r="231" ht="15.75" customHeight="1">
      <c r="A231" s="385" t="s">
        <v>2590</v>
      </c>
    </row>
    <row r="232" ht="15.75" customHeight="1">
      <c r="A232" s="385" t="s">
        <v>2580</v>
      </c>
    </row>
    <row r="233" ht="15.75" customHeight="1">
      <c r="A233" s="385" t="s">
        <v>2593</v>
      </c>
    </row>
    <row r="234" ht="15.75" customHeight="1">
      <c r="A234" s="385" t="s">
        <v>2594</v>
      </c>
    </row>
    <row r="235" ht="15.75" customHeight="1">
      <c r="A235" s="385" t="s">
        <v>2595</v>
      </c>
    </row>
    <row r="236" ht="15.75" customHeight="1">
      <c r="A236" s="385" t="s">
        <v>2500</v>
      </c>
    </row>
    <row r="237" ht="15.75" customHeight="1">
      <c r="A237" s="385" t="s">
        <v>2588</v>
      </c>
    </row>
    <row r="238" ht="15.75" customHeight="1">
      <c r="A238" s="385" t="s">
        <v>2465</v>
      </c>
    </row>
    <row r="239" ht="15.75" customHeight="1">
      <c r="A239" s="385" t="s">
        <v>21</v>
      </c>
    </row>
    <row r="240" ht="15.75" customHeight="1">
      <c r="A240" s="385" t="s">
        <v>2597</v>
      </c>
    </row>
    <row r="241" ht="15.75" customHeight="1">
      <c r="A241" s="385" t="s">
        <v>2569</v>
      </c>
    </row>
    <row r="242" ht="15.75" customHeight="1">
      <c r="A242" s="385" t="s">
        <v>2570</v>
      </c>
    </row>
    <row r="243" ht="15.75" customHeight="1">
      <c r="A243" s="385" t="s">
        <v>2465</v>
      </c>
    </row>
    <row r="244" ht="15.75" customHeight="1">
      <c r="A244" s="385" t="s">
        <v>21</v>
      </c>
    </row>
    <row r="245" ht="15.75" customHeight="1">
      <c r="A245" s="385" t="s">
        <v>2598</v>
      </c>
    </row>
    <row r="246" ht="15.75" customHeight="1">
      <c r="A246" s="385" t="s">
        <v>2600</v>
      </c>
    </row>
    <row r="247" ht="15.75" customHeight="1">
      <c r="A247" s="385" t="s">
        <v>2601</v>
      </c>
    </row>
    <row r="248" ht="15.75" customHeight="1">
      <c r="A248" s="385" t="s">
        <v>2602</v>
      </c>
    </row>
    <row r="249" ht="15.75" customHeight="1">
      <c r="A249" s="385" t="s">
        <v>2603</v>
      </c>
    </row>
    <row r="250" ht="15.75" customHeight="1">
      <c r="A250" s="385" t="s">
        <v>2605</v>
      </c>
    </row>
    <row r="251" ht="15.75" customHeight="1">
      <c r="A251" s="385" t="s">
        <v>2606</v>
      </c>
    </row>
    <row r="252" ht="15.75" customHeight="1">
      <c r="A252" s="385" t="s">
        <v>2465</v>
      </c>
    </row>
    <row r="253" ht="15.75" customHeight="1">
      <c r="A253" s="385" t="s">
        <v>21</v>
      </c>
    </row>
    <row r="254" ht="15.75" customHeight="1">
      <c r="A254" s="385" t="s">
        <v>2607</v>
      </c>
    </row>
    <row r="255" ht="15.75" customHeight="1">
      <c r="A255" s="385" t="s">
        <v>2600</v>
      </c>
    </row>
    <row r="256" ht="15.75" customHeight="1">
      <c r="A256" s="385" t="s">
        <v>2608</v>
      </c>
    </row>
    <row r="257" ht="15.75" customHeight="1">
      <c r="A257" s="385" t="s">
        <v>2465</v>
      </c>
    </row>
    <row r="258" ht="15.75" customHeight="1">
      <c r="A258" s="385" t="s">
        <v>2479</v>
      </c>
    </row>
    <row r="259" ht="15.75" customHeight="1">
      <c r="A259" s="385" t="s">
        <v>21</v>
      </c>
    </row>
    <row r="260" ht="15.75" customHeight="1">
      <c r="A260" s="385" t="s">
        <v>2384</v>
      </c>
    </row>
    <row r="261" ht="15.75" customHeight="1">
      <c r="A261" s="385" t="s">
        <v>2611</v>
      </c>
    </row>
    <row r="262" ht="15.75" customHeight="1">
      <c r="A262" s="385" t="s">
        <v>2412</v>
      </c>
    </row>
    <row r="263" ht="15.75" customHeight="1">
      <c r="A263" s="385" t="s">
        <v>2612</v>
      </c>
    </row>
    <row r="264" ht="15.75" customHeight="1">
      <c r="A264" s="385" t="s">
        <v>2614</v>
      </c>
    </row>
    <row r="265" ht="15.75" customHeight="1">
      <c r="A265" s="385" t="s">
        <v>2615</v>
      </c>
    </row>
    <row r="266" ht="15.75" customHeight="1">
      <c r="A266" s="385" t="s">
        <v>2616</v>
      </c>
    </row>
    <row r="267" ht="15.75" customHeight="1">
      <c r="A267" s="385" t="s">
        <v>2617</v>
      </c>
    </row>
    <row r="268" ht="15.75" customHeight="1">
      <c r="A268" s="385" t="s">
        <v>2618</v>
      </c>
    </row>
    <row r="269" ht="15.75" customHeight="1">
      <c r="A269" s="385" t="s">
        <v>2619</v>
      </c>
    </row>
    <row r="270" ht="15.75" customHeight="1">
      <c r="A270" s="385" t="s">
        <v>2620</v>
      </c>
    </row>
    <row r="271" ht="15.75" customHeight="1">
      <c r="A271" s="385" t="s">
        <v>2622</v>
      </c>
    </row>
    <row r="272" ht="15.75" customHeight="1">
      <c r="A272" s="385" t="s">
        <v>2623</v>
      </c>
    </row>
    <row r="273" ht="15.75" customHeight="1">
      <c r="A273" s="385" t="s">
        <v>2624</v>
      </c>
    </row>
    <row r="274" ht="15.75" customHeight="1">
      <c r="A274" s="385" t="s">
        <v>2625</v>
      </c>
    </row>
    <row r="275" ht="15.75" customHeight="1">
      <c r="A275" s="385" t="s">
        <v>2627</v>
      </c>
    </row>
    <row r="276" ht="15.75" customHeight="1">
      <c r="A276" s="385" t="s">
        <v>2479</v>
      </c>
    </row>
    <row r="277" ht="15.75" customHeight="1">
      <c r="A277" s="385" t="s">
        <v>21</v>
      </c>
    </row>
    <row r="278" ht="15.75" customHeight="1">
      <c r="A278" s="385" t="s">
        <v>2384</v>
      </c>
    </row>
    <row r="279" ht="15.75" customHeight="1">
      <c r="A279" s="385" t="s">
        <v>2629</v>
      </c>
    </row>
    <row r="280" ht="15.75" customHeight="1">
      <c r="A280" s="385" t="s">
        <v>2412</v>
      </c>
    </row>
    <row r="281" ht="15.75" customHeight="1">
      <c r="A281" s="385" t="s">
        <v>2631</v>
      </c>
    </row>
    <row r="282" ht="15.75" customHeight="1">
      <c r="A282" s="385" t="s">
        <v>2484</v>
      </c>
    </row>
    <row r="283" ht="15.75" customHeight="1">
      <c r="A283" s="385" t="s">
        <v>2634</v>
      </c>
    </row>
    <row r="284" ht="15.75" customHeight="1">
      <c r="A284" s="385" t="s">
        <v>2635</v>
      </c>
    </row>
    <row r="285" ht="15.75" customHeight="1">
      <c r="A285" s="385" t="s">
        <v>21</v>
      </c>
    </row>
    <row r="286" ht="15.75" customHeight="1">
      <c r="A286" s="385" t="s">
        <v>2637</v>
      </c>
    </row>
    <row r="287" ht="15.75" customHeight="1">
      <c r="A287" s="385" t="s">
        <v>2638</v>
      </c>
    </row>
    <row r="288" ht="15.75" customHeight="1">
      <c r="A288" s="385" t="s">
        <v>2641</v>
      </c>
    </row>
    <row r="289" ht="15.75" customHeight="1">
      <c r="A289" s="385" t="s">
        <v>2643</v>
      </c>
    </row>
    <row r="290" ht="15.75" customHeight="1">
      <c r="A290" s="385" t="s">
        <v>2646</v>
      </c>
    </row>
    <row r="291" ht="15.75" customHeight="1">
      <c r="A291" s="385" t="s">
        <v>21</v>
      </c>
    </row>
    <row r="292" ht="15.75" customHeight="1">
      <c r="A292" s="385" t="s">
        <v>2648</v>
      </c>
    </row>
    <row r="293" ht="15.75" customHeight="1">
      <c r="A293" s="385" t="s">
        <v>2651</v>
      </c>
    </row>
    <row r="294" ht="15.75" customHeight="1">
      <c r="A294" s="385" t="s">
        <v>2654</v>
      </c>
    </row>
    <row r="295" ht="15.75" customHeight="1">
      <c r="A295" s="385" t="s">
        <v>21</v>
      </c>
    </row>
    <row r="296" ht="15.75" customHeight="1">
      <c r="A296" s="385" t="s">
        <v>2656</v>
      </c>
    </row>
    <row r="297" ht="15.75" customHeight="1">
      <c r="A297" s="385" t="s">
        <v>2657</v>
      </c>
    </row>
    <row r="298" ht="15.75" customHeight="1">
      <c r="A298" s="385" t="s">
        <v>2658</v>
      </c>
    </row>
    <row r="299" ht="15.75" customHeight="1">
      <c r="A299" s="385" t="s">
        <v>2659</v>
      </c>
    </row>
    <row r="300" ht="15.75" customHeight="1">
      <c r="A300" s="385" t="s">
        <v>2617</v>
      </c>
    </row>
    <row r="301" ht="15.75" customHeight="1">
      <c r="A301" s="385" t="s">
        <v>2660</v>
      </c>
    </row>
    <row r="302" ht="15.75" customHeight="1">
      <c r="A302" s="385" t="s">
        <v>2661</v>
      </c>
    </row>
    <row r="303" ht="15.75" customHeight="1">
      <c r="A303" s="385" t="s">
        <v>2662</v>
      </c>
    </row>
    <row r="304" ht="15.75" customHeight="1">
      <c r="A304" s="385" t="s">
        <v>2663</v>
      </c>
    </row>
    <row r="305" ht="15.75" customHeight="1">
      <c r="A305" s="385" t="s">
        <v>2665</v>
      </c>
    </row>
    <row r="306" ht="15.75" customHeight="1">
      <c r="A306" s="385" t="s">
        <v>2465</v>
      </c>
    </row>
    <row r="307" ht="15.75" customHeight="1">
      <c r="A307" s="385" t="s">
        <v>21</v>
      </c>
    </row>
    <row r="308" ht="15.75" customHeight="1">
      <c r="A308" s="385" t="s">
        <v>2667</v>
      </c>
    </row>
    <row r="309" ht="15.75" customHeight="1">
      <c r="A309" s="385" t="s">
        <v>2668</v>
      </c>
    </row>
    <row r="310" ht="15.75" customHeight="1">
      <c r="A310" s="385" t="s">
        <v>2669</v>
      </c>
    </row>
    <row r="311" ht="15.75" customHeight="1">
      <c r="A311" s="385" t="s">
        <v>2479</v>
      </c>
    </row>
    <row r="312" ht="15.75" customHeight="1">
      <c r="A312" s="385" t="s">
        <v>21</v>
      </c>
    </row>
    <row r="313" ht="15.75" customHeight="1">
      <c r="A313" s="385" t="s">
        <v>2384</v>
      </c>
    </row>
    <row r="314" ht="15.75" customHeight="1">
      <c r="A314" s="385" t="s">
        <v>2670</v>
      </c>
    </row>
    <row r="315" ht="15.75" customHeight="1">
      <c r="A315" s="385" t="s">
        <v>2412</v>
      </c>
    </row>
    <row r="316" ht="15.75" customHeight="1">
      <c r="A316" s="385" t="s">
        <v>2672</v>
      </c>
    </row>
    <row r="317" ht="15.75" customHeight="1">
      <c r="A317" s="385" t="s">
        <v>2484</v>
      </c>
    </row>
    <row r="318" ht="15.75" customHeight="1">
      <c r="A318" s="385" t="s">
        <v>2634</v>
      </c>
    </row>
    <row r="319" ht="15.75" customHeight="1">
      <c r="A319" s="385" t="s">
        <v>2635</v>
      </c>
    </row>
    <row r="320" ht="15.75" customHeight="1">
      <c r="A320" s="385" t="s">
        <v>21</v>
      </c>
    </row>
    <row r="321" ht="15.75" customHeight="1">
      <c r="A321" s="385" t="s">
        <v>2678</v>
      </c>
    </row>
    <row r="322" ht="15.75" customHeight="1">
      <c r="A322" s="385" t="s">
        <v>2679</v>
      </c>
    </row>
    <row r="323" ht="15.75" customHeight="1">
      <c r="A323" s="385" t="s">
        <v>2680</v>
      </c>
    </row>
    <row r="324" ht="15.75" customHeight="1">
      <c r="A324" s="385" t="s">
        <v>21</v>
      </c>
    </row>
    <row r="325" ht="15.75" customHeight="1">
      <c r="A325" s="385" t="s">
        <v>2681</v>
      </c>
    </row>
    <row r="326" ht="15.75" customHeight="1">
      <c r="A326" s="385" t="s">
        <v>2683</v>
      </c>
    </row>
    <row r="327" ht="15.75" customHeight="1">
      <c r="A327" s="385" t="s">
        <v>2686</v>
      </c>
    </row>
    <row r="328" ht="15.75" customHeight="1">
      <c r="A328" s="385" t="s">
        <v>2688</v>
      </c>
    </row>
    <row r="329" ht="15.75" customHeight="1">
      <c r="A329" s="385" t="s">
        <v>2689</v>
      </c>
    </row>
    <row r="330" ht="15.75" customHeight="1">
      <c r="A330" s="385" t="s">
        <v>2690</v>
      </c>
    </row>
    <row r="331" ht="15.75" customHeight="1">
      <c r="A331" s="385" t="s">
        <v>2691</v>
      </c>
    </row>
    <row r="332" ht="15.75" customHeight="1">
      <c r="A332" s="385" t="s">
        <v>2694</v>
      </c>
    </row>
    <row r="333" ht="15.75" customHeight="1">
      <c r="A333" s="385" t="s">
        <v>2696</v>
      </c>
    </row>
    <row r="334" ht="15.75" customHeight="1">
      <c r="A334" s="385" t="s">
        <v>21</v>
      </c>
    </row>
    <row r="335" ht="15.75" customHeight="1">
      <c r="A335" s="385" t="s">
        <v>2697</v>
      </c>
    </row>
    <row r="336" ht="15.75" customHeight="1">
      <c r="A336" s="385" t="s">
        <v>2698</v>
      </c>
    </row>
    <row r="337" ht="15.75" customHeight="1">
      <c r="A337" s="385" t="s">
        <v>2699</v>
      </c>
    </row>
    <row r="338" ht="15.75" customHeight="1">
      <c r="A338" s="385" t="s">
        <v>2700</v>
      </c>
    </row>
    <row r="339" ht="15.75" customHeight="1">
      <c r="A339" s="385" t="s">
        <v>2477</v>
      </c>
    </row>
    <row r="340" ht="15.75" customHeight="1">
      <c r="A340" s="385" t="s">
        <v>2544</v>
      </c>
    </row>
    <row r="341" ht="15.75" customHeight="1">
      <c r="A341" s="385" t="s">
        <v>21</v>
      </c>
    </row>
    <row r="342" ht="15.75" customHeight="1">
      <c r="A342" s="385" t="s">
        <v>2706</v>
      </c>
    </row>
    <row r="343" ht="15.75" customHeight="1">
      <c r="A343" s="385" t="s">
        <v>2709</v>
      </c>
    </row>
    <row r="344" ht="15.75" customHeight="1">
      <c r="A344" s="385" t="s">
        <v>2711</v>
      </c>
    </row>
    <row r="345" ht="15.75" customHeight="1">
      <c r="A345" s="385" t="s">
        <v>2465</v>
      </c>
    </row>
    <row r="346" ht="15.75" customHeight="1">
      <c r="A346" s="385" t="s">
        <v>21</v>
      </c>
    </row>
    <row r="347" ht="15.75" customHeight="1">
      <c r="A347" s="385" t="s">
        <v>2657</v>
      </c>
    </row>
    <row r="348" ht="15.75" customHeight="1">
      <c r="A348" s="385" t="s">
        <v>2658</v>
      </c>
    </row>
    <row r="349" ht="15.75" customHeight="1">
      <c r="A349" s="385" t="s">
        <v>2659</v>
      </c>
    </row>
    <row r="350" ht="15.75" customHeight="1">
      <c r="A350" s="385" t="s">
        <v>2617</v>
      </c>
    </row>
    <row r="351" ht="15.75" customHeight="1">
      <c r="A351" s="385" t="s">
        <v>2660</v>
      </c>
    </row>
    <row r="352" ht="15.75" customHeight="1">
      <c r="A352" s="385" t="s">
        <v>2720</v>
      </c>
    </row>
    <row r="353" ht="15.75" customHeight="1">
      <c r="A353" s="385" t="s">
        <v>2722</v>
      </c>
    </row>
    <row r="354" ht="15.75" customHeight="1">
      <c r="A354" s="385" t="s">
        <v>2724</v>
      </c>
    </row>
    <row r="355" ht="15.75" customHeight="1">
      <c r="A355" s="385" t="s">
        <v>2665</v>
      </c>
    </row>
    <row r="356" ht="15.75" customHeight="1">
      <c r="A356" s="385" t="s">
        <v>2465</v>
      </c>
    </row>
    <row r="357" ht="15.75" customHeight="1">
      <c r="A357" s="385" t="s">
        <v>21</v>
      </c>
    </row>
    <row r="358" ht="15.75" customHeight="1">
      <c r="A358" s="385" t="s">
        <v>2726</v>
      </c>
    </row>
    <row r="359" ht="15.75" customHeight="1">
      <c r="A359" s="385" t="s">
        <v>2479</v>
      </c>
    </row>
    <row r="360" ht="15.75" customHeight="1">
      <c r="A360" s="385" t="s">
        <v>21</v>
      </c>
    </row>
    <row r="361" ht="15.75" customHeight="1">
      <c r="A361" s="385" t="s">
        <v>2384</v>
      </c>
    </row>
    <row r="362" ht="15.75" customHeight="1">
      <c r="A362" s="385" t="s">
        <v>2727</v>
      </c>
    </row>
    <row r="363" ht="15.75" customHeight="1">
      <c r="A363" s="385" t="s">
        <v>2412</v>
      </c>
    </row>
    <row r="364" ht="15.75" customHeight="1">
      <c r="A364" s="385" t="s">
        <v>2728</v>
      </c>
    </row>
    <row r="365" ht="15.75" customHeight="1">
      <c r="A365" s="385" t="s">
        <v>2730</v>
      </c>
    </row>
    <row r="366" ht="15.75" customHeight="1">
      <c r="A366" s="385" t="s">
        <v>2733</v>
      </c>
    </row>
    <row r="367" ht="15.75" customHeight="1">
      <c r="A367" s="385" t="s">
        <v>2734</v>
      </c>
    </row>
    <row r="368" ht="15.75" customHeight="1">
      <c r="A368" s="385" t="s">
        <v>2735</v>
      </c>
    </row>
    <row r="369" ht="15.75" customHeight="1">
      <c r="A369" s="385" t="s">
        <v>2736</v>
      </c>
    </row>
    <row r="370" ht="15.75" customHeight="1">
      <c r="A370" s="385" t="s">
        <v>2737</v>
      </c>
    </row>
    <row r="371" ht="15.75" customHeight="1">
      <c r="A371" s="385" t="s">
        <v>2738</v>
      </c>
    </row>
    <row r="372" ht="15.75" customHeight="1">
      <c r="A372" s="385" t="s">
        <v>2740</v>
      </c>
    </row>
    <row r="373" ht="15.75" customHeight="1">
      <c r="A373" s="385" t="s">
        <v>2741</v>
      </c>
    </row>
    <row r="374" ht="15.75" customHeight="1">
      <c r="A374" s="385" t="s">
        <v>2742</v>
      </c>
    </row>
    <row r="375" ht="15.75" customHeight="1">
      <c r="A375" s="385" t="s">
        <v>2743</v>
      </c>
    </row>
    <row r="376" ht="15.75" customHeight="1">
      <c r="A376" s="385" t="s">
        <v>2746</v>
      </c>
    </row>
    <row r="377" ht="15.75" customHeight="1">
      <c r="A377" s="385" t="s">
        <v>2748</v>
      </c>
    </row>
    <row r="378" ht="15.75" customHeight="1">
      <c r="A378" s="385" t="s">
        <v>2749</v>
      </c>
    </row>
    <row r="379" ht="15.75" customHeight="1">
      <c r="A379" s="385" t="s">
        <v>2750</v>
      </c>
    </row>
    <row r="380" ht="15.75" customHeight="1">
      <c r="A380" s="385" t="s">
        <v>2751</v>
      </c>
    </row>
    <row r="381" ht="15.75" customHeight="1">
      <c r="A381" s="385" t="s">
        <v>2752</v>
      </c>
    </row>
    <row r="382" ht="15.75" customHeight="1">
      <c r="A382" s="385" t="s">
        <v>2753</v>
      </c>
    </row>
    <row r="383" ht="15.75" customHeight="1">
      <c r="A383" s="385" t="s">
        <v>2755</v>
      </c>
    </row>
    <row r="384" ht="15.75" customHeight="1">
      <c r="A384" s="385" t="s">
        <v>2757</v>
      </c>
    </row>
    <row r="385" ht="15.75" customHeight="1">
      <c r="A385" s="385" t="s">
        <v>2759</v>
      </c>
    </row>
    <row r="386" ht="15.75" customHeight="1">
      <c r="A386" s="385" t="s">
        <v>2760</v>
      </c>
    </row>
    <row r="387" ht="15.75" customHeight="1">
      <c r="A387" s="385" t="s">
        <v>2762</v>
      </c>
    </row>
    <row r="388" ht="15.75" customHeight="1">
      <c r="A388" s="385" t="s">
        <v>2764</v>
      </c>
    </row>
    <row r="389" ht="15.75" customHeight="1">
      <c r="A389" s="385" t="s">
        <v>2766</v>
      </c>
    </row>
    <row r="390" ht="15.75" customHeight="1">
      <c r="A390" s="385" t="s">
        <v>2768</v>
      </c>
    </row>
    <row r="391" ht="15.75" customHeight="1">
      <c r="A391" s="385" t="s">
        <v>2769</v>
      </c>
    </row>
    <row r="392" ht="15.75" customHeight="1">
      <c r="A392" s="385" t="s">
        <v>21</v>
      </c>
    </row>
    <row r="393" ht="15.75" customHeight="1">
      <c r="A393" s="385" t="s">
        <v>2773</v>
      </c>
    </row>
    <row r="394" ht="15.75" customHeight="1">
      <c r="A394" s="385" t="s">
        <v>2776</v>
      </c>
    </row>
    <row r="395" ht="15.75" customHeight="1">
      <c r="A395" s="385" t="s">
        <v>2778</v>
      </c>
    </row>
    <row r="396" ht="15.75" customHeight="1">
      <c r="A396" s="385" t="s">
        <v>2779</v>
      </c>
    </row>
    <row r="397" ht="15.75" customHeight="1">
      <c r="A397" s="385" t="s">
        <v>2780</v>
      </c>
    </row>
    <row r="398" ht="15.75" customHeight="1">
      <c r="A398" s="385" t="s">
        <v>21</v>
      </c>
    </row>
    <row r="399" ht="15.75" customHeight="1">
      <c r="A399" s="385" t="s">
        <v>2773</v>
      </c>
    </row>
    <row r="400" ht="15.75" customHeight="1">
      <c r="A400" s="385" t="s">
        <v>2782</v>
      </c>
    </row>
    <row r="401" ht="15.75" customHeight="1">
      <c r="A401" s="385" t="s">
        <v>2784</v>
      </c>
    </row>
    <row r="402" ht="15.75" customHeight="1">
      <c r="A402" s="385" t="s">
        <v>2786</v>
      </c>
    </row>
    <row r="403" ht="15.75" customHeight="1">
      <c r="A403" s="385" t="s">
        <v>2787</v>
      </c>
    </row>
    <row r="404" ht="15.75" customHeight="1">
      <c r="A404" s="385" t="s">
        <v>2789</v>
      </c>
    </row>
    <row r="405" ht="15.75" customHeight="1">
      <c r="A405" s="385" t="s">
        <v>2791</v>
      </c>
    </row>
    <row r="406" ht="15.75" customHeight="1">
      <c r="A406" s="385" t="s">
        <v>2793</v>
      </c>
    </row>
    <row r="407" ht="15.75" customHeight="1">
      <c r="A407" s="385" t="s">
        <v>2795</v>
      </c>
    </row>
    <row r="408" ht="15.75" customHeight="1">
      <c r="A408" s="385" t="s">
        <v>2796</v>
      </c>
    </row>
    <row r="409" ht="15.75" customHeight="1">
      <c r="A409" s="385" t="s">
        <v>2798</v>
      </c>
    </row>
    <row r="410" ht="15.75" customHeight="1">
      <c r="A410" s="385" t="s">
        <v>2780</v>
      </c>
    </row>
    <row r="411" ht="15.75" customHeight="1">
      <c r="A411" s="385" t="s">
        <v>21</v>
      </c>
    </row>
    <row r="412" ht="15.75" customHeight="1">
      <c r="A412" s="385" t="s">
        <v>2773</v>
      </c>
    </row>
    <row r="413" ht="15.75" customHeight="1">
      <c r="A413" s="385" t="s">
        <v>2803</v>
      </c>
    </row>
    <row r="414" ht="15.75" customHeight="1">
      <c r="A414" s="385" t="s">
        <v>2804</v>
      </c>
    </row>
    <row r="415" ht="15.75" customHeight="1">
      <c r="A415" s="385" t="s">
        <v>2805</v>
      </c>
    </row>
    <row r="416" ht="15.75" customHeight="1">
      <c r="A416" s="385" t="s">
        <v>2808</v>
      </c>
    </row>
    <row r="417" ht="15.75" customHeight="1">
      <c r="A417" s="385" t="s">
        <v>2810</v>
      </c>
    </row>
    <row r="418" ht="15.75" customHeight="1">
      <c r="A418" s="385" t="s">
        <v>2813</v>
      </c>
    </row>
    <row r="419" ht="15.75" customHeight="1">
      <c r="A419" s="385" t="s">
        <v>2814</v>
      </c>
    </row>
    <row r="420" ht="15.75" customHeight="1">
      <c r="A420" s="385" t="s">
        <v>2816</v>
      </c>
    </row>
    <row r="421" ht="15.75" customHeight="1">
      <c r="A421" s="385" t="s">
        <v>2798</v>
      </c>
    </row>
    <row r="422" ht="15.75" customHeight="1">
      <c r="A422" s="385" t="s">
        <v>2817</v>
      </c>
    </row>
    <row r="423" ht="15.75" customHeight="1">
      <c r="A423" s="385" t="s">
        <v>2780</v>
      </c>
    </row>
    <row r="424" ht="15.75" customHeight="1">
      <c r="A424" s="385" t="s">
        <v>21</v>
      </c>
    </row>
    <row r="425" ht="15.75" customHeight="1">
      <c r="A425" s="385" t="s">
        <v>2818</v>
      </c>
    </row>
    <row r="426" ht="15.75" customHeight="1">
      <c r="A426" s="385" t="s">
        <v>2819</v>
      </c>
    </row>
    <row r="427" ht="15.75" customHeight="1">
      <c r="A427" s="385" t="s">
        <v>2820</v>
      </c>
    </row>
    <row r="428" ht="15.75" customHeight="1">
      <c r="A428" s="385" t="s">
        <v>2780</v>
      </c>
    </row>
    <row r="429" ht="15.75" customHeight="1">
      <c r="A429" s="385" t="s">
        <v>21</v>
      </c>
    </row>
    <row r="430" ht="15.75" customHeight="1">
      <c r="A430" s="385" t="s">
        <v>2824</v>
      </c>
    </row>
    <row r="431" ht="15.75" customHeight="1">
      <c r="A431" s="385" t="s">
        <v>21</v>
      </c>
    </row>
    <row r="432" ht="15.75" customHeight="1">
      <c r="A432" s="385" t="s">
        <v>2826</v>
      </c>
    </row>
    <row r="433" ht="15.75" customHeight="1">
      <c r="A433" s="385" t="s">
        <v>2827</v>
      </c>
    </row>
    <row r="434" ht="15.75" customHeight="1">
      <c r="A434" s="385" t="s">
        <v>2828</v>
      </c>
    </row>
    <row r="435" ht="15.75" customHeight="1">
      <c r="A435" s="385" t="s">
        <v>2829</v>
      </c>
    </row>
    <row r="436" ht="15.75" customHeight="1">
      <c r="A436" s="385" t="s">
        <v>2830</v>
      </c>
    </row>
    <row r="437" ht="15.75" customHeight="1">
      <c r="A437" s="385" t="s">
        <v>2831</v>
      </c>
    </row>
    <row r="438" ht="15.75" customHeight="1">
      <c r="A438" s="385" t="s">
        <v>2832</v>
      </c>
    </row>
    <row r="439" ht="15.75" customHeight="1">
      <c r="A439" s="385" t="s">
        <v>2833</v>
      </c>
    </row>
    <row r="440" ht="15.75" customHeight="1">
      <c r="A440" s="385" t="s">
        <v>2834</v>
      </c>
    </row>
    <row r="441" ht="15.75" customHeight="1">
      <c r="A441" s="385" t="s">
        <v>2835</v>
      </c>
    </row>
    <row r="442" ht="15.75" customHeight="1">
      <c r="A442" s="385" t="s">
        <v>2836</v>
      </c>
    </row>
    <row r="443" ht="15.75" customHeight="1">
      <c r="A443" s="385" t="s">
        <v>2837</v>
      </c>
    </row>
    <row r="444" ht="15.75" customHeight="1">
      <c r="A444" s="385" t="s">
        <v>2544</v>
      </c>
    </row>
    <row r="445" ht="15.75" customHeight="1">
      <c r="A445" s="385" t="s">
        <v>21</v>
      </c>
    </row>
    <row r="446" ht="15.75" customHeight="1">
      <c r="A446" s="385" t="s">
        <v>2838</v>
      </c>
    </row>
    <row r="447" ht="15.75" customHeight="1">
      <c r="A447" s="385" t="s">
        <v>2839</v>
      </c>
    </row>
    <row r="448" ht="15.75" customHeight="1">
      <c r="A448" s="385" t="s">
        <v>2840</v>
      </c>
    </row>
    <row r="449" ht="15.75" customHeight="1">
      <c r="A449" s="385" t="s">
        <v>2841</v>
      </c>
    </row>
    <row r="450" ht="15.75" customHeight="1">
      <c r="A450" s="385" t="s">
        <v>2842</v>
      </c>
    </row>
    <row r="451" ht="15.75" customHeight="1">
      <c r="A451" s="385" t="s">
        <v>2843</v>
      </c>
    </row>
    <row r="452" ht="15.75" customHeight="1">
      <c r="A452" s="385" t="s">
        <v>2844</v>
      </c>
    </row>
    <row r="453" ht="15.75" customHeight="1">
      <c r="A453" s="385" t="s">
        <v>2845</v>
      </c>
    </row>
    <row r="454" ht="15.75" customHeight="1">
      <c r="A454" s="385" t="s">
        <v>2536</v>
      </c>
    </row>
    <row r="455" ht="15.75" customHeight="1">
      <c r="A455" s="385" t="s">
        <v>2477</v>
      </c>
    </row>
    <row r="456" ht="15.75" customHeight="1">
      <c r="A456" s="385" t="s">
        <v>2846</v>
      </c>
    </row>
    <row r="457" ht="15.75" customHeight="1">
      <c r="A457" s="385" t="s">
        <v>2847</v>
      </c>
    </row>
    <row r="458" ht="15.75" customHeight="1">
      <c r="A458" s="385" t="s">
        <v>2848</v>
      </c>
    </row>
    <row r="459" ht="15.75" customHeight="1">
      <c r="A459" s="385" t="s">
        <v>2849</v>
      </c>
    </row>
    <row r="460" ht="15.75" customHeight="1">
      <c r="A460" s="385" t="s">
        <v>2850</v>
      </c>
    </row>
    <row r="461" ht="15.75" customHeight="1">
      <c r="A461" s="385" t="s">
        <v>2851</v>
      </c>
    </row>
    <row r="462" ht="15.75" customHeight="1">
      <c r="A462" s="385" t="s">
        <v>2852</v>
      </c>
    </row>
    <row r="463" ht="15.75" customHeight="1">
      <c r="A463" s="385" t="s">
        <v>2853</v>
      </c>
    </row>
    <row r="464" ht="15.75" customHeight="1">
      <c r="A464" s="385" t="s">
        <v>2854</v>
      </c>
    </row>
    <row r="465" ht="15.75" customHeight="1">
      <c r="A465" s="385" t="s">
        <v>2855</v>
      </c>
    </row>
    <row r="466" ht="15.75" customHeight="1">
      <c r="A466" s="385" t="s">
        <v>2856</v>
      </c>
    </row>
    <row r="467" ht="15.75" customHeight="1">
      <c r="A467" s="385" t="s">
        <v>2857</v>
      </c>
    </row>
    <row r="468" ht="15.75" customHeight="1">
      <c r="A468" s="385" t="s">
        <v>2858</v>
      </c>
    </row>
    <row r="469" ht="15.75" customHeight="1">
      <c r="A469" s="385" t="s">
        <v>2859</v>
      </c>
    </row>
    <row r="470" ht="15.75" customHeight="1">
      <c r="A470" s="385" t="s">
        <v>2860</v>
      </c>
    </row>
    <row r="471" ht="15.75" customHeight="1">
      <c r="A471" s="385" t="s">
        <v>2857</v>
      </c>
    </row>
    <row r="472" ht="15.75" customHeight="1">
      <c r="A472" s="385" t="s">
        <v>2861</v>
      </c>
    </row>
    <row r="473" ht="15.75" customHeight="1">
      <c r="A473" s="385" t="s">
        <v>2465</v>
      </c>
    </row>
    <row r="474" ht="15.75" customHeight="1">
      <c r="A474" s="385" t="s">
        <v>2862</v>
      </c>
    </row>
    <row r="475" ht="15.75" customHeight="1">
      <c r="A475" s="385" t="s">
        <v>2866</v>
      </c>
    </row>
    <row r="476" ht="15.75" customHeight="1">
      <c r="A476" s="385" t="s">
        <v>2868</v>
      </c>
    </row>
    <row r="477" ht="15.75" customHeight="1">
      <c r="A477" s="385" t="s">
        <v>2870</v>
      </c>
    </row>
    <row r="478" ht="15.75" customHeight="1">
      <c r="A478" s="385" t="s">
        <v>2872</v>
      </c>
    </row>
    <row r="479" ht="15.75" customHeight="1">
      <c r="A479" s="385" t="s">
        <v>2479</v>
      </c>
    </row>
    <row r="480" ht="15.75" customHeight="1">
      <c r="A480" s="385" t="s">
        <v>21</v>
      </c>
    </row>
    <row r="481" ht="15.75" customHeight="1">
      <c r="A481" s="385" t="s">
        <v>2384</v>
      </c>
    </row>
    <row r="482" ht="15.75" customHeight="1">
      <c r="A482" s="385" t="s">
        <v>2875</v>
      </c>
    </row>
    <row r="483" ht="15.75" customHeight="1">
      <c r="A483" s="385" t="s">
        <v>2412</v>
      </c>
    </row>
    <row r="484" ht="15.75" customHeight="1">
      <c r="A484" s="385" t="s">
        <v>2876</v>
      </c>
    </row>
    <row r="485" ht="15.75" customHeight="1">
      <c r="A485" s="385" t="s">
        <v>2511</v>
      </c>
    </row>
    <row r="486" ht="15.75" customHeight="1">
      <c r="A486" s="385" t="s">
        <v>2877</v>
      </c>
    </row>
    <row r="487" ht="15.75" customHeight="1">
      <c r="A487" s="385" t="s">
        <v>2878</v>
      </c>
    </row>
    <row r="488" ht="15.75" customHeight="1">
      <c r="A488" s="385" t="s">
        <v>2477</v>
      </c>
    </row>
    <row r="489" ht="15.75" customHeight="1">
      <c r="A489" s="385" t="s">
        <v>2879</v>
      </c>
    </row>
    <row r="490" ht="15.75" customHeight="1">
      <c r="A490" s="385" t="s">
        <v>2880</v>
      </c>
    </row>
    <row r="491" ht="15.75" customHeight="1">
      <c r="A491" s="385" t="s">
        <v>2881</v>
      </c>
    </row>
    <row r="492" ht="15.75" customHeight="1">
      <c r="A492" s="385" t="s">
        <v>21</v>
      </c>
    </row>
    <row r="493" ht="15.75" customHeight="1">
      <c r="A493" s="385" t="s">
        <v>2882</v>
      </c>
    </row>
    <row r="494" ht="15.75" customHeight="1">
      <c r="A494" s="385" t="s">
        <v>2883</v>
      </c>
    </row>
    <row r="495" ht="15.75" customHeight="1">
      <c r="A495" s="385" t="s">
        <v>2884</v>
      </c>
    </row>
    <row r="496" ht="15.75" customHeight="1">
      <c r="A496" s="385" t="s">
        <v>2885</v>
      </c>
    </row>
    <row r="497" ht="15.75" customHeight="1">
      <c r="A497" s="385" t="s">
        <v>2886</v>
      </c>
    </row>
    <row r="498" ht="15.75" customHeight="1">
      <c r="A498" s="385" t="s">
        <v>21</v>
      </c>
    </row>
    <row r="499" ht="15.75" customHeight="1">
      <c r="A499" s="385" t="s">
        <v>2887</v>
      </c>
    </row>
    <row r="500" ht="15.75" customHeight="1">
      <c r="A500" s="385" t="s">
        <v>2888</v>
      </c>
    </row>
    <row r="501" ht="15.75" customHeight="1">
      <c r="A501" s="385" t="s">
        <v>2889</v>
      </c>
    </row>
    <row r="502" ht="15.75" customHeight="1">
      <c r="A502" s="385" t="s">
        <v>2890</v>
      </c>
    </row>
    <row r="503" ht="15.75" customHeight="1">
      <c r="A503" s="385" t="s">
        <v>2891</v>
      </c>
    </row>
    <row r="504" ht="15.75" customHeight="1">
      <c r="A504" s="385" t="s">
        <v>2892</v>
      </c>
    </row>
    <row r="505" ht="15.75" customHeight="1">
      <c r="A505" s="385" t="s">
        <v>2893</v>
      </c>
    </row>
    <row r="506" ht="15.75" customHeight="1">
      <c r="A506" s="385" t="s">
        <v>2477</v>
      </c>
    </row>
    <row r="507" ht="15.75" customHeight="1">
      <c r="A507" s="385" t="s">
        <v>2894</v>
      </c>
    </row>
    <row r="508" ht="15.75" customHeight="1">
      <c r="A508" s="385" t="s">
        <v>21</v>
      </c>
    </row>
    <row r="509" ht="15.75" customHeight="1">
      <c r="A509" s="385" t="s">
        <v>2895</v>
      </c>
    </row>
    <row r="510" ht="15.75" customHeight="1">
      <c r="A510" s="385" t="s">
        <v>2896</v>
      </c>
    </row>
    <row r="511" ht="15.75" customHeight="1">
      <c r="A511" s="385" t="s">
        <v>2897</v>
      </c>
    </row>
    <row r="512" ht="15.75" customHeight="1">
      <c r="A512" s="385" t="s">
        <v>21</v>
      </c>
    </row>
    <row r="513" ht="15.75" customHeight="1">
      <c r="A513" s="385" t="s">
        <v>2898</v>
      </c>
    </row>
    <row r="514" ht="15.75" customHeight="1">
      <c r="A514" s="385" t="s">
        <v>21</v>
      </c>
    </row>
    <row r="515" ht="15.75" customHeight="1">
      <c r="A515" s="385" t="s">
        <v>2899</v>
      </c>
    </row>
    <row r="516" ht="15.75" customHeight="1">
      <c r="A516" s="385" t="s">
        <v>2900</v>
      </c>
    </row>
    <row r="517" ht="15.75" customHeight="1">
      <c r="A517" s="385" t="s">
        <v>2901</v>
      </c>
    </row>
    <row r="518" ht="15.75" customHeight="1">
      <c r="A518" s="385" t="s">
        <v>2617</v>
      </c>
    </row>
    <row r="519" ht="15.75" customHeight="1">
      <c r="A519" s="385" t="s">
        <v>2902</v>
      </c>
    </row>
    <row r="520" ht="15.75" customHeight="1">
      <c r="A520" s="385" t="s">
        <v>2903</v>
      </c>
    </row>
    <row r="521" ht="15.75" customHeight="1">
      <c r="A521" s="385" t="s">
        <v>2904</v>
      </c>
    </row>
    <row r="522" ht="15.75" customHeight="1">
      <c r="A522" s="385" t="s">
        <v>2905</v>
      </c>
    </row>
    <row r="523" ht="15.75" customHeight="1">
      <c r="A523" s="385" t="s">
        <v>2906</v>
      </c>
    </row>
    <row r="524" ht="15.75" customHeight="1">
      <c r="A524" s="385" t="s">
        <v>2908</v>
      </c>
    </row>
    <row r="525" ht="15.75" customHeight="1">
      <c r="A525" s="385" t="s">
        <v>2910</v>
      </c>
    </row>
    <row r="526" ht="15.75" customHeight="1">
      <c r="A526" s="385" t="s">
        <v>2912</v>
      </c>
    </row>
    <row r="527" ht="15.75" customHeight="1">
      <c r="A527" s="385" t="s">
        <v>2913</v>
      </c>
    </row>
    <row r="528" ht="15.75" customHeight="1">
      <c r="A528" s="385" t="s">
        <v>2914</v>
      </c>
    </row>
    <row r="529" ht="15.75" customHeight="1">
      <c r="A529" s="385" t="s">
        <v>2915</v>
      </c>
    </row>
    <row r="530" ht="15.75" customHeight="1">
      <c r="A530" s="385" t="s">
        <v>2916</v>
      </c>
    </row>
    <row r="531" ht="15.75" customHeight="1">
      <c r="A531" s="385" t="s">
        <v>2917</v>
      </c>
    </row>
    <row r="532" ht="15.75" customHeight="1">
      <c r="A532" s="385" t="s">
        <v>2477</v>
      </c>
    </row>
    <row r="533" ht="15.75" customHeight="1">
      <c r="A533" s="385" t="s">
        <v>21</v>
      </c>
    </row>
    <row r="534" ht="15.75" customHeight="1">
      <c r="A534" s="385" t="s">
        <v>2918</v>
      </c>
    </row>
    <row r="535" ht="15.75" customHeight="1">
      <c r="A535" s="385" t="s">
        <v>2919</v>
      </c>
    </row>
    <row r="536" ht="15.75" customHeight="1">
      <c r="A536" s="385" t="s">
        <v>2920</v>
      </c>
    </row>
    <row r="537" ht="15.75" customHeight="1">
      <c r="A537" s="385" t="s">
        <v>2465</v>
      </c>
    </row>
    <row r="538" ht="15.75" customHeight="1">
      <c r="A538" s="385" t="s">
        <v>2479</v>
      </c>
    </row>
    <row r="539" ht="15.75" customHeight="1">
      <c r="A539" s="385" t="s">
        <v>21</v>
      </c>
    </row>
    <row r="540" ht="15.75" customHeight="1">
      <c r="A540" s="385" t="s">
        <v>2384</v>
      </c>
    </row>
    <row r="541" ht="15.75" customHeight="1">
      <c r="A541" s="385" t="s">
        <v>2921</v>
      </c>
    </row>
    <row r="542" ht="15.75" customHeight="1">
      <c r="A542" s="385" t="s">
        <v>2412</v>
      </c>
    </row>
    <row r="543" ht="15.75" customHeight="1">
      <c r="A543" s="385" t="s">
        <v>2922</v>
      </c>
    </row>
    <row r="544" ht="15.75" customHeight="1">
      <c r="A544" s="385" t="s">
        <v>2484</v>
      </c>
    </row>
    <row r="545" ht="15.75" customHeight="1">
      <c r="A545" s="385" t="s">
        <v>2634</v>
      </c>
    </row>
    <row r="546" ht="15.75" customHeight="1">
      <c r="A546" s="385" t="s">
        <v>2635</v>
      </c>
    </row>
    <row r="547" ht="15.75" customHeight="1">
      <c r="A547" s="385" t="s">
        <v>21</v>
      </c>
    </row>
    <row r="548" ht="15.75" customHeight="1">
      <c r="A548" s="385" t="s">
        <v>2923</v>
      </c>
    </row>
    <row r="549" ht="15.75" customHeight="1">
      <c r="A549" s="385" t="s">
        <v>2924</v>
      </c>
    </row>
    <row r="550" ht="15.75" customHeight="1">
      <c r="A550" s="385" t="s">
        <v>2925</v>
      </c>
    </row>
    <row r="551" ht="15.75" customHeight="1">
      <c r="A551" s="385" t="s">
        <v>2544</v>
      </c>
    </row>
    <row r="552" ht="15.75" customHeight="1">
      <c r="A552" s="385" t="s">
        <v>21</v>
      </c>
    </row>
    <row r="553" ht="15.75" customHeight="1">
      <c r="A553" s="385" t="s">
        <v>2926</v>
      </c>
    </row>
    <row r="554" ht="15.75" customHeight="1">
      <c r="A554" s="385" t="s">
        <v>2927</v>
      </c>
    </row>
    <row r="555" ht="15.75" customHeight="1">
      <c r="A555" s="385" t="s">
        <v>2928</v>
      </c>
    </row>
    <row r="556" ht="15.75" customHeight="1">
      <c r="A556" s="385" t="s">
        <v>21</v>
      </c>
    </row>
    <row r="557" ht="15.75" customHeight="1">
      <c r="A557" s="385" t="s">
        <v>2929</v>
      </c>
    </row>
    <row r="558" ht="15.75" customHeight="1">
      <c r="A558" s="385" t="s">
        <v>2930</v>
      </c>
    </row>
    <row r="559" ht="15.75" customHeight="1">
      <c r="A559" s="385" t="s">
        <v>2931</v>
      </c>
    </row>
    <row r="560" ht="15.75" customHeight="1">
      <c r="A560" s="385" t="s">
        <v>2932</v>
      </c>
    </row>
    <row r="561" ht="15.75" customHeight="1">
      <c r="A561" s="385" t="s">
        <v>2933</v>
      </c>
    </row>
    <row r="562" ht="15.75" customHeight="1">
      <c r="A562" s="385" t="s">
        <v>2934</v>
      </c>
    </row>
    <row r="563" ht="15.75" customHeight="1">
      <c r="A563" s="385" t="s">
        <v>2935</v>
      </c>
    </row>
    <row r="564" ht="15.75" customHeight="1">
      <c r="A564" s="385" t="s">
        <v>2936</v>
      </c>
    </row>
    <row r="565" ht="15.75" customHeight="1">
      <c r="A565" s="385" t="s">
        <v>2477</v>
      </c>
    </row>
    <row r="566" ht="15.75" customHeight="1">
      <c r="A566" s="385" t="s">
        <v>2544</v>
      </c>
    </row>
    <row r="567" ht="15.75" customHeight="1">
      <c r="A567" s="385" t="s">
        <v>21</v>
      </c>
    </row>
    <row r="568" ht="15.75" customHeight="1">
      <c r="A568" s="385" t="s">
        <v>2511</v>
      </c>
    </row>
    <row r="569" ht="15.75" customHeight="1">
      <c r="A569" s="385" t="s">
        <v>2940</v>
      </c>
    </row>
    <row r="570" ht="15.75" customHeight="1">
      <c r="A570" s="385" t="s">
        <v>2941</v>
      </c>
    </row>
    <row r="571" ht="15.75" customHeight="1">
      <c r="A571" s="385" t="s">
        <v>2942</v>
      </c>
    </row>
    <row r="572" ht="15.75" customHeight="1">
      <c r="A572" s="385" t="s">
        <v>2479</v>
      </c>
    </row>
    <row r="573" ht="15.75" customHeight="1">
      <c r="A573" s="385" t="s">
        <v>21</v>
      </c>
    </row>
    <row r="574" ht="15.75" customHeight="1">
      <c r="A574" s="385" t="s">
        <v>2384</v>
      </c>
    </row>
    <row r="575" ht="15.75" customHeight="1">
      <c r="A575" s="385" t="s">
        <v>2943</v>
      </c>
    </row>
    <row r="576" ht="15.75" customHeight="1">
      <c r="A576" s="385" t="s">
        <v>2412</v>
      </c>
    </row>
    <row r="577" ht="15.75" customHeight="1">
      <c r="A577" s="385" t="s">
        <v>2944</v>
      </c>
    </row>
    <row r="578" ht="15.75" customHeight="1">
      <c r="A578" s="385" t="s">
        <v>2484</v>
      </c>
    </row>
    <row r="579" ht="15.75" customHeight="1">
      <c r="A579" s="385" t="s">
        <v>2634</v>
      </c>
    </row>
    <row r="580" ht="15.75" customHeight="1">
      <c r="A580" s="385" t="s">
        <v>2945</v>
      </c>
    </row>
    <row r="581" ht="15.75" customHeight="1">
      <c r="A581" s="385" t="s">
        <v>2946</v>
      </c>
    </row>
    <row r="582" ht="15.75" customHeight="1">
      <c r="A582" s="385" t="s">
        <v>2947</v>
      </c>
    </row>
    <row r="583" ht="15.75" customHeight="1">
      <c r="A583" s="385" t="s">
        <v>2948</v>
      </c>
    </row>
    <row r="584" ht="15.75" customHeight="1">
      <c r="A584" s="385" t="s">
        <v>2949</v>
      </c>
    </row>
    <row r="585" ht="15.75" customHeight="1">
      <c r="A585" s="385" t="s">
        <v>2950</v>
      </c>
    </row>
    <row r="586" ht="15.75" customHeight="1">
      <c r="A586" s="385" t="s">
        <v>2951</v>
      </c>
    </row>
    <row r="587" ht="15.75" customHeight="1">
      <c r="A587" s="385" t="s">
        <v>2952</v>
      </c>
    </row>
    <row r="588" ht="15.75" customHeight="1">
      <c r="A588" s="385" t="s">
        <v>2953</v>
      </c>
    </row>
    <row r="589" ht="15.75" customHeight="1">
      <c r="A589" s="385" t="s">
        <v>2954</v>
      </c>
    </row>
    <row r="590" ht="15.75" customHeight="1">
      <c r="A590" s="385" t="s">
        <v>2955</v>
      </c>
    </row>
    <row r="591" ht="15.75" customHeight="1">
      <c r="A591" s="385" t="s">
        <v>2835</v>
      </c>
    </row>
    <row r="592" ht="15.75" customHeight="1">
      <c r="A592" s="385" t="s">
        <v>2479</v>
      </c>
    </row>
    <row r="593" ht="15.75" customHeight="1">
      <c r="A593" s="385" t="s">
        <v>21</v>
      </c>
    </row>
    <row r="594" ht="15.75" customHeight="1">
      <c r="A594" s="385" t="s">
        <v>2384</v>
      </c>
    </row>
    <row r="595" ht="15.75" customHeight="1">
      <c r="A595" s="385" t="s">
        <v>2956</v>
      </c>
    </row>
    <row r="596" ht="15.75" customHeight="1">
      <c r="A596" s="385" t="s">
        <v>2412</v>
      </c>
    </row>
    <row r="597" ht="15.75" customHeight="1">
      <c r="A597" s="385" t="s">
        <v>2957</v>
      </c>
    </row>
    <row r="598" ht="15.75" customHeight="1">
      <c r="A598" s="385" t="s">
        <v>2730</v>
      </c>
    </row>
    <row r="599" ht="15.75" customHeight="1">
      <c r="A599" s="385" t="s">
        <v>2733</v>
      </c>
    </row>
    <row r="600" ht="15.75" customHeight="1">
      <c r="A600" s="385" t="s">
        <v>2958</v>
      </c>
    </row>
    <row r="601" ht="15.75" customHeight="1">
      <c r="A601" s="385" t="s">
        <v>2959</v>
      </c>
    </row>
    <row r="602" ht="15.75" customHeight="1">
      <c r="A602" s="385" t="s">
        <v>2960</v>
      </c>
    </row>
    <row r="603" ht="15.75" customHeight="1">
      <c r="A603" s="385" t="s">
        <v>2961</v>
      </c>
    </row>
    <row r="604" ht="15.75" customHeight="1">
      <c r="A604" s="385" t="s">
        <v>2962</v>
      </c>
    </row>
    <row r="605" ht="15.75" customHeight="1">
      <c r="A605" s="385" t="s">
        <v>2963</v>
      </c>
    </row>
    <row r="606" ht="15.75" customHeight="1">
      <c r="A606" s="385" t="s">
        <v>2965</v>
      </c>
    </row>
    <row r="607" ht="15.75" customHeight="1">
      <c r="A607" s="385" t="s">
        <v>2967</v>
      </c>
    </row>
    <row r="608" ht="15.75" customHeight="1">
      <c r="A608" s="385" t="s">
        <v>2969</v>
      </c>
    </row>
    <row r="609" ht="15.75" customHeight="1">
      <c r="A609" s="385" t="s">
        <v>2970</v>
      </c>
    </row>
    <row r="610" ht="15.75" customHeight="1">
      <c r="A610" s="385" t="s">
        <v>2971</v>
      </c>
    </row>
    <row r="611" ht="15.75" customHeight="1">
      <c r="A611" s="385" t="s">
        <v>2972</v>
      </c>
    </row>
    <row r="612" ht="15.75" customHeight="1">
      <c r="A612" s="385" t="s">
        <v>2973</v>
      </c>
    </row>
    <row r="613" ht="15.75" customHeight="1">
      <c r="A613" s="385" t="s">
        <v>2970</v>
      </c>
    </row>
    <row r="614" ht="15.75" customHeight="1">
      <c r="A614" s="385" t="s">
        <v>2974</v>
      </c>
    </row>
    <row r="615" ht="15.75" customHeight="1">
      <c r="A615" s="385" t="s">
        <v>2975</v>
      </c>
    </row>
    <row r="616" ht="15.75" customHeight="1">
      <c r="A616" s="385" t="s">
        <v>2970</v>
      </c>
    </row>
    <row r="617" ht="15.75" customHeight="1">
      <c r="A617" s="385" t="s">
        <v>2976</v>
      </c>
    </row>
    <row r="618" ht="15.75" customHeight="1">
      <c r="A618" s="385" t="s">
        <v>2977</v>
      </c>
    </row>
    <row r="619" ht="15.75" customHeight="1">
      <c r="A619" s="385" t="s">
        <v>2978</v>
      </c>
    </row>
    <row r="620" ht="15.75" customHeight="1">
      <c r="A620" s="385" t="s">
        <v>2970</v>
      </c>
    </row>
    <row r="621" ht="15.75" customHeight="1">
      <c r="A621" s="385" t="s">
        <v>2979</v>
      </c>
    </row>
    <row r="622" ht="15.75" customHeight="1">
      <c r="A622" s="385" t="s">
        <v>2980</v>
      </c>
    </row>
    <row r="623" ht="15.75" customHeight="1">
      <c r="A623" s="385" t="s">
        <v>2981</v>
      </c>
    </row>
    <row r="624" ht="15.75" customHeight="1">
      <c r="A624" s="385" t="s">
        <v>2982</v>
      </c>
    </row>
    <row r="625" ht="15.75" customHeight="1">
      <c r="A625" s="385" t="s">
        <v>2983</v>
      </c>
    </row>
    <row r="626" ht="15.75" customHeight="1">
      <c r="A626" s="385" t="s">
        <v>2984</v>
      </c>
    </row>
    <row r="627" ht="15.75" customHeight="1">
      <c r="A627" s="385" t="s">
        <v>2970</v>
      </c>
    </row>
    <row r="628" ht="15.75" customHeight="1">
      <c r="A628" s="385" t="s">
        <v>2985</v>
      </c>
    </row>
    <row r="629" ht="15.75" customHeight="1">
      <c r="A629" s="385" t="s">
        <v>2986</v>
      </c>
    </row>
    <row r="630" ht="15.75" customHeight="1">
      <c r="A630" s="385" t="s">
        <v>2987</v>
      </c>
    </row>
    <row r="631" ht="15.75" customHeight="1">
      <c r="A631" s="385" t="s">
        <v>2988</v>
      </c>
    </row>
    <row r="632" ht="15.75" customHeight="1">
      <c r="A632" s="385" t="s">
        <v>2989</v>
      </c>
    </row>
    <row r="633" ht="15.75" customHeight="1">
      <c r="A633" s="385" t="s">
        <v>2990</v>
      </c>
    </row>
    <row r="634" ht="15.75" customHeight="1">
      <c r="A634" s="385" t="s">
        <v>2991</v>
      </c>
    </row>
    <row r="635" ht="15.75" customHeight="1">
      <c r="A635" s="385" t="s">
        <v>2992</v>
      </c>
    </row>
    <row r="636" ht="15.75" customHeight="1">
      <c r="A636" s="385" t="s">
        <v>2993</v>
      </c>
    </row>
    <row r="637" ht="15.75" customHeight="1">
      <c r="A637" s="385" t="s">
        <v>2994</v>
      </c>
    </row>
    <row r="638" ht="15.75" customHeight="1">
      <c r="A638" s="385" t="s">
        <v>2995</v>
      </c>
    </row>
    <row r="639" ht="15.75" customHeight="1">
      <c r="A639" s="385" t="s">
        <v>2996</v>
      </c>
    </row>
    <row r="640" ht="15.75" customHeight="1">
      <c r="A640" s="385" t="s">
        <v>21</v>
      </c>
    </row>
    <row r="641" ht="15.75" customHeight="1">
      <c r="A641" s="385" t="s">
        <v>2997</v>
      </c>
    </row>
    <row r="642" ht="15.75" customHeight="1">
      <c r="A642" s="385" t="s">
        <v>3000</v>
      </c>
    </row>
    <row r="643" ht="15.75" customHeight="1">
      <c r="A643" s="385" t="s">
        <v>3002</v>
      </c>
    </row>
    <row r="644" ht="15.75" customHeight="1">
      <c r="A644" s="385" t="s">
        <v>3003</v>
      </c>
    </row>
    <row r="645" ht="15.75" customHeight="1">
      <c r="A645" s="385" t="s">
        <v>3004</v>
      </c>
    </row>
    <row r="646" ht="15.75" customHeight="1">
      <c r="A646" s="385" t="s">
        <v>3000</v>
      </c>
    </row>
    <row r="647" ht="15.75" customHeight="1">
      <c r="A647" s="385" t="s">
        <v>3005</v>
      </c>
    </row>
    <row r="648" ht="15.75" customHeight="1">
      <c r="A648" s="385" t="s">
        <v>3006</v>
      </c>
    </row>
    <row r="649" ht="15.75" customHeight="1">
      <c r="A649" s="385" t="s">
        <v>3004</v>
      </c>
    </row>
    <row r="650" ht="15.75" customHeight="1">
      <c r="A650" s="385" t="s">
        <v>3007</v>
      </c>
    </row>
    <row r="651" ht="15.75" customHeight="1">
      <c r="A651" s="385" t="s">
        <v>3008</v>
      </c>
    </row>
    <row r="652" ht="15.75" customHeight="1">
      <c r="A652" s="385" t="s">
        <v>3009</v>
      </c>
    </row>
    <row r="653" ht="15.75" customHeight="1">
      <c r="A653" s="385" t="s">
        <v>3004</v>
      </c>
    </row>
    <row r="654" ht="15.75" customHeight="1">
      <c r="A654" s="385" t="s">
        <v>2996</v>
      </c>
    </row>
    <row r="655" ht="15.75" customHeight="1">
      <c r="A655" s="385" t="s">
        <v>21</v>
      </c>
    </row>
    <row r="656" ht="15.75" customHeight="1">
      <c r="A656" s="385" t="s">
        <v>3013</v>
      </c>
    </row>
    <row r="657" ht="15.75" customHeight="1">
      <c r="A657" s="385" t="s">
        <v>3014</v>
      </c>
    </row>
    <row r="658" ht="15.75" customHeight="1">
      <c r="A658" s="385" t="s">
        <v>3015</v>
      </c>
    </row>
    <row r="659" ht="15.75" customHeight="1">
      <c r="A659" s="385" t="s">
        <v>3016</v>
      </c>
    </row>
    <row r="660" ht="15.75" customHeight="1">
      <c r="A660" s="385" t="s">
        <v>3017</v>
      </c>
    </row>
    <row r="661" ht="15.75" customHeight="1">
      <c r="A661" s="385" t="s">
        <v>3018</v>
      </c>
    </row>
    <row r="662" ht="15.75" customHeight="1">
      <c r="A662" s="385" t="s">
        <v>3019</v>
      </c>
    </row>
    <row r="663" ht="15.75" customHeight="1">
      <c r="A663" s="385" t="s">
        <v>3020</v>
      </c>
    </row>
    <row r="664" ht="15.75" customHeight="1">
      <c r="A664" s="385" t="s">
        <v>3021</v>
      </c>
    </row>
    <row r="665" ht="15.75" customHeight="1">
      <c r="A665" s="385" t="s">
        <v>3022</v>
      </c>
    </row>
    <row r="666" ht="15.75" customHeight="1">
      <c r="A666" s="385" t="s">
        <v>3023</v>
      </c>
    </row>
    <row r="667" ht="15.75" customHeight="1">
      <c r="A667" s="385" t="s">
        <v>3024</v>
      </c>
    </row>
    <row r="668" ht="15.75" customHeight="1">
      <c r="A668" s="385" t="s">
        <v>3025</v>
      </c>
    </row>
    <row r="669" ht="15.75" customHeight="1">
      <c r="A669" s="385" t="s">
        <v>3004</v>
      </c>
    </row>
    <row r="670" ht="15.75" customHeight="1">
      <c r="A670" s="385" t="s">
        <v>3015</v>
      </c>
    </row>
    <row r="671" ht="15.75" customHeight="1">
      <c r="A671" s="385" t="s">
        <v>3026</v>
      </c>
    </row>
    <row r="672" ht="15.75" customHeight="1">
      <c r="A672" s="385" t="s">
        <v>3027</v>
      </c>
    </row>
    <row r="673" ht="15.75" customHeight="1">
      <c r="A673" s="385" t="s">
        <v>3029</v>
      </c>
    </row>
    <row r="674" ht="15.75" customHeight="1">
      <c r="A674" s="385" t="s">
        <v>3031</v>
      </c>
    </row>
    <row r="675" ht="15.75" customHeight="1">
      <c r="A675" s="385" t="s">
        <v>3025</v>
      </c>
    </row>
    <row r="676" ht="15.75" customHeight="1">
      <c r="A676" s="385" t="s">
        <v>3004</v>
      </c>
    </row>
    <row r="677" ht="15.75" customHeight="1">
      <c r="A677" s="385" t="s">
        <v>3035</v>
      </c>
    </row>
    <row r="678" ht="15.75" customHeight="1">
      <c r="A678" s="385" t="s">
        <v>3036</v>
      </c>
    </row>
    <row r="679" ht="15.75" customHeight="1">
      <c r="A679" s="385" t="s">
        <v>3037</v>
      </c>
    </row>
    <row r="680" ht="15.75" customHeight="1">
      <c r="A680" s="385" t="s">
        <v>3004</v>
      </c>
    </row>
    <row r="681" ht="15.75" customHeight="1">
      <c r="A681" s="385" t="s">
        <v>2996</v>
      </c>
    </row>
    <row r="682" ht="15.75" customHeight="1">
      <c r="A682" s="385" t="s">
        <v>21</v>
      </c>
    </row>
    <row r="683" ht="15.75" customHeight="1">
      <c r="A683" s="385" t="s">
        <v>3038</v>
      </c>
    </row>
    <row r="684" ht="15.75" customHeight="1">
      <c r="A684" s="385" t="s">
        <v>3039</v>
      </c>
    </row>
    <row r="685" ht="15.75" customHeight="1">
      <c r="A685" s="385" t="s">
        <v>3041</v>
      </c>
    </row>
    <row r="686" ht="15.75" customHeight="1">
      <c r="A686" s="385" t="s">
        <v>3044</v>
      </c>
    </row>
    <row r="687" ht="15.75" customHeight="1">
      <c r="A687" s="385" t="s">
        <v>2996</v>
      </c>
    </row>
    <row r="688" ht="15.75" customHeight="1">
      <c r="A688" s="385" t="s">
        <v>3047</v>
      </c>
    </row>
    <row r="689" ht="15.75" customHeight="1">
      <c r="A689" s="385" t="s">
        <v>3048</v>
      </c>
    </row>
    <row r="690" ht="15.75" customHeight="1">
      <c r="A690" s="385" t="s">
        <v>3049</v>
      </c>
    </row>
    <row r="691" ht="15.75" customHeight="1">
      <c r="A691" s="385" t="s">
        <v>2996</v>
      </c>
    </row>
    <row r="692" ht="15.75" customHeight="1">
      <c r="A692" s="385" t="s">
        <v>3050</v>
      </c>
    </row>
    <row r="693" ht="15.75" customHeight="1">
      <c r="A693" s="385" t="s">
        <v>3051</v>
      </c>
    </row>
    <row r="694" ht="15.75" customHeight="1">
      <c r="A694" s="385" t="s">
        <v>3052</v>
      </c>
    </row>
    <row r="695" ht="15.75" customHeight="1">
      <c r="A695" s="385" t="s">
        <v>2996</v>
      </c>
    </row>
    <row r="696" ht="15.75" customHeight="1">
      <c r="A696" s="385" t="s">
        <v>3053</v>
      </c>
    </row>
    <row r="697" ht="15.75" customHeight="1">
      <c r="A697" s="385" t="s">
        <v>3054</v>
      </c>
    </row>
    <row r="698" ht="15.75" customHeight="1">
      <c r="A698" s="385" t="s">
        <v>3055</v>
      </c>
    </row>
    <row r="699" ht="15.75" customHeight="1">
      <c r="A699" s="385" t="s">
        <v>2996</v>
      </c>
    </row>
    <row r="700" ht="15.75" customHeight="1">
      <c r="A700" s="385" t="s">
        <v>3056</v>
      </c>
    </row>
    <row r="701" ht="15.75" customHeight="1">
      <c r="A701" s="385" t="s">
        <v>3057</v>
      </c>
    </row>
    <row r="702" ht="15.75" customHeight="1">
      <c r="A702" s="385" t="s">
        <v>3058</v>
      </c>
    </row>
    <row r="703" ht="15.75" customHeight="1">
      <c r="A703" s="385" t="s">
        <v>2996</v>
      </c>
    </row>
    <row r="704" ht="15.75" customHeight="1">
      <c r="A704" s="385" t="s">
        <v>21</v>
      </c>
    </row>
    <row r="705" ht="15.75" customHeight="1">
      <c r="A705" s="385" t="s">
        <v>3059</v>
      </c>
    </row>
    <row r="706" ht="15.75" customHeight="1">
      <c r="A706" s="385" t="s">
        <v>3060</v>
      </c>
    </row>
    <row r="707" ht="15.75" customHeight="1">
      <c r="A707" s="385" t="s">
        <v>3061</v>
      </c>
    </row>
    <row r="708" ht="15.75" customHeight="1">
      <c r="A708" s="385" t="s">
        <v>3062</v>
      </c>
    </row>
    <row r="709" ht="15.75" customHeight="1">
      <c r="A709" s="385" t="s">
        <v>2996</v>
      </c>
    </row>
    <row r="710" ht="15.75" customHeight="1">
      <c r="A710" s="385" t="s">
        <v>3063</v>
      </c>
    </row>
    <row r="711" ht="15.75" customHeight="1">
      <c r="A711" s="385" t="s">
        <v>3064</v>
      </c>
    </row>
    <row r="712" ht="15.75" customHeight="1">
      <c r="A712" s="385" t="s">
        <v>3065</v>
      </c>
    </row>
    <row r="713" ht="15.75" customHeight="1">
      <c r="A713" s="385" t="s">
        <v>2996</v>
      </c>
    </row>
    <row r="714" ht="15.75" customHeight="1">
      <c r="A714" s="385" t="s">
        <v>3066</v>
      </c>
    </row>
    <row r="715" ht="15.75" customHeight="1">
      <c r="A715" s="385" t="s">
        <v>3067</v>
      </c>
    </row>
    <row r="716" ht="15.75" customHeight="1">
      <c r="A716" s="385" t="s">
        <v>3068</v>
      </c>
    </row>
    <row r="717" ht="15.75" customHeight="1">
      <c r="A717" s="385" t="s">
        <v>2996</v>
      </c>
    </row>
    <row r="718" ht="15.75" customHeight="1">
      <c r="A718" s="385" t="s">
        <v>21</v>
      </c>
    </row>
    <row r="719" ht="15.75" customHeight="1">
      <c r="A719" s="385" t="s">
        <v>3069</v>
      </c>
    </row>
    <row r="720" ht="15.75" customHeight="1">
      <c r="A720" s="385" t="s">
        <v>3070</v>
      </c>
    </row>
    <row r="721" ht="15.75" customHeight="1">
      <c r="A721" s="385" t="s">
        <v>3071</v>
      </c>
    </row>
    <row r="722" ht="15.75" customHeight="1">
      <c r="A722" s="385" t="s">
        <v>3072</v>
      </c>
    </row>
    <row r="723" ht="15.75" customHeight="1">
      <c r="A723" s="385" t="s">
        <v>3073</v>
      </c>
    </row>
    <row r="724" ht="15.75" customHeight="1">
      <c r="A724" s="385" t="s">
        <v>3075</v>
      </c>
    </row>
    <row r="725" ht="15.75" customHeight="1">
      <c r="A725" s="385" t="s">
        <v>3077</v>
      </c>
    </row>
    <row r="726" ht="15.75" customHeight="1">
      <c r="A726" s="385" t="s">
        <v>3078</v>
      </c>
    </row>
    <row r="727" ht="15.75" customHeight="1">
      <c r="A727" s="385" t="s">
        <v>3081</v>
      </c>
    </row>
    <row r="728" ht="15.75" customHeight="1">
      <c r="A728" s="385" t="s">
        <v>3082</v>
      </c>
    </row>
    <row r="729" ht="15.75" customHeight="1">
      <c r="A729" s="385" t="s">
        <v>21</v>
      </c>
    </row>
    <row r="730" ht="15.75" customHeight="1">
      <c r="A730" s="385" t="s">
        <v>3083</v>
      </c>
    </row>
    <row r="731" ht="15.75" customHeight="1">
      <c r="A731" s="385" t="s">
        <v>3084</v>
      </c>
    </row>
    <row r="732" ht="15.75" customHeight="1">
      <c r="A732" s="385" t="s">
        <v>3085</v>
      </c>
    </row>
    <row r="733" ht="15.75" customHeight="1">
      <c r="A733" s="385" t="s">
        <v>3086</v>
      </c>
    </row>
    <row r="734" ht="15.75" customHeight="1">
      <c r="A734" s="385" t="s">
        <v>3087</v>
      </c>
    </row>
    <row r="735" ht="15.75" customHeight="1">
      <c r="A735" s="385" t="s">
        <v>3088</v>
      </c>
    </row>
    <row r="736" ht="15.75" customHeight="1">
      <c r="A736" s="385" t="s">
        <v>3082</v>
      </c>
    </row>
    <row r="737" ht="15.75" customHeight="1">
      <c r="A737" s="385" t="s">
        <v>21</v>
      </c>
    </row>
    <row r="738" ht="15.75" customHeight="1">
      <c r="A738" s="385" t="s">
        <v>3089</v>
      </c>
    </row>
    <row r="739" ht="15.75" customHeight="1">
      <c r="A739" s="385" t="s">
        <v>3086</v>
      </c>
    </row>
    <row r="740" ht="15.75" customHeight="1">
      <c r="A740" s="385" t="s">
        <v>3087</v>
      </c>
    </row>
    <row r="741" ht="15.75" customHeight="1">
      <c r="A741" s="385" t="s">
        <v>3090</v>
      </c>
    </row>
    <row r="742" ht="15.75" customHeight="1">
      <c r="A742" s="385" t="s">
        <v>3082</v>
      </c>
    </row>
    <row r="743" ht="15.75" customHeight="1">
      <c r="A743" s="385" t="s">
        <v>21</v>
      </c>
    </row>
    <row r="744" ht="15.75" customHeight="1">
      <c r="A744" s="385" t="s">
        <v>3091</v>
      </c>
    </row>
    <row r="745" ht="15.75" customHeight="1">
      <c r="A745" s="385" t="s">
        <v>3092</v>
      </c>
    </row>
    <row r="746" ht="15.75" customHeight="1">
      <c r="A746" s="385" t="s">
        <v>3082</v>
      </c>
    </row>
    <row r="747" ht="15.75" customHeight="1">
      <c r="A747" s="385" t="s">
        <v>21</v>
      </c>
    </row>
    <row r="748" ht="15.75" customHeight="1">
      <c r="A748" s="385" t="s">
        <v>3093</v>
      </c>
    </row>
    <row r="749" ht="15.75" customHeight="1">
      <c r="A749" s="385" t="s">
        <v>3094</v>
      </c>
    </row>
    <row r="750" ht="15.75" customHeight="1">
      <c r="A750" s="385" t="s">
        <v>3095</v>
      </c>
    </row>
    <row r="751" ht="15.75" customHeight="1">
      <c r="A751" s="385" t="s">
        <v>3096</v>
      </c>
    </row>
    <row r="752" ht="15.75" customHeight="1">
      <c r="A752" s="385" t="s">
        <v>3098</v>
      </c>
    </row>
    <row r="753" ht="15.75" customHeight="1">
      <c r="A753" s="385" t="s">
        <v>3100</v>
      </c>
    </row>
    <row r="754" ht="15.75" customHeight="1">
      <c r="A754" s="385" t="s">
        <v>2479</v>
      </c>
    </row>
    <row r="755" ht="15.75" customHeight="1">
      <c r="A755" s="385" t="s">
        <v>21</v>
      </c>
    </row>
    <row r="756" ht="15.75" customHeight="1">
      <c r="A756" s="385" t="s">
        <v>2384</v>
      </c>
    </row>
    <row r="757" ht="15.75" customHeight="1">
      <c r="A757" s="385" t="s">
        <v>3101</v>
      </c>
    </row>
    <row r="758" ht="15.75" customHeight="1">
      <c r="A758" s="385" t="s">
        <v>2412</v>
      </c>
    </row>
    <row r="759" ht="15.75" customHeight="1">
      <c r="A759" s="385" t="s">
        <v>3102</v>
      </c>
    </row>
    <row r="760" ht="15.75" customHeight="1">
      <c r="A760" s="385" t="s">
        <v>2484</v>
      </c>
    </row>
    <row r="761" ht="15.75" customHeight="1">
      <c r="A761" s="385" t="s">
        <v>3103</v>
      </c>
    </row>
    <row r="762" ht="15.75" customHeight="1">
      <c r="A762" s="385" t="s">
        <v>3104</v>
      </c>
    </row>
    <row r="763" ht="15.75" customHeight="1">
      <c r="A763" s="385" t="s">
        <v>3105</v>
      </c>
    </row>
    <row r="764" ht="15.75" customHeight="1">
      <c r="A764" s="385" t="s">
        <v>2700</v>
      </c>
    </row>
    <row r="765" ht="15.75" customHeight="1">
      <c r="A765" s="385" t="s">
        <v>2477</v>
      </c>
    </row>
    <row r="766" ht="15.75" customHeight="1">
      <c r="A766" s="385" t="s">
        <v>3107</v>
      </c>
    </row>
    <row r="767" ht="15.75" customHeight="1">
      <c r="A767" s="385" t="s">
        <v>2465</v>
      </c>
    </row>
    <row r="768" ht="15.75" customHeight="1">
      <c r="A768" s="385" t="s">
        <v>2479</v>
      </c>
    </row>
    <row r="769" ht="15.75" customHeight="1">
      <c r="A769" s="385" t="s">
        <v>21</v>
      </c>
    </row>
    <row r="770" ht="15.75" customHeight="1">
      <c r="A770" s="385" t="s">
        <v>2384</v>
      </c>
    </row>
    <row r="771" ht="15.75" customHeight="1">
      <c r="A771" s="385" t="s">
        <v>3110</v>
      </c>
    </row>
    <row r="772" ht="15.75" customHeight="1">
      <c r="A772" s="385" t="s">
        <v>2412</v>
      </c>
    </row>
    <row r="773" ht="15.75" customHeight="1">
      <c r="A773" s="385" t="s">
        <v>3111</v>
      </c>
    </row>
    <row r="774" ht="15.75" customHeight="1">
      <c r="A774" s="385" t="s">
        <v>2484</v>
      </c>
    </row>
    <row r="775" ht="15.75" customHeight="1">
      <c r="A775" s="385" t="s">
        <v>2511</v>
      </c>
    </row>
    <row r="776" ht="15.75" customHeight="1">
      <c r="A776" s="385" t="s">
        <v>3113</v>
      </c>
    </row>
    <row r="777" ht="15.75" customHeight="1">
      <c r="A777" s="385" t="s">
        <v>3115</v>
      </c>
    </row>
    <row r="778" ht="15.75" customHeight="1">
      <c r="A778" s="385" t="s">
        <v>2515</v>
      </c>
    </row>
    <row r="779" ht="15.75" customHeight="1">
      <c r="A779" s="385" t="s">
        <v>3118</v>
      </c>
    </row>
    <row r="780" ht="15.75" customHeight="1">
      <c r="A780" s="385" t="s">
        <v>2465</v>
      </c>
    </row>
    <row r="781" ht="15.75" customHeight="1">
      <c r="A781" s="385" t="s">
        <v>2479</v>
      </c>
    </row>
    <row r="782" ht="15.75" customHeight="1">
      <c r="A782" s="385" t="s">
        <v>21</v>
      </c>
    </row>
    <row r="783" ht="15.75" customHeight="1">
      <c r="A783" s="385" t="s">
        <v>2384</v>
      </c>
    </row>
    <row r="784" ht="15.75" customHeight="1">
      <c r="A784" s="385" t="s">
        <v>3120</v>
      </c>
    </row>
    <row r="785" ht="15.75" customHeight="1">
      <c r="A785" s="385" t="s">
        <v>3122</v>
      </c>
    </row>
    <row r="786" ht="15.75" customHeight="1">
      <c r="A786" s="385" t="s">
        <v>2412</v>
      </c>
    </row>
    <row r="787" ht="15.75" customHeight="1">
      <c r="A787" s="385" t="s">
        <v>3125</v>
      </c>
    </row>
    <row r="788" ht="15.75" customHeight="1">
      <c r="A788" s="385" t="s">
        <v>3127</v>
      </c>
    </row>
    <row r="789" ht="15.75" customHeight="1">
      <c r="A789" s="385" t="s">
        <v>3128</v>
      </c>
    </row>
    <row r="790" ht="15.75" customHeight="1">
      <c r="A790" s="385" t="s">
        <v>3129</v>
      </c>
    </row>
    <row r="791" ht="15.75" customHeight="1">
      <c r="A791" s="385" t="s">
        <v>3131</v>
      </c>
    </row>
    <row r="792" ht="15.75" customHeight="1">
      <c r="A792" s="385" t="s">
        <v>2484</v>
      </c>
    </row>
    <row r="793" ht="15.75" customHeight="1">
      <c r="A793" s="385" t="s">
        <v>21</v>
      </c>
    </row>
    <row r="794" ht="15.75" customHeight="1">
      <c r="A794" s="385" t="s">
        <v>3132</v>
      </c>
    </row>
    <row r="795" ht="15.75" customHeight="1">
      <c r="A795" s="385" t="s">
        <v>3133</v>
      </c>
    </row>
    <row r="796" ht="15.75" customHeight="1">
      <c r="A796" s="385" t="s">
        <v>3135</v>
      </c>
    </row>
    <row r="797" ht="15.75" customHeight="1">
      <c r="A797" s="385" t="s">
        <v>3136</v>
      </c>
    </row>
    <row r="798" ht="15.75" customHeight="1">
      <c r="A798" s="385" t="s">
        <v>3137</v>
      </c>
    </row>
    <row r="799" ht="15.75" customHeight="1">
      <c r="A799" s="385" t="s">
        <v>3138</v>
      </c>
    </row>
    <row r="800" ht="15.75" customHeight="1">
      <c r="A800" s="385" t="s">
        <v>2465</v>
      </c>
    </row>
    <row r="801" ht="15.75" customHeight="1">
      <c r="A801" s="385" t="s">
        <v>21</v>
      </c>
    </row>
    <row r="802" ht="15.75" customHeight="1">
      <c r="A802" s="385" t="s">
        <v>3140</v>
      </c>
    </row>
    <row r="803" ht="15.75" customHeight="1">
      <c r="A803" s="385" t="s">
        <v>3141</v>
      </c>
    </row>
    <row r="804" ht="15.75" customHeight="1">
      <c r="A804" s="385" t="s">
        <v>3142</v>
      </c>
    </row>
    <row r="805" ht="15.75" customHeight="1">
      <c r="A805" s="385" t="s">
        <v>3143</v>
      </c>
    </row>
    <row r="806" ht="15.75" customHeight="1">
      <c r="A806" s="385" t="s">
        <v>3138</v>
      </c>
    </row>
    <row r="807" ht="15.75" customHeight="1">
      <c r="A807" s="385" t="s">
        <v>2465</v>
      </c>
    </row>
    <row r="808" ht="15.75" customHeight="1">
      <c r="A808" s="385" t="s">
        <v>21</v>
      </c>
    </row>
    <row r="809" ht="15.75" customHeight="1">
      <c r="A809" s="385" t="s">
        <v>3145</v>
      </c>
    </row>
    <row r="810" ht="15.75" customHeight="1">
      <c r="A810" s="385" t="s">
        <v>3146</v>
      </c>
    </row>
    <row r="811" ht="15.75" customHeight="1">
      <c r="A811" s="385" t="s">
        <v>2877</v>
      </c>
    </row>
    <row r="812" ht="15.75" customHeight="1">
      <c r="A812" s="385" t="s">
        <v>3148</v>
      </c>
    </row>
    <row r="813" ht="15.75" customHeight="1">
      <c r="A813" s="385" t="s">
        <v>3149</v>
      </c>
    </row>
    <row r="814" ht="15.75" customHeight="1">
      <c r="A814" s="385" t="s">
        <v>2536</v>
      </c>
    </row>
    <row r="815" ht="15.75" customHeight="1">
      <c r="A815" s="385" t="s">
        <v>2477</v>
      </c>
    </row>
    <row r="816" ht="15.75" customHeight="1">
      <c r="A816" s="385" t="s">
        <v>3113</v>
      </c>
    </row>
    <row r="817" ht="15.75" customHeight="1">
      <c r="A817" s="385" t="s">
        <v>3151</v>
      </c>
    </row>
    <row r="818" ht="15.75" customHeight="1">
      <c r="A818" s="385" t="s">
        <v>3138</v>
      </c>
    </row>
    <row r="819" ht="15.75" customHeight="1">
      <c r="A819" s="385" t="s">
        <v>2465</v>
      </c>
    </row>
    <row r="820" ht="15.75" customHeight="1">
      <c r="A820" s="385" t="s">
        <v>2479</v>
      </c>
    </row>
    <row r="821" ht="15.75" customHeight="1">
      <c r="A821" s="385" t="s">
        <v>21</v>
      </c>
    </row>
    <row r="822" ht="15.75" customHeight="1">
      <c r="A822" s="385" t="s">
        <v>2384</v>
      </c>
    </row>
    <row r="823" ht="15.75" customHeight="1">
      <c r="A823" s="385" t="s">
        <v>3153</v>
      </c>
    </row>
    <row r="824" ht="15.75" customHeight="1">
      <c r="A824" s="385" t="s">
        <v>2412</v>
      </c>
    </row>
    <row r="825" ht="15.75" customHeight="1">
      <c r="A825" s="385" t="s">
        <v>3155</v>
      </c>
    </row>
    <row r="826" ht="15.75" customHeight="1">
      <c r="A826" s="385" t="s">
        <v>2484</v>
      </c>
    </row>
    <row r="827" ht="15.75" customHeight="1">
      <c r="A827" s="385" t="s">
        <v>3156</v>
      </c>
    </row>
    <row r="828" ht="15.75" customHeight="1">
      <c r="A828" s="385" t="s">
        <v>3157</v>
      </c>
    </row>
    <row r="829" ht="15.75" customHeight="1">
      <c r="A829" s="385" t="s">
        <v>3159</v>
      </c>
    </row>
    <row r="830" ht="15.75" customHeight="1">
      <c r="A830" s="385" t="s">
        <v>3160</v>
      </c>
    </row>
    <row r="831" ht="15.75" customHeight="1">
      <c r="A831" s="385" t="s">
        <v>2477</v>
      </c>
    </row>
    <row r="832" ht="15.75" customHeight="1">
      <c r="A832" s="385" t="s">
        <v>2544</v>
      </c>
    </row>
    <row r="833" ht="15.75" customHeight="1">
      <c r="A833" s="385" t="s">
        <v>3162</v>
      </c>
    </row>
    <row r="834" ht="15.75" customHeight="1">
      <c r="A834" s="385" t="s">
        <v>3163</v>
      </c>
    </row>
    <row r="835" ht="15.75" customHeight="1">
      <c r="A835" s="385" t="s">
        <v>3164</v>
      </c>
    </row>
    <row r="836" ht="15.75" customHeight="1">
      <c r="A836" s="385" t="s">
        <v>2479</v>
      </c>
    </row>
    <row r="837" ht="15.75" customHeight="1">
      <c r="A837" s="385" t="s">
        <v>21</v>
      </c>
    </row>
    <row r="838" ht="15.75" customHeight="1">
      <c r="A838" s="385" t="s">
        <v>2384</v>
      </c>
    </row>
    <row r="839" ht="15.75" customHeight="1">
      <c r="A839" s="385" t="s">
        <v>3167</v>
      </c>
    </row>
    <row r="840" ht="15.75" customHeight="1">
      <c r="A840" s="385" t="s">
        <v>2412</v>
      </c>
    </row>
    <row r="841" ht="15.75" customHeight="1">
      <c r="A841" s="385" t="s">
        <v>3171</v>
      </c>
    </row>
    <row r="842" ht="15.75" customHeight="1">
      <c r="A842" s="385" t="s">
        <v>2484</v>
      </c>
    </row>
    <row r="843" ht="15.75" customHeight="1">
      <c r="A843" s="385" t="s">
        <v>3173</v>
      </c>
    </row>
    <row r="844" ht="15.75" customHeight="1">
      <c r="A844" s="385" t="s">
        <v>2698</v>
      </c>
    </row>
    <row r="845" ht="15.75" customHeight="1">
      <c r="A845" s="385" t="s">
        <v>3176</v>
      </c>
    </row>
    <row r="846" ht="15.75" customHeight="1">
      <c r="A846" s="385" t="s">
        <v>3178</v>
      </c>
    </row>
    <row r="847" ht="15.75" customHeight="1">
      <c r="A847" s="385" t="s">
        <v>3179</v>
      </c>
    </row>
    <row r="848" ht="15.75" customHeight="1">
      <c r="A848" s="385" t="s">
        <v>2588</v>
      </c>
    </row>
    <row r="849" ht="15.75" customHeight="1">
      <c r="A849" s="385" t="s">
        <v>3180</v>
      </c>
    </row>
    <row r="850" ht="15.75" customHeight="1">
      <c r="A850" s="385" t="s">
        <v>3182</v>
      </c>
    </row>
    <row r="851" ht="15.75" customHeight="1">
      <c r="A851" s="385" t="s">
        <v>3183</v>
      </c>
    </row>
    <row r="852" ht="15.75" customHeight="1">
      <c r="A852" s="385" t="s">
        <v>2544</v>
      </c>
    </row>
    <row r="853" ht="15.75" customHeight="1">
      <c r="A853" s="385" t="s">
        <v>21</v>
      </c>
    </row>
    <row r="854" ht="15.75" customHeight="1">
      <c r="A854" s="385" t="s">
        <v>2634</v>
      </c>
    </row>
    <row r="855" ht="15.75" customHeight="1">
      <c r="A855" s="385" t="s">
        <v>3185</v>
      </c>
    </row>
    <row r="856" ht="15.75" customHeight="1">
      <c r="A856" s="385" t="s">
        <v>3186</v>
      </c>
    </row>
    <row r="857" ht="15.75" customHeight="1">
      <c r="A857" s="385" t="s">
        <v>3187</v>
      </c>
    </row>
    <row r="858" ht="15.75" customHeight="1">
      <c r="A858" s="385" t="s">
        <v>3188</v>
      </c>
    </row>
    <row r="859" ht="15.75" customHeight="1">
      <c r="A859" s="385" t="s">
        <v>3189</v>
      </c>
    </row>
    <row r="860" ht="15.75" customHeight="1">
      <c r="A860" s="385" t="s">
        <v>2588</v>
      </c>
    </row>
    <row r="861" ht="15.75" customHeight="1">
      <c r="A861" s="385" t="s">
        <v>2465</v>
      </c>
    </row>
    <row r="862" ht="15.75" customHeight="1">
      <c r="A862" s="385" t="s">
        <v>3191</v>
      </c>
    </row>
    <row r="863" ht="15.75" customHeight="1">
      <c r="A863" s="385" t="s">
        <v>2479</v>
      </c>
    </row>
    <row r="864" ht="15.75" customHeight="1">
      <c r="A864" s="385" t="s">
        <v>21</v>
      </c>
    </row>
    <row r="865" ht="15.75" customHeight="1">
      <c r="A865" s="385" t="s">
        <v>2384</v>
      </c>
    </row>
    <row r="866" ht="15.75" customHeight="1">
      <c r="A866" s="385" t="s">
        <v>3193</v>
      </c>
    </row>
    <row r="867" ht="15.75" customHeight="1">
      <c r="A867" s="385" t="s">
        <v>3194</v>
      </c>
    </row>
    <row r="868" ht="15.75" customHeight="1">
      <c r="A868" s="385" t="s">
        <v>2412</v>
      </c>
    </row>
    <row r="869" ht="15.75" customHeight="1">
      <c r="A869" s="385" t="s">
        <v>3195</v>
      </c>
    </row>
    <row r="870" ht="15.75" customHeight="1">
      <c r="A870" s="385" t="s">
        <v>2730</v>
      </c>
    </row>
    <row r="871" ht="15.75" customHeight="1">
      <c r="A871" s="385" t="s">
        <v>3197</v>
      </c>
    </row>
    <row r="872" ht="15.75" customHeight="1">
      <c r="A872" s="385" t="s">
        <v>3198</v>
      </c>
    </row>
    <row r="873" ht="15.75" customHeight="1">
      <c r="A873" s="385" t="s">
        <v>3199</v>
      </c>
    </row>
    <row r="874" ht="15.75" customHeight="1">
      <c r="A874" s="385" t="s">
        <v>3201</v>
      </c>
    </row>
    <row r="875" ht="15.75" customHeight="1">
      <c r="A875" s="385" t="s">
        <v>3203</v>
      </c>
    </row>
    <row r="876" ht="15.75" customHeight="1">
      <c r="A876" s="385" t="s">
        <v>3204</v>
      </c>
    </row>
    <row r="877" ht="15.75" customHeight="1">
      <c r="A877" s="385" t="s">
        <v>3201</v>
      </c>
    </row>
    <row r="878" ht="15.75" customHeight="1">
      <c r="A878" s="385" t="s">
        <v>3207</v>
      </c>
    </row>
    <row r="879" ht="15.75" customHeight="1">
      <c r="A879" s="385" t="s">
        <v>3208</v>
      </c>
    </row>
    <row r="880" ht="15.75" customHeight="1">
      <c r="A880" s="385" t="s">
        <v>3201</v>
      </c>
    </row>
    <row r="881" ht="15.75" customHeight="1">
      <c r="A881" s="385" t="s">
        <v>3209</v>
      </c>
    </row>
    <row r="882" ht="15.75" customHeight="1">
      <c r="A882" s="385" t="s">
        <v>3210</v>
      </c>
    </row>
    <row r="883" ht="15.75" customHeight="1">
      <c r="A883" s="385" t="s">
        <v>3211</v>
      </c>
    </row>
    <row r="884" ht="15.75" customHeight="1">
      <c r="A884" s="385" t="s">
        <v>3212</v>
      </c>
    </row>
    <row r="885" ht="15.75" customHeight="1">
      <c r="A885" s="385" t="s">
        <v>2479</v>
      </c>
    </row>
    <row r="886" ht="15.75" customHeight="1">
      <c r="A886" s="385" t="s">
        <v>21</v>
      </c>
    </row>
    <row r="887" ht="15.75" customHeight="1">
      <c r="A887" s="385" t="s">
        <v>3213</v>
      </c>
    </row>
    <row r="888" ht="15.75" customHeight="1">
      <c r="A888" s="385" t="s">
        <v>2456</v>
      </c>
    </row>
    <row r="889" ht="15.75" customHeight="1">
      <c r="A889" s="385" t="s">
        <v>3214</v>
      </c>
    </row>
    <row r="890" ht="15.75" customHeight="1">
      <c r="A890" s="385" t="s">
        <v>2479</v>
      </c>
    </row>
    <row r="891" ht="15.75" customHeight="1">
      <c r="A891" s="385" t="s">
        <v>21</v>
      </c>
    </row>
    <row r="892" ht="15.75" customHeight="1">
      <c r="A892" s="385" t="s">
        <v>3215</v>
      </c>
    </row>
    <row r="893" ht="15.75" customHeight="1">
      <c r="A893" s="385" t="s">
        <v>3216</v>
      </c>
    </row>
    <row r="894" ht="15.75" customHeight="1">
      <c r="A894" s="385" t="s">
        <v>3217</v>
      </c>
    </row>
    <row r="895" ht="15.75" customHeight="1">
      <c r="A895" s="385" t="s">
        <v>2479</v>
      </c>
    </row>
    <row r="896" ht="15.75" customHeight="1">
      <c r="A896" s="385" t="s">
        <v>21</v>
      </c>
    </row>
    <row r="897" ht="15.75" customHeight="1">
      <c r="A897" s="385" t="s">
        <v>3218</v>
      </c>
    </row>
    <row r="898" ht="15.75" customHeight="1">
      <c r="A898" s="385" t="s">
        <v>3219</v>
      </c>
    </row>
    <row r="899" ht="15.75" customHeight="1">
      <c r="A899" s="385" t="s">
        <v>21</v>
      </c>
    </row>
    <row r="900" ht="15.75" customHeight="1">
      <c r="A900" s="385" t="s">
        <v>2384</v>
      </c>
    </row>
    <row r="901" ht="15.75" customHeight="1">
      <c r="A901" s="385" t="s">
        <v>3220</v>
      </c>
    </row>
    <row r="902" ht="15.75" customHeight="1">
      <c r="A902" s="385" t="s">
        <v>2412</v>
      </c>
    </row>
    <row r="903" ht="15.75" customHeight="1">
      <c r="A903" s="385" t="s">
        <v>3221</v>
      </c>
    </row>
    <row r="904" ht="15.75" customHeight="1">
      <c r="A904" s="385" t="s">
        <v>2730</v>
      </c>
    </row>
    <row r="905" ht="15.75" customHeight="1">
      <c r="A905" s="385" t="s">
        <v>2733</v>
      </c>
    </row>
    <row r="906" ht="15.75" customHeight="1">
      <c r="A906" s="385" t="s">
        <v>2958</v>
      </c>
    </row>
    <row r="907" ht="15.75" customHeight="1">
      <c r="A907" s="385" t="s">
        <v>2959</v>
      </c>
    </row>
    <row r="908" ht="15.75" customHeight="1">
      <c r="A908" s="385" t="s">
        <v>2960</v>
      </c>
    </row>
    <row r="909" ht="15.75" customHeight="1">
      <c r="A909" s="385" t="s">
        <v>2961</v>
      </c>
    </row>
    <row r="910" ht="15.75" customHeight="1">
      <c r="A910" s="385" t="s">
        <v>2962</v>
      </c>
    </row>
    <row r="911" ht="15.75" customHeight="1">
      <c r="A911" s="385" t="s">
        <v>3222</v>
      </c>
    </row>
    <row r="912" ht="15.75" customHeight="1">
      <c r="A912" s="385" t="s">
        <v>3223</v>
      </c>
    </row>
    <row r="913" ht="15.75" customHeight="1">
      <c r="A913" s="385" t="s">
        <v>3224</v>
      </c>
    </row>
    <row r="914" ht="15.75" customHeight="1">
      <c r="A914" s="385" t="s">
        <v>3225</v>
      </c>
    </row>
    <row r="915" ht="15.75" customHeight="1">
      <c r="A915" s="385" t="s">
        <v>3226</v>
      </c>
    </row>
    <row r="916" ht="15.75" customHeight="1">
      <c r="A916" s="385" t="s">
        <v>3227</v>
      </c>
    </row>
    <row r="917" ht="15.75" customHeight="1">
      <c r="A917" s="385" t="s">
        <v>2990</v>
      </c>
    </row>
    <row r="918" ht="15.75" customHeight="1">
      <c r="A918" s="385" t="s">
        <v>2991</v>
      </c>
    </row>
    <row r="919" ht="15.75" customHeight="1">
      <c r="A919" s="385" t="s">
        <v>2992</v>
      </c>
    </row>
    <row r="920" ht="15.75" customHeight="1">
      <c r="A920" s="385" t="s">
        <v>3228</v>
      </c>
    </row>
    <row r="921" ht="15.75" customHeight="1">
      <c r="A921" s="385" t="s">
        <v>3229</v>
      </c>
    </row>
    <row r="922" ht="15.75" customHeight="1">
      <c r="A922" s="385" t="s">
        <v>3230</v>
      </c>
    </row>
    <row r="923" ht="15.75" customHeight="1">
      <c r="A923" s="385" t="s">
        <v>3231</v>
      </c>
    </row>
    <row r="924" ht="15.75" customHeight="1">
      <c r="A924" s="385" t="s">
        <v>3232</v>
      </c>
    </row>
    <row r="925" ht="15.75" customHeight="1">
      <c r="A925" s="385" t="s">
        <v>3233</v>
      </c>
    </row>
    <row r="926" ht="15.75" customHeight="1">
      <c r="A926" s="385" t="s">
        <v>3234</v>
      </c>
    </row>
    <row r="927" ht="15.75" customHeight="1">
      <c r="A927" s="385" t="s">
        <v>3235</v>
      </c>
    </row>
    <row r="928" ht="15.75" customHeight="1">
      <c r="A928" s="385" t="s">
        <v>3236</v>
      </c>
    </row>
    <row r="929" ht="15.75" customHeight="1">
      <c r="A929" s="385" t="s">
        <v>3237</v>
      </c>
    </row>
    <row r="930" ht="15.75" customHeight="1">
      <c r="A930" s="385" t="s">
        <v>3069</v>
      </c>
    </row>
    <row r="931" ht="15.75" customHeight="1">
      <c r="A931" s="385" t="s">
        <v>3238</v>
      </c>
    </row>
    <row r="932" ht="15.75" customHeight="1">
      <c r="A932" s="385" t="s">
        <v>3086</v>
      </c>
    </row>
    <row r="933" ht="15.75" customHeight="1">
      <c r="A933" s="385" t="s">
        <v>3239</v>
      </c>
    </row>
    <row r="934" ht="15.75" customHeight="1">
      <c r="A934" s="385" t="s">
        <v>3240</v>
      </c>
    </row>
    <row r="935" ht="15.75" customHeight="1">
      <c r="A935" s="385" t="s">
        <v>3082</v>
      </c>
    </row>
    <row r="936" ht="15.75" customHeight="1">
      <c r="A936" s="385" t="s">
        <v>3094</v>
      </c>
    </row>
    <row r="937" ht="15.75" customHeight="1">
      <c r="A937" s="385" t="s">
        <v>3095</v>
      </c>
    </row>
    <row r="938" ht="15.75" customHeight="1">
      <c r="A938" s="385" t="s">
        <v>3096</v>
      </c>
    </row>
    <row r="939" ht="15.75" customHeight="1">
      <c r="A939" s="385" t="s">
        <v>3241</v>
      </c>
    </row>
    <row r="940" ht="15.75" customHeight="1">
      <c r="A940" s="385" t="s">
        <v>3242</v>
      </c>
    </row>
    <row r="941" ht="15.75" customHeight="1">
      <c r="A941" s="385" t="s">
        <v>2479</v>
      </c>
    </row>
    <row r="942" ht="15.75" customHeight="1">
      <c r="A942" s="385" t="s">
        <v>21</v>
      </c>
    </row>
    <row r="943" ht="15.75" customHeight="1">
      <c r="A943" s="385" t="s">
        <v>2384</v>
      </c>
    </row>
    <row r="944" ht="15.75" customHeight="1">
      <c r="A944" s="385" t="s">
        <v>3245</v>
      </c>
    </row>
    <row r="945" ht="15.75" customHeight="1">
      <c r="A945" s="385" t="s">
        <v>2412</v>
      </c>
    </row>
    <row r="946" ht="15.75" customHeight="1">
      <c r="A946" s="385" t="s">
        <v>3246</v>
      </c>
    </row>
    <row r="947" ht="15.75" customHeight="1">
      <c r="A947" s="385" t="s">
        <v>3247</v>
      </c>
    </row>
    <row r="948" ht="15.75" customHeight="1">
      <c r="A948" s="385" t="s">
        <v>3248</v>
      </c>
    </row>
    <row r="949" ht="15.75" customHeight="1">
      <c r="A949" s="385" t="s">
        <v>3249</v>
      </c>
    </row>
    <row r="950" ht="15.75" customHeight="1">
      <c r="A950" s="385" t="s">
        <v>3250</v>
      </c>
    </row>
    <row r="951" ht="15.75" customHeight="1">
      <c r="A951" s="385" t="s">
        <v>21</v>
      </c>
    </row>
    <row r="952" ht="15.75" customHeight="1">
      <c r="A952" s="385" t="s">
        <v>3251</v>
      </c>
    </row>
    <row r="953" ht="15.75" customHeight="1">
      <c r="A953" s="385" t="s">
        <v>3252</v>
      </c>
    </row>
    <row r="954" ht="15.75" customHeight="1">
      <c r="A954" s="385" t="s">
        <v>3253</v>
      </c>
    </row>
    <row r="955" ht="15.75" customHeight="1">
      <c r="A955" s="385" t="s">
        <v>3254</v>
      </c>
    </row>
    <row r="956" ht="15.75" customHeight="1">
      <c r="A956" s="385" t="s">
        <v>2460</v>
      </c>
    </row>
    <row r="957" ht="15.75" customHeight="1">
      <c r="A957" s="385" t="s">
        <v>3255</v>
      </c>
    </row>
    <row r="958" ht="15.75" customHeight="1">
      <c r="A958" s="385" t="s">
        <v>3256</v>
      </c>
    </row>
    <row r="959" ht="15.75" customHeight="1">
      <c r="A959" s="385" t="s">
        <v>3257</v>
      </c>
    </row>
    <row r="960" ht="15.75" customHeight="1">
      <c r="A960" s="385" t="s">
        <v>2465</v>
      </c>
    </row>
    <row r="961" ht="15.75" customHeight="1">
      <c r="A961" s="385" t="s">
        <v>21</v>
      </c>
    </row>
    <row r="962" ht="15.75" customHeight="1">
      <c r="A962" s="385" t="s">
        <v>3258</v>
      </c>
    </row>
    <row r="963" ht="15.75" customHeight="1">
      <c r="A963" s="385" t="s">
        <v>3259</v>
      </c>
    </row>
    <row r="964" ht="15.75" customHeight="1">
      <c r="A964" s="385" t="s">
        <v>21</v>
      </c>
    </row>
    <row r="965" ht="15.75" customHeight="1">
      <c r="A965" s="385" t="s">
        <v>3260</v>
      </c>
    </row>
    <row r="966" ht="15.75" customHeight="1">
      <c r="A966" s="385" t="s">
        <v>3261</v>
      </c>
    </row>
    <row r="967" ht="15.75" customHeight="1">
      <c r="A967" s="385" t="s">
        <v>3262</v>
      </c>
    </row>
    <row r="968" ht="15.75" customHeight="1">
      <c r="A968" s="385" t="s">
        <v>3263</v>
      </c>
    </row>
    <row r="969" ht="15.75" customHeight="1">
      <c r="A969" s="385" t="s">
        <v>3264</v>
      </c>
    </row>
    <row r="970" ht="15.75" customHeight="1">
      <c r="A970" s="385" t="s">
        <v>3266</v>
      </c>
    </row>
    <row r="971" ht="15.75" customHeight="1">
      <c r="A971" s="385" t="s">
        <v>21</v>
      </c>
    </row>
    <row r="972" ht="15.75" customHeight="1">
      <c r="A972" s="385" t="s">
        <v>3268</v>
      </c>
    </row>
    <row r="973" ht="15.75" customHeight="1">
      <c r="A973" s="385" t="s">
        <v>3269</v>
      </c>
    </row>
    <row r="974" ht="15.75" customHeight="1">
      <c r="A974" s="385" t="s">
        <v>3270</v>
      </c>
    </row>
    <row r="975" ht="15.75" customHeight="1">
      <c r="A975" s="385" t="s">
        <v>3271</v>
      </c>
    </row>
    <row r="976" ht="15.75" customHeight="1">
      <c r="A976" s="385" t="s">
        <v>3272</v>
      </c>
    </row>
    <row r="977" ht="15.75" customHeight="1">
      <c r="A977" s="385" t="s">
        <v>3273</v>
      </c>
    </row>
    <row r="978" ht="15.75" customHeight="1">
      <c r="A978" s="385" t="s">
        <v>3274</v>
      </c>
    </row>
    <row r="979" ht="15.75" customHeight="1">
      <c r="A979" s="385" t="s">
        <v>3275</v>
      </c>
    </row>
    <row r="980" ht="15.75" customHeight="1">
      <c r="A980" s="385" t="s">
        <v>3276</v>
      </c>
    </row>
    <row r="981" ht="15.75" customHeight="1">
      <c r="A981" s="385" t="s">
        <v>3277</v>
      </c>
    </row>
    <row r="982" ht="15.75" customHeight="1">
      <c r="A982" s="385" t="s">
        <v>2856</v>
      </c>
    </row>
    <row r="983" ht="15.75" customHeight="1">
      <c r="A983" s="385" t="s">
        <v>21</v>
      </c>
    </row>
    <row r="984" ht="15.75" customHeight="1">
      <c r="A984" s="385" t="s">
        <v>3278</v>
      </c>
    </row>
    <row r="985" ht="15.75" customHeight="1">
      <c r="A985" s="385" t="s">
        <v>3279</v>
      </c>
    </row>
    <row r="986" ht="15.75" customHeight="1">
      <c r="A986" s="385" t="s">
        <v>3280</v>
      </c>
    </row>
    <row r="987" ht="15.75" customHeight="1">
      <c r="A987" s="385" t="s">
        <v>3281</v>
      </c>
    </row>
    <row r="988" ht="15.75" customHeight="1">
      <c r="A988" s="385" t="s">
        <v>3282</v>
      </c>
    </row>
    <row r="989" ht="15.75" customHeight="1">
      <c r="A989" s="385" t="s">
        <v>3283</v>
      </c>
    </row>
    <row r="990" ht="15.75" customHeight="1">
      <c r="A990" s="385" t="s">
        <v>3284</v>
      </c>
    </row>
    <row r="991" ht="15.75" customHeight="1">
      <c r="A991" s="385" t="s">
        <v>3285</v>
      </c>
    </row>
    <row r="992" ht="15.75" customHeight="1">
      <c r="A992" s="385" t="s">
        <v>3286</v>
      </c>
    </row>
    <row r="993" ht="15.75" customHeight="1">
      <c r="A993" s="385" t="s">
        <v>3287</v>
      </c>
    </row>
    <row r="994" ht="15.75" customHeight="1">
      <c r="A994" s="385" t="s">
        <v>2856</v>
      </c>
    </row>
    <row r="995" ht="15.75" customHeight="1">
      <c r="A995" s="385" t="s">
        <v>2500</v>
      </c>
    </row>
    <row r="996" ht="15.75" customHeight="1">
      <c r="A996" s="385" t="s">
        <v>2477</v>
      </c>
    </row>
    <row r="997" ht="15.75" customHeight="1">
      <c r="A997" s="385" t="s">
        <v>2465</v>
      </c>
    </row>
    <row r="998" ht="15.75" customHeight="1">
      <c r="A998" s="385" t="s">
        <v>3289</v>
      </c>
    </row>
    <row r="999" ht="15.75" customHeight="1">
      <c r="A999" s="385" t="s">
        <v>2479</v>
      </c>
    </row>
    <row r="1000" ht="15.75" customHeight="1">
      <c r="A1000" s="385" t="s">
        <v>21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6.38"/>
    <col customWidth="1" min="3" max="3" width="13.88"/>
    <col customWidth="1" min="4" max="4" width="12.0"/>
    <col customWidth="1" min="5" max="5" width="16.38"/>
    <col customWidth="1" min="6" max="7" width="12.63"/>
    <col customWidth="1" min="8" max="8" width="52.63"/>
    <col customWidth="1" min="9" max="9" width="18.88"/>
    <col customWidth="1" min="10" max="10" width="15.13"/>
    <col customWidth="1" min="11" max="11" width="26.38"/>
  </cols>
  <sheetData>
    <row r="1" ht="15.75" customHeight="1">
      <c r="A1" s="22" t="s">
        <v>2548</v>
      </c>
      <c r="B1" s="22" t="s">
        <v>1601</v>
      </c>
      <c r="C1" s="22" t="s">
        <v>2551</v>
      </c>
      <c r="D1" s="22" t="s">
        <v>2553</v>
      </c>
      <c r="E1" s="22" t="s">
        <v>2555</v>
      </c>
      <c r="F1" s="22" t="s">
        <v>2556</v>
      </c>
      <c r="G1" s="22" t="s">
        <v>2558</v>
      </c>
      <c r="H1" s="22" t="s">
        <v>2560</v>
      </c>
      <c r="I1" s="22" t="s">
        <v>2561</v>
      </c>
      <c r="J1" s="22" t="s">
        <v>2562</v>
      </c>
      <c r="K1" s="22" t="s">
        <v>2563</v>
      </c>
    </row>
    <row r="2" ht="15.75" customHeight="1">
      <c r="A2" s="22" t="s">
        <v>1607</v>
      </c>
      <c r="B2" s="22" t="s">
        <v>433</v>
      </c>
      <c r="C2" s="22" t="s">
        <v>2566</v>
      </c>
      <c r="D2" s="22" t="b">
        <v>1</v>
      </c>
      <c r="E2" s="22" t="s">
        <v>2568</v>
      </c>
      <c r="F2" s="22" t="s">
        <v>843</v>
      </c>
      <c r="G2" s="22" t="s">
        <v>843</v>
      </c>
      <c r="H2" s="22" t="s">
        <v>2571</v>
      </c>
      <c r="I2" s="22" t="s">
        <v>1872</v>
      </c>
      <c r="J2" s="22" t="s">
        <v>2573</v>
      </c>
      <c r="K2" s="22" t="s">
        <v>2575</v>
      </c>
    </row>
    <row r="3" ht="15.75" customHeight="1">
      <c r="A3" s="22" t="s">
        <v>1607</v>
      </c>
      <c r="B3" s="22" t="s">
        <v>495</v>
      </c>
      <c r="C3" s="22" t="s">
        <v>2566</v>
      </c>
      <c r="D3" s="22" t="b">
        <v>1</v>
      </c>
      <c r="E3" s="22" t="s">
        <v>2578</v>
      </c>
      <c r="F3" s="22" t="s">
        <v>843</v>
      </c>
      <c r="G3" s="22" t="s">
        <v>843</v>
      </c>
      <c r="H3" s="22" t="s">
        <v>2571</v>
      </c>
      <c r="I3" s="22" t="s">
        <v>1872</v>
      </c>
      <c r="J3" s="22" t="s">
        <v>2573</v>
      </c>
      <c r="K3" s="22" t="s">
        <v>2581</v>
      </c>
    </row>
    <row r="4" ht="15.75" customHeight="1">
      <c r="A4" s="22" t="s">
        <v>1607</v>
      </c>
      <c r="B4" s="22" t="s">
        <v>496</v>
      </c>
      <c r="C4" s="22" t="s">
        <v>2584</v>
      </c>
      <c r="D4" s="22" t="b">
        <v>1</v>
      </c>
      <c r="E4" s="22" t="s">
        <v>2586</v>
      </c>
      <c r="F4" s="22">
        <v>0.0</v>
      </c>
      <c r="G4" s="22" t="s">
        <v>843</v>
      </c>
      <c r="H4" s="22" t="s">
        <v>2571</v>
      </c>
      <c r="I4" s="22" t="s">
        <v>1872</v>
      </c>
      <c r="J4" s="22" t="s">
        <v>2573</v>
      </c>
      <c r="K4" s="22" t="s">
        <v>2581</v>
      </c>
    </row>
    <row r="5" ht="15.75" customHeight="1">
      <c r="A5" s="22" t="s">
        <v>1607</v>
      </c>
      <c r="B5" s="22" t="s">
        <v>497</v>
      </c>
      <c r="C5" s="22" t="s">
        <v>2591</v>
      </c>
      <c r="D5" s="22" t="b">
        <v>1</v>
      </c>
      <c r="E5" s="22" t="s">
        <v>2592</v>
      </c>
      <c r="F5" s="22">
        <v>1.0</v>
      </c>
      <c r="G5" s="22">
        <v>7.0</v>
      </c>
      <c r="H5" s="22" t="s">
        <v>2571</v>
      </c>
      <c r="I5" s="22" t="s">
        <v>1872</v>
      </c>
      <c r="J5" s="22" t="s">
        <v>2573</v>
      </c>
      <c r="K5" s="22" t="s">
        <v>2596</v>
      </c>
    </row>
    <row r="6" ht="15.75" customHeight="1">
      <c r="A6" s="22" t="s">
        <v>1607</v>
      </c>
      <c r="B6" s="22" t="s">
        <v>498</v>
      </c>
      <c r="C6" s="22" t="s">
        <v>2566</v>
      </c>
      <c r="D6" s="22" t="b">
        <v>1</v>
      </c>
      <c r="E6" s="22" t="s">
        <v>2578</v>
      </c>
      <c r="F6" s="22" t="s">
        <v>843</v>
      </c>
      <c r="G6" s="22" t="s">
        <v>843</v>
      </c>
      <c r="H6" s="22" t="s">
        <v>2571</v>
      </c>
      <c r="I6" s="22" t="s">
        <v>1872</v>
      </c>
      <c r="J6" s="22" t="s">
        <v>2573</v>
      </c>
      <c r="K6" s="22" t="s">
        <v>2581</v>
      </c>
    </row>
    <row r="7" ht="15.75" customHeight="1">
      <c r="A7" s="22" t="s">
        <v>1607</v>
      </c>
      <c r="B7" s="22" t="s">
        <v>499</v>
      </c>
      <c r="C7" s="22" t="s">
        <v>1645</v>
      </c>
      <c r="D7" s="22" t="b">
        <v>1</v>
      </c>
      <c r="E7" s="22" t="s">
        <v>2599</v>
      </c>
      <c r="F7" s="148">
        <v>46023.0</v>
      </c>
      <c r="G7" s="148">
        <v>46387.0</v>
      </c>
      <c r="H7" s="22" t="s">
        <v>2571</v>
      </c>
      <c r="I7" s="22" t="s">
        <v>1872</v>
      </c>
      <c r="J7" s="22" t="s">
        <v>2573</v>
      </c>
      <c r="K7" s="22" t="s">
        <v>2604</v>
      </c>
    </row>
    <row r="8" ht="15.75" customHeight="1">
      <c r="A8" s="22" t="s">
        <v>1607</v>
      </c>
      <c r="B8" s="22" t="s">
        <v>500</v>
      </c>
      <c r="C8" s="22" t="s">
        <v>1645</v>
      </c>
      <c r="D8" s="22" t="b">
        <v>1</v>
      </c>
      <c r="E8" s="22" t="s">
        <v>2599</v>
      </c>
      <c r="F8" s="148">
        <v>46023.0</v>
      </c>
      <c r="G8" s="148">
        <v>46387.0</v>
      </c>
      <c r="H8" s="22" t="s">
        <v>2571</v>
      </c>
      <c r="I8" s="22" t="s">
        <v>1872</v>
      </c>
      <c r="J8" s="22" t="s">
        <v>2573</v>
      </c>
      <c r="K8" s="22" t="s">
        <v>2604</v>
      </c>
    </row>
    <row r="9" ht="15.75" customHeight="1">
      <c r="A9" s="22" t="s">
        <v>1607</v>
      </c>
      <c r="B9" s="22" t="s">
        <v>501</v>
      </c>
      <c r="C9" s="22" t="s">
        <v>2591</v>
      </c>
      <c r="D9" s="22" t="b">
        <v>1</v>
      </c>
      <c r="E9" s="22" t="s">
        <v>2609</v>
      </c>
      <c r="F9" s="22">
        <v>101.0</v>
      </c>
      <c r="G9" s="22">
        <v>104.0</v>
      </c>
      <c r="H9" s="22" t="s">
        <v>2571</v>
      </c>
      <c r="I9" s="22" t="s">
        <v>1872</v>
      </c>
      <c r="J9" s="22" t="s">
        <v>2573</v>
      </c>
      <c r="K9" s="22" t="s">
        <v>2610</v>
      </c>
    </row>
    <row r="10" ht="15.75" customHeight="1">
      <c r="A10" s="22" t="s">
        <v>1607</v>
      </c>
      <c r="B10" s="22" t="s">
        <v>502</v>
      </c>
      <c r="C10" s="22" t="s">
        <v>2566</v>
      </c>
      <c r="D10" s="22" t="b">
        <v>1</v>
      </c>
      <c r="E10" s="22" t="s">
        <v>2613</v>
      </c>
      <c r="F10" s="22" t="s">
        <v>843</v>
      </c>
      <c r="G10" s="22" t="s">
        <v>843</v>
      </c>
      <c r="H10" s="22" t="s">
        <v>2571</v>
      </c>
      <c r="I10" s="22" t="s">
        <v>1872</v>
      </c>
      <c r="J10" s="22" t="s">
        <v>2573</v>
      </c>
      <c r="K10" s="22" t="s">
        <v>2610</v>
      </c>
    </row>
    <row r="11" ht="15.75" customHeight="1">
      <c r="A11" s="22" t="s">
        <v>1607</v>
      </c>
      <c r="B11" s="22" t="s">
        <v>503</v>
      </c>
      <c r="C11" s="22" t="s">
        <v>2566</v>
      </c>
      <c r="D11" s="22" t="b">
        <v>1</v>
      </c>
      <c r="E11" s="22" t="s">
        <v>2578</v>
      </c>
      <c r="F11" s="22" t="s">
        <v>843</v>
      </c>
      <c r="G11" s="22" t="s">
        <v>843</v>
      </c>
      <c r="H11" s="22" t="s">
        <v>1864</v>
      </c>
      <c r="I11" s="22" t="s">
        <v>2621</v>
      </c>
      <c r="J11" s="22" t="s">
        <v>2573</v>
      </c>
      <c r="K11" s="22" t="s">
        <v>2581</v>
      </c>
    </row>
    <row r="12" ht="15.75" customHeight="1">
      <c r="A12" s="22" t="s">
        <v>1607</v>
      </c>
      <c r="B12" s="22" t="s">
        <v>434</v>
      </c>
      <c r="C12" s="22" t="s">
        <v>2566</v>
      </c>
      <c r="D12" s="22" t="b">
        <v>1</v>
      </c>
      <c r="E12" s="22" t="s">
        <v>2626</v>
      </c>
      <c r="F12" s="22" t="s">
        <v>843</v>
      </c>
      <c r="G12" s="22" t="s">
        <v>843</v>
      </c>
      <c r="H12" s="22" t="s">
        <v>2571</v>
      </c>
      <c r="I12" s="22" t="s">
        <v>1872</v>
      </c>
      <c r="J12" s="22" t="s">
        <v>2573</v>
      </c>
      <c r="K12" s="22" t="s">
        <v>2628</v>
      </c>
    </row>
    <row r="13" ht="15.75" customHeight="1">
      <c r="A13" s="22" t="s">
        <v>1607</v>
      </c>
      <c r="B13" s="22" t="s">
        <v>504</v>
      </c>
      <c r="C13" s="22" t="s">
        <v>2566</v>
      </c>
      <c r="D13" s="22" t="b">
        <v>0</v>
      </c>
      <c r="E13" s="22" t="s">
        <v>2630</v>
      </c>
      <c r="F13" s="22" t="s">
        <v>843</v>
      </c>
      <c r="G13" s="22" t="s">
        <v>843</v>
      </c>
      <c r="H13" s="22" t="s">
        <v>2632</v>
      </c>
      <c r="I13" s="22" t="s">
        <v>1872</v>
      </c>
      <c r="J13" s="22" t="s">
        <v>2633</v>
      </c>
      <c r="K13" s="22" t="s">
        <v>2610</v>
      </c>
    </row>
    <row r="14" ht="15.75" customHeight="1">
      <c r="A14" s="22" t="s">
        <v>1607</v>
      </c>
      <c r="B14" s="22" t="s">
        <v>505</v>
      </c>
      <c r="C14" s="22" t="s">
        <v>2566</v>
      </c>
      <c r="D14" s="22" t="b">
        <v>0</v>
      </c>
      <c r="E14" s="22" t="s">
        <v>2636</v>
      </c>
      <c r="F14" s="22" t="s">
        <v>843</v>
      </c>
      <c r="G14" s="22" t="s">
        <v>843</v>
      </c>
      <c r="H14" s="22" t="s">
        <v>2571</v>
      </c>
      <c r="I14" s="22" t="s">
        <v>1872</v>
      </c>
      <c r="J14" s="22" t="s">
        <v>2573</v>
      </c>
      <c r="K14" s="22" t="s">
        <v>2610</v>
      </c>
    </row>
    <row r="15" ht="15.75" customHeight="1">
      <c r="A15" s="22" t="s">
        <v>1607</v>
      </c>
      <c r="B15" s="22" t="s">
        <v>445</v>
      </c>
      <c r="C15" s="22" t="s">
        <v>2639</v>
      </c>
      <c r="D15" s="22" t="b">
        <v>1</v>
      </c>
      <c r="E15" s="22" t="s">
        <v>2640</v>
      </c>
      <c r="F15" s="22" t="s">
        <v>843</v>
      </c>
      <c r="G15" s="22" t="s">
        <v>843</v>
      </c>
      <c r="H15" s="22" t="s">
        <v>2642</v>
      </c>
      <c r="I15" s="22" t="s">
        <v>2644</v>
      </c>
      <c r="J15" s="22" t="s">
        <v>2645</v>
      </c>
      <c r="K15" s="22" t="s">
        <v>2647</v>
      </c>
    </row>
    <row r="16" ht="15.75" customHeight="1">
      <c r="A16" s="22" t="s">
        <v>1607</v>
      </c>
      <c r="B16" s="22" t="s">
        <v>442</v>
      </c>
      <c r="C16" s="22" t="s">
        <v>2649</v>
      </c>
      <c r="D16" s="22" t="b">
        <v>1</v>
      </c>
      <c r="E16" s="22" t="s">
        <v>2650</v>
      </c>
      <c r="F16" s="22"/>
      <c r="G16" s="22"/>
      <c r="H16" s="22" t="s">
        <v>2652</v>
      </c>
      <c r="I16" s="22" t="s">
        <v>2653</v>
      </c>
      <c r="J16" s="22" t="s">
        <v>2573</v>
      </c>
      <c r="K16" s="22" t="s">
        <v>2655</v>
      </c>
    </row>
    <row r="17" ht="15.75" customHeight="1">
      <c r="A17" s="22" t="s">
        <v>1607</v>
      </c>
      <c r="B17" s="22" t="s">
        <v>506</v>
      </c>
      <c r="C17" s="22" t="s">
        <v>2649</v>
      </c>
      <c r="D17" s="22" t="b">
        <v>1</v>
      </c>
      <c r="E17" s="22" t="s">
        <v>2650</v>
      </c>
      <c r="F17" s="22"/>
      <c r="G17" s="22"/>
      <c r="H17" s="22" t="s">
        <v>2652</v>
      </c>
      <c r="I17" s="22" t="s">
        <v>2653</v>
      </c>
      <c r="J17" s="22" t="s">
        <v>2573</v>
      </c>
      <c r="K17" s="22" t="s">
        <v>2655</v>
      </c>
    </row>
    <row r="18" ht="15.75" customHeight="1">
      <c r="A18" s="22" t="s">
        <v>1607</v>
      </c>
      <c r="B18" s="22" t="s">
        <v>507</v>
      </c>
      <c r="C18" s="22" t="s">
        <v>2591</v>
      </c>
      <c r="D18" s="22" t="b">
        <v>1</v>
      </c>
      <c r="E18" s="22" t="s">
        <v>2586</v>
      </c>
      <c r="F18" s="22">
        <v>0.0</v>
      </c>
      <c r="G18" s="22">
        <v>365.0</v>
      </c>
      <c r="H18" s="22" t="s">
        <v>2652</v>
      </c>
      <c r="I18" s="22" t="s">
        <v>2653</v>
      </c>
      <c r="J18" s="22" t="s">
        <v>2573</v>
      </c>
      <c r="K18" s="22" t="s">
        <v>2664</v>
      </c>
    </row>
    <row r="19" ht="15.75" customHeight="1">
      <c r="A19" s="22" t="s">
        <v>1607</v>
      </c>
      <c r="B19" s="22" t="s">
        <v>508</v>
      </c>
      <c r="C19" s="22" t="s">
        <v>2566</v>
      </c>
      <c r="D19" s="22" t="b">
        <v>1</v>
      </c>
      <c r="E19" s="22" t="s">
        <v>2666</v>
      </c>
      <c r="F19" s="22" t="s">
        <v>843</v>
      </c>
      <c r="G19" s="22" t="s">
        <v>843</v>
      </c>
      <c r="H19" s="22" t="s">
        <v>2652</v>
      </c>
      <c r="I19" s="22" t="s">
        <v>2653</v>
      </c>
      <c r="J19" s="22" t="s">
        <v>2573</v>
      </c>
      <c r="K19" s="22" t="s">
        <v>2610</v>
      </c>
    </row>
    <row r="20" ht="15.75" customHeight="1">
      <c r="A20" s="22" t="s">
        <v>1607</v>
      </c>
      <c r="B20" s="22" t="s">
        <v>509</v>
      </c>
      <c r="C20" s="22" t="s">
        <v>2584</v>
      </c>
      <c r="D20" s="22" t="b">
        <v>1</v>
      </c>
      <c r="E20" s="22" t="s">
        <v>2586</v>
      </c>
      <c r="F20" s="22">
        <v>0.0</v>
      </c>
      <c r="G20" s="22" t="s">
        <v>843</v>
      </c>
      <c r="H20" s="22" t="s">
        <v>2652</v>
      </c>
      <c r="I20" s="22" t="s">
        <v>2653</v>
      </c>
      <c r="J20" s="22" t="s">
        <v>2573</v>
      </c>
      <c r="K20" s="22" t="s">
        <v>2581</v>
      </c>
    </row>
    <row r="21" ht="15.75" customHeight="1">
      <c r="A21" s="22" t="s">
        <v>1607</v>
      </c>
      <c r="B21" s="22" t="s">
        <v>510</v>
      </c>
      <c r="C21" s="22" t="s">
        <v>2591</v>
      </c>
      <c r="D21" s="22" t="b">
        <v>1</v>
      </c>
      <c r="E21" s="22" t="s">
        <v>2586</v>
      </c>
      <c r="F21" s="22">
        <v>0.0</v>
      </c>
      <c r="G21" s="22">
        <v>365.0</v>
      </c>
      <c r="H21" s="22" t="s">
        <v>2652</v>
      </c>
      <c r="I21" s="22" t="s">
        <v>2653</v>
      </c>
      <c r="J21" s="22" t="s">
        <v>2573</v>
      </c>
      <c r="K21" s="22" t="s">
        <v>2664</v>
      </c>
    </row>
    <row r="22" ht="15.75" customHeight="1">
      <c r="A22" s="22" t="s">
        <v>1607</v>
      </c>
      <c r="B22" s="22" t="s">
        <v>511</v>
      </c>
      <c r="C22" s="22" t="s">
        <v>2566</v>
      </c>
      <c r="D22" s="22" t="b">
        <v>0</v>
      </c>
      <c r="E22" s="22" t="s">
        <v>2578</v>
      </c>
      <c r="F22" s="22" t="s">
        <v>843</v>
      </c>
      <c r="G22" s="22" t="s">
        <v>843</v>
      </c>
      <c r="H22" s="22" t="s">
        <v>1864</v>
      </c>
      <c r="I22" s="22" t="s">
        <v>2621</v>
      </c>
      <c r="J22" s="22" t="s">
        <v>2573</v>
      </c>
      <c r="K22" s="22" t="s">
        <v>2676</v>
      </c>
    </row>
    <row r="23" ht="15.75" customHeight="1">
      <c r="A23" s="22" t="s">
        <v>1607</v>
      </c>
      <c r="B23" s="22" t="s">
        <v>512</v>
      </c>
      <c r="C23" s="22" t="s">
        <v>2566</v>
      </c>
      <c r="D23" s="22" t="b">
        <v>0</v>
      </c>
      <c r="E23" s="22" t="s">
        <v>2578</v>
      </c>
      <c r="F23" s="22" t="s">
        <v>843</v>
      </c>
      <c r="G23" s="22" t="s">
        <v>843</v>
      </c>
      <c r="H23" s="22" t="s">
        <v>1864</v>
      </c>
      <c r="I23" s="22" t="s">
        <v>2621</v>
      </c>
      <c r="J23" s="22" t="s">
        <v>2573</v>
      </c>
      <c r="K23" s="22" t="s">
        <v>2676</v>
      </c>
    </row>
    <row r="24" ht="15.75" customHeight="1">
      <c r="A24" s="22" t="s">
        <v>1607</v>
      </c>
      <c r="B24" s="22" t="s">
        <v>513</v>
      </c>
      <c r="C24" s="22" t="s">
        <v>2566</v>
      </c>
      <c r="D24" s="22" t="b">
        <v>0</v>
      </c>
      <c r="E24" s="22" t="s">
        <v>2578</v>
      </c>
      <c r="F24" s="22" t="s">
        <v>843</v>
      </c>
      <c r="G24" s="22" t="s">
        <v>843</v>
      </c>
      <c r="H24" s="22" t="s">
        <v>1864</v>
      </c>
      <c r="I24" s="22" t="s">
        <v>2621</v>
      </c>
      <c r="J24" s="22" t="s">
        <v>2573</v>
      </c>
      <c r="K24" s="22" t="s">
        <v>2676</v>
      </c>
    </row>
    <row r="25" ht="15.75" customHeight="1">
      <c r="A25" s="22" t="s">
        <v>2682</v>
      </c>
      <c r="B25" s="22" t="s">
        <v>718</v>
      </c>
      <c r="C25" s="22" t="s">
        <v>2566</v>
      </c>
      <c r="D25" s="22" t="b">
        <v>1</v>
      </c>
      <c r="E25" s="22" t="s">
        <v>2685</v>
      </c>
      <c r="F25" s="22" t="s">
        <v>843</v>
      </c>
      <c r="G25" s="22" t="s">
        <v>843</v>
      </c>
      <c r="H25" s="22" t="s">
        <v>2687</v>
      </c>
      <c r="I25" s="22" t="s">
        <v>1872</v>
      </c>
      <c r="J25" s="22" t="s">
        <v>2633</v>
      </c>
      <c r="K25" s="22" t="s">
        <v>2575</v>
      </c>
    </row>
    <row r="26" ht="15.75" customHeight="1">
      <c r="A26" s="22" t="s">
        <v>2682</v>
      </c>
      <c r="B26" s="22" t="s">
        <v>433</v>
      </c>
      <c r="C26" s="22" t="s">
        <v>2566</v>
      </c>
      <c r="D26" s="22" t="b">
        <v>1</v>
      </c>
      <c r="E26" s="22" t="s">
        <v>2568</v>
      </c>
      <c r="F26" s="22" t="s">
        <v>843</v>
      </c>
      <c r="G26" s="22" t="s">
        <v>843</v>
      </c>
      <c r="H26" s="22" t="s">
        <v>2571</v>
      </c>
      <c r="I26" s="22" t="s">
        <v>1872</v>
      </c>
      <c r="J26" s="22" t="s">
        <v>2633</v>
      </c>
      <c r="K26" s="22" t="s">
        <v>2692</v>
      </c>
    </row>
    <row r="27" ht="15.75" customHeight="1">
      <c r="A27" s="22" t="s">
        <v>2682</v>
      </c>
      <c r="B27" s="22" t="s">
        <v>501</v>
      </c>
      <c r="C27" s="22" t="s">
        <v>2591</v>
      </c>
      <c r="D27" s="22" t="b">
        <v>1</v>
      </c>
      <c r="E27" s="22" t="s">
        <v>2609</v>
      </c>
      <c r="F27" s="22">
        <v>101.0</v>
      </c>
      <c r="G27" s="22">
        <v>104.0</v>
      </c>
      <c r="H27" s="22" t="s">
        <v>2687</v>
      </c>
      <c r="I27" s="22" t="s">
        <v>1872</v>
      </c>
      <c r="J27" s="22" t="s">
        <v>2633</v>
      </c>
      <c r="K27" s="22" t="s">
        <v>2610</v>
      </c>
    </row>
    <row r="28" ht="15.75" customHeight="1">
      <c r="A28" s="22" t="s">
        <v>2682</v>
      </c>
      <c r="B28" s="22" t="s">
        <v>719</v>
      </c>
      <c r="C28" s="22" t="s">
        <v>1645</v>
      </c>
      <c r="D28" s="22" t="b">
        <v>1</v>
      </c>
      <c r="E28" s="22" t="s">
        <v>2599</v>
      </c>
      <c r="F28" s="148">
        <v>46023.0</v>
      </c>
      <c r="G28" s="148">
        <v>46387.0</v>
      </c>
      <c r="H28" s="22" t="s">
        <v>2687</v>
      </c>
      <c r="I28" s="22" t="s">
        <v>1872</v>
      </c>
      <c r="J28" s="22" t="s">
        <v>2633</v>
      </c>
      <c r="K28" s="22" t="s">
        <v>2604</v>
      </c>
    </row>
    <row r="29" ht="15.75" customHeight="1">
      <c r="A29" s="22" t="s">
        <v>2682</v>
      </c>
      <c r="B29" s="22" t="s">
        <v>720</v>
      </c>
      <c r="C29" s="22" t="s">
        <v>2591</v>
      </c>
      <c r="D29" s="22" t="b">
        <v>1</v>
      </c>
      <c r="E29" s="22" t="s">
        <v>2703</v>
      </c>
      <c r="F29" s="22">
        <v>1.0</v>
      </c>
      <c r="G29" s="22">
        <v>7200.0</v>
      </c>
      <c r="H29" s="22" t="s">
        <v>2687</v>
      </c>
      <c r="I29" s="22" t="s">
        <v>1872</v>
      </c>
      <c r="J29" s="22" t="s">
        <v>2633</v>
      </c>
      <c r="K29" s="22" t="s">
        <v>2707</v>
      </c>
    </row>
    <row r="30" ht="15.75" customHeight="1">
      <c r="A30" s="22" t="s">
        <v>2682</v>
      </c>
      <c r="B30" s="22" t="s">
        <v>735</v>
      </c>
      <c r="C30" s="22" t="s">
        <v>2584</v>
      </c>
      <c r="D30" s="22" t="b">
        <v>1</v>
      </c>
      <c r="E30" s="22" t="s">
        <v>2713</v>
      </c>
      <c r="F30" s="22">
        <v>0.0</v>
      </c>
      <c r="G30" s="22">
        <v>13.0</v>
      </c>
      <c r="H30" s="22" t="s">
        <v>2715</v>
      </c>
      <c r="I30" s="22" t="s">
        <v>2716</v>
      </c>
      <c r="J30" s="22" t="s">
        <v>2633</v>
      </c>
      <c r="K30" s="22" t="s">
        <v>2717</v>
      </c>
    </row>
    <row r="31" ht="15.75" customHeight="1">
      <c r="A31" s="22" t="s">
        <v>2682</v>
      </c>
      <c r="B31" s="22" t="s">
        <v>736</v>
      </c>
      <c r="C31" s="22" t="s">
        <v>2566</v>
      </c>
      <c r="D31" s="22" t="b">
        <v>1</v>
      </c>
      <c r="E31" s="22" t="s">
        <v>2718</v>
      </c>
      <c r="F31" s="22" t="s">
        <v>843</v>
      </c>
      <c r="G31" s="22" t="s">
        <v>843</v>
      </c>
      <c r="H31" s="22" t="s">
        <v>2715</v>
      </c>
      <c r="I31" s="22" t="s">
        <v>2716</v>
      </c>
      <c r="J31" s="22" t="s">
        <v>2633</v>
      </c>
      <c r="K31" s="22" t="s">
        <v>2610</v>
      </c>
    </row>
    <row r="32" ht="15.75" customHeight="1">
      <c r="A32" s="22" t="s">
        <v>1613</v>
      </c>
      <c r="B32" s="22" t="s">
        <v>932</v>
      </c>
      <c r="C32" s="22" t="s">
        <v>2566</v>
      </c>
      <c r="D32" s="22" t="b">
        <v>1</v>
      </c>
      <c r="E32" s="22" t="s">
        <v>2719</v>
      </c>
      <c r="F32" s="22" t="s">
        <v>843</v>
      </c>
      <c r="G32" s="22" t="s">
        <v>843</v>
      </c>
      <c r="H32" s="22" t="s">
        <v>2721</v>
      </c>
      <c r="I32" s="22" t="s">
        <v>2723</v>
      </c>
      <c r="J32" s="22" t="s">
        <v>2633</v>
      </c>
      <c r="K32" s="22" t="s">
        <v>2575</v>
      </c>
    </row>
    <row r="33" ht="15.75" customHeight="1">
      <c r="A33" s="22" t="s">
        <v>1613</v>
      </c>
      <c r="B33" s="22" t="s">
        <v>433</v>
      </c>
      <c r="C33" s="22" t="s">
        <v>2566</v>
      </c>
      <c r="D33" s="22" t="b">
        <v>1</v>
      </c>
      <c r="E33" s="22" t="s">
        <v>2568</v>
      </c>
      <c r="F33" s="22" t="s">
        <v>843</v>
      </c>
      <c r="G33" s="22" t="s">
        <v>843</v>
      </c>
      <c r="H33" s="22" t="s">
        <v>2571</v>
      </c>
      <c r="I33" s="22" t="s">
        <v>1872</v>
      </c>
      <c r="J33" s="22" t="s">
        <v>2633</v>
      </c>
      <c r="K33" s="22" t="s">
        <v>2692</v>
      </c>
    </row>
    <row r="34" ht="15.75" customHeight="1">
      <c r="A34" s="22" t="s">
        <v>1613</v>
      </c>
      <c r="B34" s="22" t="s">
        <v>434</v>
      </c>
      <c r="C34" s="22" t="s">
        <v>2566</v>
      </c>
      <c r="D34" s="22" t="b">
        <v>1</v>
      </c>
      <c r="E34" s="22" t="s">
        <v>2626</v>
      </c>
      <c r="F34" s="22" t="s">
        <v>843</v>
      </c>
      <c r="G34" s="22" t="s">
        <v>843</v>
      </c>
      <c r="H34" s="22" t="s">
        <v>2721</v>
      </c>
      <c r="I34" s="22" t="s">
        <v>2723</v>
      </c>
      <c r="J34" s="22" t="s">
        <v>2633</v>
      </c>
      <c r="K34" s="22" t="s">
        <v>2628</v>
      </c>
    </row>
    <row r="35" ht="15.75" customHeight="1">
      <c r="A35" s="22" t="s">
        <v>1613</v>
      </c>
      <c r="B35" s="22" t="s">
        <v>495</v>
      </c>
      <c r="C35" s="22" t="s">
        <v>2566</v>
      </c>
      <c r="D35" s="22" t="b">
        <v>1</v>
      </c>
      <c r="E35" s="22" t="s">
        <v>2578</v>
      </c>
      <c r="F35" s="22" t="s">
        <v>843</v>
      </c>
      <c r="G35" s="22" t="s">
        <v>843</v>
      </c>
      <c r="H35" s="22" t="s">
        <v>2721</v>
      </c>
      <c r="I35" s="22" t="s">
        <v>2723</v>
      </c>
      <c r="J35" s="22" t="s">
        <v>2633</v>
      </c>
      <c r="K35" s="22" t="s">
        <v>2581</v>
      </c>
    </row>
    <row r="36" ht="15.75" customHeight="1">
      <c r="A36" s="22" t="s">
        <v>1613</v>
      </c>
      <c r="B36" s="22" t="s">
        <v>935</v>
      </c>
      <c r="C36" s="22" t="s">
        <v>1645</v>
      </c>
      <c r="D36" s="22" t="b">
        <v>1</v>
      </c>
      <c r="E36" s="22" t="s">
        <v>2599</v>
      </c>
      <c r="F36" s="148">
        <v>46023.0</v>
      </c>
      <c r="G36" s="148">
        <v>46387.0</v>
      </c>
      <c r="H36" s="22" t="s">
        <v>2721</v>
      </c>
      <c r="I36" s="22" t="s">
        <v>2723</v>
      </c>
      <c r="J36" s="22" t="s">
        <v>2633</v>
      </c>
      <c r="K36" s="22" t="s">
        <v>2604</v>
      </c>
    </row>
    <row r="37" ht="15.75" customHeight="1">
      <c r="A37" s="22" t="s">
        <v>1613</v>
      </c>
      <c r="B37" s="22" t="s">
        <v>937</v>
      </c>
      <c r="C37" s="22" t="s">
        <v>1645</v>
      </c>
      <c r="D37" s="22" t="b">
        <v>1</v>
      </c>
      <c r="E37" s="22" t="s">
        <v>2599</v>
      </c>
      <c r="F37" s="148">
        <v>46023.0</v>
      </c>
      <c r="G37" s="148">
        <v>46387.0</v>
      </c>
      <c r="H37" s="22" t="s">
        <v>2721</v>
      </c>
      <c r="I37" s="22" t="s">
        <v>2723</v>
      </c>
      <c r="J37" s="22" t="s">
        <v>2633</v>
      </c>
      <c r="K37" s="22" t="s">
        <v>2581</v>
      </c>
    </row>
    <row r="38" ht="15.75" customHeight="1">
      <c r="A38" s="22" t="s">
        <v>1613</v>
      </c>
      <c r="B38" s="22" t="s">
        <v>496</v>
      </c>
      <c r="C38" s="22" t="s">
        <v>2584</v>
      </c>
      <c r="D38" s="22" t="b">
        <v>1</v>
      </c>
      <c r="E38" s="22" t="s">
        <v>2703</v>
      </c>
      <c r="F38" s="22">
        <v>1.0</v>
      </c>
      <c r="G38" s="22" t="s">
        <v>843</v>
      </c>
      <c r="H38" s="22" t="s">
        <v>2721</v>
      </c>
      <c r="I38" s="22" t="s">
        <v>2723</v>
      </c>
      <c r="J38" s="22" t="s">
        <v>2633</v>
      </c>
      <c r="K38" s="22" t="s">
        <v>2707</v>
      </c>
    </row>
    <row r="39" ht="15.75" customHeight="1">
      <c r="A39" s="22" t="s">
        <v>1613</v>
      </c>
      <c r="B39" s="22" t="s">
        <v>938</v>
      </c>
      <c r="C39" s="22" t="s">
        <v>2566</v>
      </c>
      <c r="D39" s="22" t="b">
        <v>1</v>
      </c>
      <c r="E39" s="22" t="s">
        <v>938</v>
      </c>
      <c r="F39" s="22" t="s">
        <v>843</v>
      </c>
      <c r="G39" s="22" t="s">
        <v>843</v>
      </c>
      <c r="H39" s="22" t="s">
        <v>2721</v>
      </c>
      <c r="I39" s="22" t="s">
        <v>2723</v>
      </c>
      <c r="J39" s="22" t="s">
        <v>2633</v>
      </c>
      <c r="K39" s="22" t="s">
        <v>2610</v>
      </c>
    </row>
    <row r="40" ht="15.75" customHeight="1">
      <c r="A40" s="22" t="s">
        <v>1613</v>
      </c>
      <c r="B40" s="22" t="s">
        <v>939</v>
      </c>
      <c r="C40" s="22" t="s">
        <v>1645</v>
      </c>
      <c r="D40" s="22" t="b">
        <v>0</v>
      </c>
      <c r="E40" s="22" t="s">
        <v>2599</v>
      </c>
      <c r="F40" s="148">
        <v>46023.0</v>
      </c>
      <c r="G40" s="148">
        <v>46387.0</v>
      </c>
      <c r="H40" s="22" t="s">
        <v>2721</v>
      </c>
      <c r="I40" s="22" t="s">
        <v>2723</v>
      </c>
      <c r="J40" s="22" t="s">
        <v>2633</v>
      </c>
      <c r="K40" s="22" t="s">
        <v>2754</v>
      </c>
    </row>
    <row r="41" ht="15.75" customHeight="1">
      <c r="A41" s="22" t="s">
        <v>1613</v>
      </c>
      <c r="B41" s="22" t="s">
        <v>940</v>
      </c>
      <c r="C41" s="22" t="s">
        <v>2591</v>
      </c>
      <c r="D41" s="22" t="b">
        <v>1</v>
      </c>
      <c r="E41" s="22" t="s">
        <v>2586</v>
      </c>
      <c r="F41" s="22">
        <v>0.0</v>
      </c>
      <c r="G41" s="22">
        <v>365.0</v>
      </c>
      <c r="H41" s="22" t="s">
        <v>2721</v>
      </c>
      <c r="I41" s="22" t="s">
        <v>2723</v>
      </c>
      <c r="J41" s="22" t="s">
        <v>2633</v>
      </c>
      <c r="K41" s="22" t="s">
        <v>2664</v>
      </c>
    </row>
    <row r="42" ht="15.75" customHeight="1">
      <c r="A42" s="22" t="s">
        <v>2761</v>
      </c>
      <c r="B42" s="22" t="s">
        <v>2763</v>
      </c>
      <c r="C42" s="22" t="s">
        <v>2566</v>
      </c>
      <c r="D42" s="22" t="b">
        <v>1</v>
      </c>
      <c r="E42" s="22" t="s">
        <v>2765</v>
      </c>
      <c r="F42" s="22" t="s">
        <v>843</v>
      </c>
      <c r="G42" s="22" t="s">
        <v>843</v>
      </c>
      <c r="H42" s="22" t="s">
        <v>2767</v>
      </c>
      <c r="I42" s="22" t="s">
        <v>2621</v>
      </c>
      <c r="J42" s="22" t="s">
        <v>2633</v>
      </c>
      <c r="K42" s="22" t="s">
        <v>2575</v>
      </c>
    </row>
    <row r="43" ht="15.75" customHeight="1">
      <c r="A43" s="22" t="s">
        <v>2761</v>
      </c>
      <c r="B43" s="22" t="s">
        <v>2770</v>
      </c>
      <c r="C43" s="22" t="s">
        <v>2566</v>
      </c>
      <c r="D43" s="22" t="b">
        <v>1</v>
      </c>
      <c r="E43" s="22" t="s">
        <v>2578</v>
      </c>
      <c r="F43" s="22" t="s">
        <v>843</v>
      </c>
      <c r="G43" s="22" t="s">
        <v>843</v>
      </c>
      <c r="H43" s="22" t="s">
        <v>2774</v>
      </c>
      <c r="I43" s="22" t="s">
        <v>2621</v>
      </c>
      <c r="J43" s="22" t="s">
        <v>2633</v>
      </c>
      <c r="K43" s="22" t="s">
        <v>2581</v>
      </c>
    </row>
    <row r="44" ht="15.75" customHeight="1">
      <c r="A44" s="22" t="s">
        <v>2761</v>
      </c>
      <c r="B44" s="22" t="s">
        <v>2777</v>
      </c>
      <c r="C44" s="22" t="s">
        <v>2584</v>
      </c>
      <c r="D44" s="22" t="b">
        <v>1</v>
      </c>
      <c r="E44" s="22" t="s">
        <v>2586</v>
      </c>
      <c r="F44" s="22">
        <v>0.0</v>
      </c>
      <c r="G44" s="22" t="s">
        <v>843</v>
      </c>
      <c r="H44" s="22" t="s">
        <v>2774</v>
      </c>
      <c r="I44" s="22" t="s">
        <v>2621</v>
      </c>
      <c r="J44" s="22" t="s">
        <v>2633</v>
      </c>
      <c r="K44" s="22" t="s">
        <v>2707</v>
      </c>
    </row>
    <row r="45" ht="15.75" customHeight="1">
      <c r="A45" s="22" t="s">
        <v>2761</v>
      </c>
      <c r="B45" s="22" t="s">
        <v>1648</v>
      </c>
      <c r="C45" s="22" t="s">
        <v>2591</v>
      </c>
      <c r="D45" s="22" t="b">
        <v>1</v>
      </c>
      <c r="E45" s="22" t="s">
        <v>2586</v>
      </c>
      <c r="F45" s="22">
        <v>0.0</v>
      </c>
      <c r="G45" s="22" t="s">
        <v>843</v>
      </c>
      <c r="H45" s="22" t="s">
        <v>2774</v>
      </c>
      <c r="I45" s="22" t="s">
        <v>2621</v>
      </c>
      <c r="J45" s="22" t="s">
        <v>2633</v>
      </c>
      <c r="K45" s="22" t="s">
        <v>2664</v>
      </c>
    </row>
    <row r="46" ht="15.75" customHeight="1">
      <c r="A46" s="22" t="s">
        <v>2761</v>
      </c>
      <c r="B46" s="22" t="s">
        <v>1650</v>
      </c>
      <c r="C46" s="22" t="s">
        <v>2591</v>
      </c>
      <c r="D46" s="22" t="b">
        <v>1</v>
      </c>
      <c r="E46" s="22" t="s">
        <v>2586</v>
      </c>
      <c r="F46" s="22">
        <v>0.0</v>
      </c>
      <c r="G46" s="22" t="s">
        <v>843</v>
      </c>
      <c r="H46" s="22" t="s">
        <v>2571</v>
      </c>
      <c r="I46" s="22" t="s">
        <v>2621</v>
      </c>
      <c r="J46" s="22" t="s">
        <v>2633</v>
      </c>
      <c r="K46" s="22" t="s">
        <v>2664</v>
      </c>
    </row>
    <row r="47" ht="15.75" customHeight="1">
      <c r="A47" s="22" t="s">
        <v>2788</v>
      </c>
      <c r="B47" s="22" t="s">
        <v>1689</v>
      </c>
      <c r="C47" s="22" t="s">
        <v>2566</v>
      </c>
      <c r="D47" s="22" t="b">
        <v>1</v>
      </c>
      <c r="E47" s="22" t="s">
        <v>2790</v>
      </c>
      <c r="F47" s="22" t="s">
        <v>843</v>
      </c>
      <c r="G47" s="22" t="s">
        <v>843</v>
      </c>
      <c r="H47" s="22" t="s">
        <v>2792</v>
      </c>
      <c r="I47" s="22" t="s">
        <v>2723</v>
      </c>
      <c r="J47" s="22" t="s">
        <v>2633</v>
      </c>
      <c r="K47" s="22" t="s">
        <v>2575</v>
      </c>
    </row>
    <row r="48" ht="15.75" customHeight="1">
      <c r="A48" s="22" t="s">
        <v>2788</v>
      </c>
      <c r="B48" s="22" t="s">
        <v>932</v>
      </c>
      <c r="C48" s="22" t="s">
        <v>2566</v>
      </c>
      <c r="D48" s="22" t="b">
        <v>1</v>
      </c>
      <c r="E48" s="22" t="s">
        <v>2719</v>
      </c>
      <c r="F48" s="22" t="s">
        <v>843</v>
      </c>
      <c r="G48" s="22" t="s">
        <v>843</v>
      </c>
      <c r="H48" s="22" t="s">
        <v>2721</v>
      </c>
      <c r="I48" s="22" t="s">
        <v>2723</v>
      </c>
      <c r="J48" s="22" t="s">
        <v>2633</v>
      </c>
      <c r="K48" s="22" t="s">
        <v>2799</v>
      </c>
    </row>
    <row r="49" ht="15.75" customHeight="1">
      <c r="A49" s="22" t="s">
        <v>2788</v>
      </c>
      <c r="B49" s="22" t="s">
        <v>496</v>
      </c>
      <c r="C49" s="22" t="s">
        <v>2584</v>
      </c>
      <c r="D49" s="22" t="b">
        <v>1</v>
      </c>
      <c r="E49" s="22" t="s">
        <v>2703</v>
      </c>
      <c r="F49" s="22">
        <v>1.0</v>
      </c>
      <c r="G49" s="22" t="s">
        <v>843</v>
      </c>
      <c r="H49" s="22" t="s">
        <v>2792</v>
      </c>
      <c r="I49" s="22" t="s">
        <v>2723</v>
      </c>
      <c r="J49" s="22" t="s">
        <v>2633</v>
      </c>
      <c r="K49" s="22" t="s">
        <v>2707</v>
      </c>
    </row>
    <row r="50" ht="15.75" customHeight="1">
      <c r="A50" s="22" t="s">
        <v>2788</v>
      </c>
      <c r="B50" s="22" t="s">
        <v>1690</v>
      </c>
      <c r="C50" s="22" t="s">
        <v>1645</v>
      </c>
      <c r="D50" s="22" t="b">
        <v>1</v>
      </c>
      <c r="E50" s="22" t="s">
        <v>2599</v>
      </c>
      <c r="F50" s="148">
        <v>46023.0</v>
      </c>
      <c r="G50" s="148">
        <v>46387.0</v>
      </c>
      <c r="H50" s="22" t="s">
        <v>2792</v>
      </c>
      <c r="I50" s="22" t="s">
        <v>2723</v>
      </c>
      <c r="J50" s="22" t="s">
        <v>2633</v>
      </c>
      <c r="K50" s="22" t="s">
        <v>2604</v>
      </c>
    </row>
    <row r="51" ht="15.75" customHeight="1">
      <c r="A51" s="22" t="s">
        <v>2807</v>
      </c>
      <c r="B51" s="22" t="s">
        <v>432</v>
      </c>
      <c r="C51" s="22" t="s">
        <v>2566</v>
      </c>
      <c r="D51" s="22" t="b">
        <v>1</v>
      </c>
      <c r="E51" s="22" t="s">
        <v>2809</v>
      </c>
      <c r="F51" s="22" t="s">
        <v>843</v>
      </c>
      <c r="G51" s="22" t="s">
        <v>843</v>
      </c>
      <c r="H51" s="22" t="s">
        <v>2811</v>
      </c>
      <c r="I51" s="22" t="s">
        <v>2621</v>
      </c>
      <c r="J51" s="22" t="s">
        <v>2573</v>
      </c>
      <c r="K51" s="22" t="s">
        <v>2575</v>
      </c>
    </row>
    <row r="52" ht="15.75" customHeight="1">
      <c r="A52" s="22" t="s">
        <v>2807</v>
      </c>
      <c r="B52" s="22" t="s">
        <v>433</v>
      </c>
      <c r="C52" s="22" t="s">
        <v>2566</v>
      </c>
      <c r="D52" s="22" t="b">
        <v>1</v>
      </c>
      <c r="E52" s="22" t="s">
        <v>2568</v>
      </c>
      <c r="F52" s="22" t="s">
        <v>843</v>
      </c>
      <c r="G52" s="22" t="s">
        <v>843</v>
      </c>
      <c r="H52" s="22" t="s">
        <v>2571</v>
      </c>
      <c r="I52" s="22" t="s">
        <v>2621</v>
      </c>
      <c r="J52" s="22" t="s">
        <v>2573</v>
      </c>
      <c r="K52" s="22" t="s">
        <v>2692</v>
      </c>
    </row>
    <row r="53" ht="15.75" customHeight="1">
      <c r="A53" s="22" t="s">
        <v>2807</v>
      </c>
      <c r="B53" s="22" t="s">
        <v>435</v>
      </c>
      <c r="C53" s="22" t="s">
        <v>1645</v>
      </c>
      <c r="D53" s="22" t="b">
        <v>1</v>
      </c>
      <c r="E53" s="22" t="s">
        <v>2599</v>
      </c>
      <c r="F53" s="148">
        <v>46023.0</v>
      </c>
      <c r="G53" s="148">
        <v>46387.0</v>
      </c>
      <c r="H53" s="22" t="s">
        <v>2811</v>
      </c>
      <c r="I53" s="22" t="s">
        <v>2621</v>
      </c>
      <c r="J53" s="22" t="s">
        <v>2573</v>
      </c>
      <c r="K53" s="22" t="s">
        <v>2604</v>
      </c>
    </row>
    <row r="54" ht="15.75" customHeight="1">
      <c r="A54" s="22" t="s">
        <v>2807</v>
      </c>
      <c r="B54" s="22" t="s">
        <v>2763</v>
      </c>
      <c r="C54" s="22" t="s">
        <v>2566</v>
      </c>
      <c r="D54" s="22" t="b">
        <v>1</v>
      </c>
      <c r="E54" s="22" t="s">
        <v>2578</v>
      </c>
      <c r="F54" s="22" t="s">
        <v>843</v>
      </c>
      <c r="G54" s="22" t="s">
        <v>843</v>
      </c>
      <c r="H54" s="22" t="s">
        <v>2811</v>
      </c>
      <c r="I54" s="22" t="s">
        <v>2621</v>
      </c>
      <c r="J54" s="22" t="s">
        <v>2573</v>
      </c>
      <c r="K54" s="22" t="s">
        <v>2581</v>
      </c>
    </row>
    <row r="55" ht="15.75" customHeight="1">
      <c r="A55" s="22" t="s">
        <v>2807</v>
      </c>
      <c r="B55" s="22" t="s">
        <v>2821</v>
      </c>
      <c r="C55" s="22" t="s">
        <v>2584</v>
      </c>
      <c r="D55" s="22" t="b">
        <v>1</v>
      </c>
      <c r="E55" s="22" t="s">
        <v>2822</v>
      </c>
      <c r="F55" s="22">
        <v>0.0</v>
      </c>
      <c r="G55" s="22">
        <v>1.0</v>
      </c>
      <c r="H55" s="22" t="s">
        <v>2823</v>
      </c>
      <c r="I55" s="22" t="s">
        <v>2653</v>
      </c>
      <c r="J55" s="22" t="s">
        <v>2633</v>
      </c>
      <c r="K55" s="22" t="s">
        <v>2825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2.63"/>
    <col customWidth="1" min="3" max="4" width="20.13"/>
    <col customWidth="1" min="5" max="5" width="18.88"/>
    <col customWidth="1" min="6" max="6" width="26.38"/>
  </cols>
  <sheetData>
    <row r="1" ht="15.75" customHeight="1">
      <c r="A1" s="22" t="s">
        <v>2863</v>
      </c>
      <c r="B1" s="22" t="s">
        <v>2864</v>
      </c>
      <c r="C1" s="22" t="s">
        <v>2865</v>
      </c>
      <c r="D1" s="22" t="s">
        <v>2867</v>
      </c>
      <c r="E1" s="22" t="s">
        <v>2869</v>
      </c>
      <c r="F1" s="22" t="s">
        <v>2871</v>
      </c>
    </row>
    <row r="2" ht="15.75" customHeight="1">
      <c r="A2" s="22" t="s">
        <v>2873</v>
      </c>
      <c r="B2" s="22" t="s">
        <v>2874</v>
      </c>
      <c r="C2" s="22">
        <f>MAX(IFERROR(VALUE(SUBSTITUTE(raw_deals!$A$2:$A$1000,"D-","")),0))+1</f>
        <v>102</v>
      </c>
      <c r="D2" s="22" t="str">
        <f>"D-" &amp; TEXT(C2-1, "000")</f>
        <v>D-101</v>
      </c>
      <c r="E2" s="22">
        <f>COUNTA(raw_deals!$A$2:$A$1000)</f>
        <v>11</v>
      </c>
      <c r="F2" s="22" t="s">
        <v>2907</v>
      </c>
    </row>
    <row r="3" ht="15.75" customHeight="1">
      <c r="A3" s="22" t="s">
        <v>2909</v>
      </c>
      <c r="B3" s="22" t="s">
        <v>2911</v>
      </c>
      <c r="C3" s="22">
        <f>MAX(IFERROR(VALUE(SUBSTITUTE(raw_calls!$A$2:$A$1000,"C-","")),0))+1</f>
        <v>503</v>
      </c>
      <c r="D3" s="22" t="str">
        <f>"C-" &amp; TEXT(C3-1, "000")</f>
        <v>C-502</v>
      </c>
      <c r="E3" s="22">
        <f>COUNTA(raw_calls!$A$2:$A$1000)</f>
        <v>6</v>
      </c>
      <c r="F3" s="22" t="s">
        <v>2937</v>
      </c>
    </row>
    <row r="4" ht="15.75" customHeight="1">
      <c r="A4" s="22" t="s">
        <v>2938</v>
      </c>
      <c r="B4" s="22" t="s">
        <v>2939</v>
      </c>
      <c r="C4" s="22">
        <f>MAX(IFERROR(VALUE(SUBSTITUTE(raw_invoices!$A$2:$A$1000,"INV-","")),0))+1</f>
        <v>204</v>
      </c>
      <c r="D4" s="22" t="str">
        <f>"INV-" &amp; TEXT(C4-1, "000")</f>
        <v>INV-203</v>
      </c>
      <c r="E4" s="22">
        <f>COUNTA(raw_invoices!$A$2:$A$1000)</f>
        <v>8</v>
      </c>
      <c r="F4" s="22" t="s">
        <v>2964</v>
      </c>
    </row>
    <row r="5" ht="15.75" customHeight="1">
      <c r="A5" s="22" t="s">
        <v>2966</v>
      </c>
      <c r="B5" s="22" t="s">
        <v>2968</v>
      </c>
      <c r="C5" s="22">
        <f>MAX(IFERROR(VALUE(SUBSTITUTE(raw_payments!$A$2:$A$1000,"PAY-","")),0))+1</f>
        <v>1005</v>
      </c>
      <c r="D5" s="22" t="str">
        <f>"PAY-" &amp; TEXT(C5-1, "000")</f>
        <v>PAY-1004</v>
      </c>
      <c r="E5" s="22">
        <f>COUNTA(raw_payments!$A$2:$A$1000)</f>
        <v>6</v>
      </c>
      <c r="F5" s="22" t="s">
        <v>2998</v>
      </c>
    </row>
    <row r="6" ht="15.75" customHeight="1">
      <c r="A6" s="22" t="s">
        <v>2999</v>
      </c>
      <c r="B6" s="22" t="s">
        <v>3001</v>
      </c>
      <c r="C6" s="22">
        <v>114.0</v>
      </c>
      <c r="D6" s="22" t="s">
        <v>701</v>
      </c>
      <c r="E6" s="22">
        <f>COUNTA(raw_touchpoints!$A$2:$A$1000)</f>
        <v>14</v>
      </c>
      <c r="F6" s="22" t="s">
        <v>3010</v>
      </c>
    </row>
    <row r="7" ht="15.75" customHeight="1">
      <c r="A7" s="22" t="s">
        <v>3011</v>
      </c>
      <c r="B7" s="22" t="s">
        <v>3012</v>
      </c>
      <c r="C7" s="22">
        <f>MAX(IFERROR(VALUE(SUBSTITUTE(raw_deals!$K$2:$K$1000,"ga_","")),0))+1</f>
        <v>17</v>
      </c>
      <c r="D7" s="22" t="s">
        <v>3028</v>
      </c>
      <c r="E7" s="22">
        <v>11.0</v>
      </c>
      <c r="F7" s="22" t="s">
        <v>3030</v>
      </c>
    </row>
    <row r="8" ht="15.75" customHeight="1">
      <c r="A8" s="22" t="s">
        <v>3032</v>
      </c>
      <c r="B8" s="22" t="s">
        <v>3033</v>
      </c>
      <c r="C8" s="22">
        <v>5.0</v>
      </c>
      <c r="D8" s="22" t="s">
        <v>3034</v>
      </c>
      <c r="E8" s="22">
        <f>COUNTA(raw_marketing!$A$2:$A$1000)</f>
        <v>3</v>
      </c>
      <c r="F8" s="22" t="s">
        <v>3040</v>
      </c>
    </row>
    <row r="9" ht="15.75" customHeight="1">
      <c r="A9" s="22" t="s">
        <v>3042</v>
      </c>
      <c r="B9" s="22" t="s">
        <v>3043</v>
      </c>
      <c r="C9" s="22">
        <v>101.0</v>
      </c>
      <c r="D9" s="22" t="s">
        <v>3045</v>
      </c>
      <c r="E9" s="22">
        <v>0.0</v>
      </c>
      <c r="F9" s="22" t="s">
        <v>3046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52.63"/>
    <col customWidth="1" min="3" max="3" width="18.88"/>
    <col customWidth="1" min="4" max="4" width="28.88"/>
    <col customWidth="1" min="5" max="6" width="12.63"/>
  </cols>
  <sheetData>
    <row r="1" ht="15.75" customHeight="1">
      <c r="A1" s="22" t="s">
        <v>1832</v>
      </c>
      <c r="B1" s="22" t="s">
        <v>3074</v>
      </c>
      <c r="C1" s="22" t="s">
        <v>3076</v>
      </c>
      <c r="D1" s="22" t="s">
        <v>836</v>
      </c>
    </row>
    <row r="2" ht="15.75" customHeight="1">
      <c r="A2" s="22" t="s">
        <v>3079</v>
      </c>
      <c r="B2" s="22" t="s">
        <v>3080</v>
      </c>
      <c r="C2" s="22">
        <f>COUNTA(raw_deals!$A$2:$A$1000)</f>
        <v>11</v>
      </c>
      <c r="D2" s="22" t="str">
        <f>IF(C2&gt;0, "🟢 OK", "🔴 EMPTY")</f>
        <v>🟢 OK</v>
      </c>
    </row>
    <row r="3" ht="15.75" customHeight="1">
      <c r="A3" s="22" t="s">
        <v>3097</v>
      </c>
      <c r="B3" s="22" t="s">
        <v>3099</v>
      </c>
      <c r="C3" s="22">
        <f>COUNTIFS(raw_deals!$A$2:$A$1000, "?*", raw_deals!$B$2:$B$1000, "")/MAX(COUNTA(raw_deals!$A$2:$A$1000), 1)</f>
        <v>0</v>
      </c>
      <c r="D3" s="22" t="str">
        <f>IF(C3=0, "🟢 0% NULL", "🔴 HAS NULL")</f>
        <v>🟢 0% NULL</v>
      </c>
    </row>
    <row r="4" ht="15.75" customHeight="1">
      <c r="A4" s="22" t="s">
        <v>3124</v>
      </c>
      <c r="B4" s="22" t="s">
        <v>3126</v>
      </c>
      <c r="C4" s="22">
        <f t="array" ref="C4">SUMPRODUCT((raw_deals!$A$2:$A$1000&lt;&gt;"")*(COUNTIF(raw_deals!$B$2:$B$1000, raw_deals!$B$2:$B$1000)&gt;1))/MAX(COUNTA(raw_deals!$A$2:$A$1000), 1)</f>
        <v>0</v>
      </c>
      <c r="D4" s="22" t="str">
        <f>IF(C4=0, "🟢 0% DUP", "🟡 DUPLICATES")</f>
        <v>🟢 0% DUP</v>
      </c>
    </row>
    <row r="5" ht="15.75" customHeight="1">
      <c r="A5" s="22" t="s">
        <v>3243</v>
      </c>
      <c r="B5" s="22" t="s">
        <v>3244</v>
      </c>
      <c r="C5" s="22">
        <f>COUNTIFS(raw_deals!$K$2:$K$1000, "", raw_deals!$A$2:$A$1000, "?*")</f>
        <v>0</v>
      </c>
      <c r="D5" s="22" t="str">
        <f>IF(C5=0, "🟢 0 ORPHANS", "🔴 ORPHANS")</f>
        <v>🟢 0 ORPHANS</v>
      </c>
    </row>
    <row r="6" ht="15.75" customHeight="1">
      <c r="A6" s="22" t="s">
        <v>3265</v>
      </c>
      <c r="B6" s="22" t="s">
        <v>3267</v>
      </c>
      <c r="C6" s="22">
        <f>COUNTIFS(raw_invoices!$H$2:$H$1000, "paid", raw_invoices!$I$2:$I$1000, "")</f>
        <v>0</v>
      </c>
      <c r="D6" s="22" t="str">
        <f>IF(C6=0, "🟢 0 MISMATCH", "🔴 MISMATCH")</f>
        <v>🟢 0 MISMATCH</v>
      </c>
    </row>
    <row r="7" ht="15.75" customHeight="1"/>
    <row r="8" ht="15.75" customHeight="1">
      <c r="A8" s="22" t="s">
        <v>3288</v>
      </c>
      <c r="B8" s="22" t="s">
        <v>3290</v>
      </c>
      <c r="C8" s="22">
        <f>MAX(0, 1 - (C3 + C4 + (C5 + C6) / MAX(COUNTA(raw_deals!$A$2:$A$1000), 1)))</f>
        <v>1</v>
      </c>
      <c r="D8" s="22" t="str">
        <f>IF(C8&gt;=0.95, "🟢 EXCELLENT", IF(C8&gt;=0.85, "🟡 ACCEPTABLE", "🔴 ATTENTION"))</f>
        <v>🟢 EXCELLENT</v>
      </c>
    </row>
    <row r="9" ht="15.75" customHeight="1">
      <c r="A9" s="22" t="s">
        <v>3291</v>
      </c>
      <c r="B9" s="22" t="s">
        <v>3292</v>
      </c>
      <c r="C9" s="22" t="str">
        <f>IF(C8&gt;=0.95, "🟢 EXCELLENT", IF(C8&gt;=0.85, "🟡 ACCEPTABLE", "🔴 ATTENTION"))</f>
        <v>🟢 EXCELLENT</v>
      </c>
      <c r="D9" s="22" t="str">
        <f>IF(C8&gt;=0.95, "🟢 Готово к переходу на Wave 2", IF(C8&gt;=0.85, "🟡 Требуется доработка", "🔴 Блокировка Wave 2"))</f>
        <v>🟢 Готово к переходу на Wave 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13"/>
    <col customWidth="1" min="3" max="3" width="22.63"/>
    <col customWidth="1" min="4" max="4" width="25.13"/>
    <col customWidth="1" min="5" max="7" width="22.63"/>
    <col customWidth="1" min="8" max="10" width="14.5"/>
  </cols>
  <sheetData>
    <row r="1" ht="15.75" customHeight="1">
      <c r="A1" s="22" t="s">
        <v>1595</v>
      </c>
      <c r="B1" s="22" t="s">
        <v>433</v>
      </c>
      <c r="C1" s="22" t="s">
        <v>3106</v>
      </c>
      <c r="D1" s="22" t="s">
        <v>3108</v>
      </c>
      <c r="E1" s="22" t="s">
        <v>3109</v>
      </c>
      <c r="F1" s="22" t="s">
        <v>1602</v>
      </c>
      <c r="G1" s="22" t="s">
        <v>1603</v>
      </c>
      <c r="H1" s="22" t="s">
        <v>501</v>
      </c>
      <c r="I1" s="22" t="s">
        <v>3112</v>
      </c>
      <c r="J1" s="22" t="s">
        <v>2560</v>
      </c>
    </row>
    <row r="2" ht="15.75" customHeight="1">
      <c r="A2" s="22" t="s">
        <v>3114</v>
      </c>
      <c r="B2" s="22" t="s">
        <v>451</v>
      </c>
      <c r="C2" s="216">
        <v>46267.416666666664</v>
      </c>
      <c r="D2" s="22" t="s">
        <v>3116</v>
      </c>
      <c r="E2" s="22" t="s">
        <v>497</v>
      </c>
      <c r="F2" s="22">
        <v>0.0</v>
      </c>
      <c r="G2" s="22">
        <v>1.0</v>
      </c>
      <c r="H2" s="22">
        <v>102.0</v>
      </c>
      <c r="I2" s="22" t="s">
        <v>3117</v>
      </c>
      <c r="J2" s="22" t="s">
        <v>2571</v>
      </c>
    </row>
    <row r="3" ht="15.75" customHeight="1">
      <c r="A3" s="22" t="s">
        <v>3119</v>
      </c>
      <c r="B3" s="22" t="s">
        <v>451</v>
      </c>
      <c r="C3" s="216">
        <v>46268.604166666664</v>
      </c>
      <c r="D3" s="22" t="s">
        <v>3116</v>
      </c>
      <c r="E3" s="22" t="s">
        <v>497</v>
      </c>
      <c r="F3" s="22">
        <v>1.0</v>
      </c>
      <c r="G3" s="22">
        <v>2.0</v>
      </c>
      <c r="H3" s="22">
        <v>102.0</v>
      </c>
      <c r="I3" s="22" t="s">
        <v>3121</v>
      </c>
      <c r="J3" s="22" t="s">
        <v>2571</v>
      </c>
    </row>
    <row r="4" ht="15.75" customHeight="1">
      <c r="A4" s="22" t="s">
        <v>3123</v>
      </c>
      <c r="B4" s="22" t="s">
        <v>451</v>
      </c>
      <c r="C4" s="216">
        <v>46270.458333333336</v>
      </c>
      <c r="D4" s="22" t="s">
        <v>3116</v>
      </c>
      <c r="E4" s="22" t="s">
        <v>497</v>
      </c>
      <c r="F4" s="22">
        <v>2.0</v>
      </c>
      <c r="G4" s="22">
        <v>3.0</v>
      </c>
      <c r="H4" s="22">
        <v>102.0</v>
      </c>
      <c r="I4" s="22" t="s">
        <v>3121</v>
      </c>
      <c r="J4" s="22" t="s">
        <v>2571</v>
      </c>
    </row>
    <row r="5" ht="15.75" customHeight="1">
      <c r="A5" s="22" t="s">
        <v>3130</v>
      </c>
      <c r="B5" s="22" t="s">
        <v>451</v>
      </c>
      <c r="C5" s="216">
        <v>46273.666666666664</v>
      </c>
      <c r="D5" s="22" t="s">
        <v>3116</v>
      </c>
      <c r="E5" s="22" t="s">
        <v>497</v>
      </c>
      <c r="F5" s="22">
        <v>3.0</v>
      </c>
      <c r="G5" s="22">
        <v>4.0</v>
      </c>
      <c r="H5" s="22">
        <v>102.0</v>
      </c>
      <c r="I5" s="22" t="s">
        <v>3121</v>
      </c>
      <c r="J5" s="22" t="s">
        <v>2571</v>
      </c>
    </row>
    <row r="6" ht="15.75" customHeight="1">
      <c r="A6" s="22" t="s">
        <v>3134</v>
      </c>
      <c r="B6" s="22" t="s">
        <v>451</v>
      </c>
      <c r="C6" s="216">
        <v>46275.5</v>
      </c>
      <c r="D6" s="22" t="s">
        <v>3116</v>
      </c>
      <c r="E6" s="22" t="s">
        <v>497</v>
      </c>
      <c r="F6" s="22">
        <v>4.0</v>
      </c>
      <c r="G6" s="22">
        <v>5.0</v>
      </c>
      <c r="H6" s="22">
        <v>102.0</v>
      </c>
      <c r="I6" s="22" t="s">
        <v>3121</v>
      </c>
      <c r="J6" s="22" t="s">
        <v>2571</v>
      </c>
    </row>
    <row r="7" ht="15.75" customHeight="1">
      <c r="A7" s="22" t="s">
        <v>3139</v>
      </c>
      <c r="B7" s="22" t="s">
        <v>451</v>
      </c>
      <c r="C7" s="216">
        <v>46277.708333333336</v>
      </c>
      <c r="D7" s="22" t="s">
        <v>3116</v>
      </c>
      <c r="E7" s="22" t="s">
        <v>497</v>
      </c>
      <c r="F7" s="22">
        <v>5.0</v>
      </c>
      <c r="G7" s="22">
        <v>6.0</v>
      </c>
      <c r="H7" s="22">
        <v>102.0</v>
      </c>
      <c r="I7" s="22" t="s">
        <v>3121</v>
      </c>
      <c r="J7" s="22" t="s">
        <v>2571</v>
      </c>
    </row>
    <row r="8" ht="15.75" customHeight="1">
      <c r="A8" s="22" t="s">
        <v>3144</v>
      </c>
      <c r="B8" s="22" t="s">
        <v>568</v>
      </c>
      <c r="C8" s="216">
        <v>46270.395833333336</v>
      </c>
      <c r="D8" s="22" t="s">
        <v>3116</v>
      </c>
      <c r="E8" s="22" t="s">
        <v>497</v>
      </c>
      <c r="F8" s="22">
        <v>0.0</v>
      </c>
      <c r="G8" s="22">
        <v>1.0</v>
      </c>
      <c r="H8" s="22">
        <v>101.0</v>
      </c>
      <c r="I8" s="22" t="s">
        <v>3117</v>
      </c>
      <c r="J8" s="22" t="s">
        <v>2571</v>
      </c>
    </row>
    <row r="9" ht="15.75" customHeight="1">
      <c r="A9" s="22" t="s">
        <v>3147</v>
      </c>
      <c r="B9" s="22" t="s">
        <v>568</v>
      </c>
      <c r="C9" s="216">
        <v>46271.625</v>
      </c>
      <c r="D9" s="22" t="s">
        <v>3116</v>
      </c>
      <c r="E9" s="22" t="s">
        <v>497</v>
      </c>
      <c r="F9" s="22">
        <v>1.0</v>
      </c>
      <c r="G9" s="22">
        <v>2.0</v>
      </c>
      <c r="H9" s="22">
        <v>101.0</v>
      </c>
      <c r="I9" s="22" t="s">
        <v>3121</v>
      </c>
      <c r="J9" s="22" t="s">
        <v>2571</v>
      </c>
    </row>
    <row r="10" ht="15.75" customHeight="1">
      <c r="A10" s="22" t="s">
        <v>3150</v>
      </c>
      <c r="B10" s="22" t="s">
        <v>568</v>
      </c>
      <c r="C10" s="216">
        <v>46273.5</v>
      </c>
      <c r="D10" s="22" t="s">
        <v>3116</v>
      </c>
      <c r="E10" s="22" t="s">
        <v>497</v>
      </c>
      <c r="F10" s="22">
        <v>2.0</v>
      </c>
      <c r="G10" s="22">
        <v>3.0</v>
      </c>
      <c r="H10" s="22">
        <v>101.0</v>
      </c>
      <c r="I10" s="22" t="s">
        <v>3121</v>
      </c>
      <c r="J10" s="22" t="s">
        <v>2571</v>
      </c>
    </row>
    <row r="11" ht="15.75" customHeight="1">
      <c r="A11" s="22" t="s">
        <v>3152</v>
      </c>
      <c r="B11" s="22" t="s">
        <v>568</v>
      </c>
      <c r="C11" s="216">
        <v>46276.75</v>
      </c>
      <c r="D11" s="22" t="s">
        <v>3116</v>
      </c>
      <c r="E11" s="22" t="s">
        <v>497</v>
      </c>
      <c r="F11" s="22">
        <v>3.0</v>
      </c>
      <c r="G11" s="22">
        <v>4.0</v>
      </c>
      <c r="H11" s="22">
        <v>101.0</v>
      </c>
      <c r="I11" s="22" t="s">
        <v>3121</v>
      </c>
      <c r="J11" s="22" t="s">
        <v>2571</v>
      </c>
    </row>
    <row r="12" ht="15.75" customHeight="1">
      <c r="A12" s="22" t="s">
        <v>3154</v>
      </c>
      <c r="B12" s="22" t="s">
        <v>568</v>
      </c>
      <c r="C12" s="216">
        <v>46278.583333333336</v>
      </c>
      <c r="D12" s="22" t="s">
        <v>3116</v>
      </c>
      <c r="E12" s="22" t="s">
        <v>497</v>
      </c>
      <c r="F12" s="22">
        <v>4.0</v>
      </c>
      <c r="G12" s="22">
        <v>5.0</v>
      </c>
      <c r="H12" s="22">
        <v>101.0</v>
      </c>
      <c r="I12" s="22" t="s">
        <v>3121</v>
      </c>
      <c r="J12" s="22" t="s">
        <v>2571</v>
      </c>
    </row>
    <row r="13" ht="15.75" customHeight="1">
      <c r="A13" s="22" t="s">
        <v>3158</v>
      </c>
      <c r="B13" s="22" t="s">
        <v>568</v>
      </c>
      <c r="C13" s="216">
        <v>46281.479166666664</v>
      </c>
      <c r="D13" s="22" t="s">
        <v>3116</v>
      </c>
      <c r="E13" s="22" t="s">
        <v>497</v>
      </c>
      <c r="F13" s="22">
        <v>5.0</v>
      </c>
      <c r="G13" s="22">
        <v>6.0</v>
      </c>
      <c r="H13" s="22">
        <v>101.0</v>
      </c>
      <c r="I13" s="22" t="s">
        <v>3121</v>
      </c>
      <c r="J13" s="22" t="s">
        <v>2571</v>
      </c>
    </row>
    <row r="14" ht="15.75" customHeight="1">
      <c r="A14" s="22" t="s">
        <v>3161</v>
      </c>
      <c r="B14" s="22" t="s">
        <v>658</v>
      </c>
      <c r="C14" s="216">
        <v>46275.416666666664</v>
      </c>
      <c r="D14" s="22" t="s">
        <v>3116</v>
      </c>
      <c r="E14" s="22" t="s">
        <v>497</v>
      </c>
      <c r="F14" s="22">
        <v>0.0</v>
      </c>
      <c r="G14" s="22">
        <v>1.0</v>
      </c>
      <c r="H14" s="22">
        <v>102.0</v>
      </c>
      <c r="I14" s="22" t="s">
        <v>3117</v>
      </c>
      <c r="J14" s="22" t="s">
        <v>2571</v>
      </c>
    </row>
    <row r="15" ht="15.75" customHeight="1">
      <c r="A15" s="22" t="s">
        <v>3165</v>
      </c>
      <c r="B15" s="22" t="s">
        <v>636</v>
      </c>
      <c r="C15" s="216">
        <v>46277.458333333336</v>
      </c>
      <c r="D15" s="22" t="s">
        <v>3116</v>
      </c>
      <c r="E15" s="22" t="s">
        <v>497</v>
      </c>
      <c r="F15" s="22">
        <v>0.0</v>
      </c>
      <c r="G15" s="22">
        <v>1.0</v>
      </c>
      <c r="H15" s="22">
        <v>101.0</v>
      </c>
      <c r="I15" s="22" t="s">
        <v>3117</v>
      </c>
      <c r="J15" s="22" t="s">
        <v>2571</v>
      </c>
    </row>
    <row r="16" ht="15.75" customHeight="1">
      <c r="A16" s="22" t="s">
        <v>3170</v>
      </c>
      <c r="B16" s="22" t="s">
        <v>694</v>
      </c>
      <c r="C16" s="216">
        <v>46279.583333333336</v>
      </c>
      <c r="D16" s="22" t="s">
        <v>3116</v>
      </c>
      <c r="E16" s="22" t="s">
        <v>497</v>
      </c>
      <c r="F16" s="22">
        <v>0.0</v>
      </c>
      <c r="G16" s="22">
        <v>1.0</v>
      </c>
      <c r="H16" s="22">
        <v>103.0</v>
      </c>
      <c r="I16" s="22" t="s">
        <v>3117</v>
      </c>
      <c r="J16" s="22" t="s">
        <v>2571</v>
      </c>
    </row>
    <row r="17" ht="15.75" customHeight="1">
      <c r="A17" s="22" t="s">
        <v>3177</v>
      </c>
      <c r="B17" s="22" t="s">
        <v>677</v>
      </c>
      <c r="C17" s="216">
        <v>46287.375</v>
      </c>
      <c r="D17" s="22" t="s">
        <v>3116</v>
      </c>
      <c r="E17" s="22" t="s">
        <v>497</v>
      </c>
      <c r="F17" s="22">
        <v>0.0</v>
      </c>
      <c r="G17" s="22">
        <v>1.0</v>
      </c>
      <c r="H17" s="22">
        <v>102.0</v>
      </c>
      <c r="I17" s="22" t="s">
        <v>3117</v>
      </c>
      <c r="J17" s="22" t="s">
        <v>2571</v>
      </c>
    </row>
    <row r="18" ht="15.75" customHeight="1">
      <c r="A18" s="22" t="s">
        <v>3181</v>
      </c>
      <c r="B18" s="22" t="s">
        <v>689</v>
      </c>
      <c r="C18" s="216">
        <v>46289.666666666664</v>
      </c>
      <c r="D18" s="22" t="s">
        <v>3116</v>
      </c>
      <c r="E18" s="22" t="s">
        <v>497</v>
      </c>
      <c r="F18" s="22">
        <v>0.0</v>
      </c>
      <c r="G18" s="22">
        <v>1.0</v>
      </c>
      <c r="H18" s="22">
        <v>103.0</v>
      </c>
      <c r="I18" s="22" t="s">
        <v>3117</v>
      </c>
      <c r="J18" s="22" t="s">
        <v>2571</v>
      </c>
    </row>
    <row r="19" ht="15.75" customHeight="1">
      <c r="A19" s="22" t="s">
        <v>3184</v>
      </c>
      <c r="B19" s="22" t="s">
        <v>759</v>
      </c>
      <c r="C19" s="216">
        <v>46291.5</v>
      </c>
      <c r="D19" s="22" t="s">
        <v>3116</v>
      </c>
      <c r="E19" s="22" t="s">
        <v>497</v>
      </c>
      <c r="F19" s="22">
        <v>0.0</v>
      </c>
      <c r="G19" s="22">
        <v>1.0</v>
      </c>
      <c r="H19" s="22">
        <v>103.0</v>
      </c>
      <c r="I19" s="22" t="s">
        <v>3117</v>
      </c>
      <c r="J19" s="22" t="s">
        <v>2571</v>
      </c>
    </row>
    <row r="20" ht="15.75" customHeight="1">
      <c r="A20" s="22" t="s">
        <v>3190</v>
      </c>
      <c r="B20" s="22" t="s">
        <v>669</v>
      </c>
      <c r="C20" s="216">
        <v>46273.416666666664</v>
      </c>
      <c r="D20" s="22" t="s">
        <v>3116</v>
      </c>
      <c r="E20" s="22" t="s">
        <v>497</v>
      </c>
      <c r="F20" s="22">
        <v>0.0</v>
      </c>
      <c r="G20" s="22">
        <v>1.0</v>
      </c>
      <c r="H20" s="22">
        <v>102.0</v>
      </c>
      <c r="I20" s="22" t="s">
        <v>3117</v>
      </c>
      <c r="J20" s="22" t="s">
        <v>2571</v>
      </c>
    </row>
    <row r="21" ht="15.75" customHeight="1">
      <c r="A21" s="22" t="s">
        <v>3192</v>
      </c>
      <c r="B21" s="22" t="s">
        <v>789</v>
      </c>
      <c r="C21" s="216">
        <v>46275.625</v>
      </c>
      <c r="D21" s="22" t="s">
        <v>3116</v>
      </c>
      <c r="E21" s="22" t="s">
        <v>497</v>
      </c>
      <c r="F21" s="22">
        <v>0.0</v>
      </c>
      <c r="G21" s="22">
        <v>1.0</v>
      </c>
      <c r="H21" s="22">
        <v>101.0</v>
      </c>
      <c r="I21" s="22" t="s">
        <v>3117</v>
      </c>
      <c r="J21" s="22" t="s">
        <v>2571</v>
      </c>
    </row>
    <row r="22" ht="15.75" customHeight="1">
      <c r="A22" s="22" t="s">
        <v>3196</v>
      </c>
      <c r="B22" s="22" t="s">
        <v>798</v>
      </c>
      <c r="C22" s="216">
        <v>46266.375</v>
      </c>
      <c r="D22" s="22" t="s">
        <v>3116</v>
      </c>
      <c r="E22" s="22" t="s">
        <v>497</v>
      </c>
      <c r="F22" s="22">
        <v>0.0</v>
      </c>
      <c r="G22" s="22">
        <v>1.0</v>
      </c>
      <c r="H22" s="22">
        <v>101.0</v>
      </c>
      <c r="I22" s="22" t="s">
        <v>3117</v>
      </c>
      <c r="J22" s="22" t="s">
        <v>2571</v>
      </c>
    </row>
    <row r="23" ht="15.75" customHeight="1">
      <c r="A23" s="22" t="s">
        <v>3200</v>
      </c>
      <c r="B23" s="22" t="s">
        <v>694</v>
      </c>
      <c r="C23" s="216">
        <v>46294.96875</v>
      </c>
      <c r="D23" s="22" t="s">
        <v>3202</v>
      </c>
      <c r="E23" s="22" t="s">
        <v>501</v>
      </c>
      <c r="F23" s="22">
        <v>101.0</v>
      </c>
      <c r="G23" s="22">
        <v>102.0</v>
      </c>
      <c r="H23" s="22">
        <v>102.0</v>
      </c>
      <c r="I23" s="22" t="s">
        <v>3205</v>
      </c>
      <c r="J23" s="22" t="s">
        <v>3206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13"/>
    <col customWidth="1" min="3" max="4" width="22.63"/>
    <col customWidth="1" min="5" max="8" width="17.63"/>
  </cols>
  <sheetData>
    <row r="1" ht="15.75" customHeight="1">
      <c r="A1" s="22" t="s">
        <v>433</v>
      </c>
      <c r="B1" s="22" t="s">
        <v>497</v>
      </c>
      <c r="C1" s="22" t="s">
        <v>3166</v>
      </c>
      <c r="D1" s="22" t="s">
        <v>3168</v>
      </c>
      <c r="E1" s="22" t="s">
        <v>3169</v>
      </c>
      <c r="F1" s="22" t="s">
        <v>3172</v>
      </c>
      <c r="G1" s="22" t="s">
        <v>3174</v>
      </c>
      <c r="H1" s="22" t="s">
        <v>3175</v>
      </c>
    </row>
    <row r="2" ht="15.75" customHeight="1">
      <c r="A2" s="22" t="s">
        <v>451</v>
      </c>
      <c r="B2" s="22">
        <v>1.0</v>
      </c>
      <c r="C2" s="216">
        <v>46267.416666666664</v>
      </c>
      <c r="D2" s="216">
        <v>46268.416666666664</v>
      </c>
      <c r="E2" s="22">
        <f t="shared" ref="E2:E40" si="1">(D2-C2)*24</f>
        <v>24</v>
      </c>
      <c r="F2" s="22">
        <f>VLOOKUP(B2, '⚙️ Настройки'!$A$12:$D$18, 3, FALSE)</f>
        <v>24</v>
      </c>
      <c r="G2" s="22" t="str">
        <f t="shared" ref="G2:G40" si="2">IF(E2&lt;=F2, "🟢 В НОРМЕ", "🔴 СРЫВ")</f>
        <v>🟢 В НОРМЕ</v>
      </c>
      <c r="H2" s="22">
        <v>102.0</v>
      </c>
    </row>
    <row r="3" ht="15.75" customHeight="1">
      <c r="A3" s="22" t="s">
        <v>451</v>
      </c>
      <c r="B3" s="22">
        <v>2.0</v>
      </c>
      <c r="C3" s="216">
        <v>46268.416666666664</v>
      </c>
      <c r="D3" s="216">
        <v>46270.416666666664</v>
      </c>
      <c r="E3" s="22">
        <f t="shared" si="1"/>
        <v>48</v>
      </c>
      <c r="F3" s="22">
        <f>VLOOKUP(B3, '⚙️ Настройки'!$A$12:$D$18, 3, FALSE)</f>
        <v>48</v>
      </c>
      <c r="G3" s="22" t="str">
        <f t="shared" si="2"/>
        <v>🟢 В НОРМЕ</v>
      </c>
      <c r="H3" s="22">
        <v>102.0</v>
      </c>
    </row>
    <row r="4" ht="15.75" customHeight="1">
      <c r="A4" s="22" t="s">
        <v>451</v>
      </c>
      <c r="B4" s="22">
        <v>3.0</v>
      </c>
      <c r="C4" s="216">
        <v>46270.416666666664</v>
      </c>
      <c r="D4" s="216">
        <v>46273.416666666664</v>
      </c>
      <c r="E4" s="22">
        <f t="shared" si="1"/>
        <v>72</v>
      </c>
      <c r="F4" s="22">
        <f>VLOOKUP(B4, '⚙️ Настройки'!$A$12:$D$18, 3, FALSE)</f>
        <v>120</v>
      </c>
      <c r="G4" s="22" t="str">
        <f t="shared" si="2"/>
        <v>🟢 В НОРМЕ</v>
      </c>
      <c r="H4" s="22">
        <v>102.0</v>
      </c>
    </row>
    <row r="5" ht="15.75" customHeight="1">
      <c r="A5" s="22" t="s">
        <v>451</v>
      </c>
      <c r="B5" s="22">
        <v>4.0</v>
      </c>
      <c r="C5" s="216">
        <v>46273.416666666664</v>
      </c>
      <c r="D5" s="216">
        <v>46275.416666666664</v>
      </c>
      <c r="E5" s="22">
        <f t="shared" si="1"/>
        <v>48</v>
      </c>
      <c r="F5" s="22">
        <f>VLOOKUP(B5, '⚙️ Настройки'!$A$12:$D$18, 3, FALSE)</f>
        <v>48</v>
      </c>
      <c r="G5" s="22" t="str">
        <f t="shared" si="2"/>
        <v>🟢 В НОРМЕ</v>
      </c>
      <c r="H5" s="22">
        <v>102.0</v>
      </c>
    </row>
    <row r="6" ht="15.75" customHeight="1">
      <c r="A6" s="22" t="s">
        <v>451</v>
      </c>
      <c r="B6" s="22">
        <v>5.0</v>
      </c>
      <c r="C6" s="216">
        <v>46275.416666666664</v>
      </c>
      <c r="D6" s="216">
        <v>46277.416666666664</v>
      </c>
      <c r="E6" s="22">
        <f t="shared" si="1"/>
        <v>48</v>
      </c>
      <c r="F6" s="22">
        <f>VLOOKUP(B6, '⚙️ Настройки'!$A$12:$D$18, 3, FALSE)</f>
        <v>72</v>
      </c>
      <c r="G6" s="22" t="str">
        <f t="shared" si="2"/>
        <v>🟢 В НОРМЕ</v>
      </c>
      <c r="H6" s="22">
        <v>102.0</v>
      </c>
    </row>
    <row r="7" ht="15.75" customHeight="1">
      <c r="A7" s="22" t="s">
        <v>451</v>
      </c>
      <c r="B7" s="22">
        <v>6.0</v>
      </c>
      <c r="C7" s="216">
        <v>46277.416666666664</v>
      </c>
      <c r="D7" s="216">
        <v>46277.416666666664</v>
      </c>
      <c r="E7" s="22">
        <f t="shared" si="1"/>
        <v>0</v>
      </c>
      <c r="F7" s="22">
        <f>VLOOKUP(B7, '⚙️ Настройки'!$A$12:$D$18, 3, FALSE)</f>
        <v>0</v>
      </c>
      <c r="G7" s="22" t="str">
        <f t="shared" si="2"/>
        <v>🟢 В НОРМЕ</v>
      </c>
      <c r="H7" s="22">
        <v>102.0</v>
      </c>
    </row>
    <row r="8" ht="15.75" customHeight="1">
      <c r="A8" s="22" t="s">
        <v>568</v>
      </c>
      <c r="B8" s="22">
        <v>1.0</v>
      </c>
      <c r="C8" s="216">
        <v>46270.375</v>
      </c>
      <c r="D8" s="216">
        <v>46271.375</v>
      </c>
      <c r="E8" s="22">
        <f t="shared" si="1"/>
        <v>24</v>
      </c>
      <c r="F8" s="22">
        <f>VLOOKUP(B8, '⚙️ Настройки'!$A$12:$D$18, 3, FALSE)</f>
        <v>24</v>
      </c>
      <c r="G8" s="22" t="str">
        <f t="shared" si="2"/>
        <v>🟢 В НОРМЕ</v>
      </c>
      <c r="H8" s="22">
        <v>101.0</v>
      </c>
    </row>
    <row r="9" ht="15.75" customHeight="1">
      <c r="A9" s="22" t="s">
        <v>568</v>
      </c>
      <c r="B9" s="22">
        <v>2.0</v>
      </c>
      <c r="C9" s="216">
        <v>46271.375</v>
      </c>
      <c r="D9" s="216">
        <v>46273.375</v>
      </c>
      <c r="E9" s="22">
        <f t="shared" si="1"/>
        <v>48</v>
      </c>
      <c r="F9" s="22">
        <f>VLOOKUP(B9, '⚙️ Настройки'!$A$12:$D$18, 3, FALSE)</f>
        <v>48</v>
      </c>
      <c r="G9" s="22" t="str">
        <f t="shared" si="2"/>
        <v>🟢 В НОРМЕ</v>
      </c>
      <c r="H9" s="22">
        <v>101.0</v>
      </c>
    </row>
    <row r="10" ht="15.75" customHeight="1">
      <c r="A10" s="22" t="s">
        <v>568</v>
      </c>
      <c r="B10" s="22">
        <v>3.0</v>
      </c>
      <c r="C10" s="216">
        <v>46273.375</v>
      </c>
      <c r="D10" s="216">
        <v>46276.375</v>
      </c>
      <c r="E10" s="22">
        <f t="shared" si="1"/>
        <v>72</v>
      </c>
      <c r="F10" s="22">
        <f>VLOOKUP(B10, '⚙️ Настройки'!$A$12:$D$18, 3, FALSE)</f>
        <v>120</v>
      </c>
      <c r="G10" s="22" t="str">
        <f t="shared" si="2"/>
        <v>🟢 В НОРМЕ</v>
      </c>
      <c r="H10" s="22">
        <v>101.0</v>
      </c>
    </row>
    <row r="11" ht="15.75" customHeight="1">
      <c r="A11" s="22" t="s">
        <v>568</v>
      </c>
      <c r="B11" s="22">
        <v>4.0</v>
      </c>
      <c r="C11" s="216">
        <v>46276.375</v>
      </c>
      <c r="D11" s="216">
        <v>46278.375</v>
      </c>
      <c r="E11" s="22">
        <f t="shared" si="1"/>
        <v>48</v>
      </c>
      <c r="F11" s="22">
        <f>VLOOKUP(B11, '⚙️ Настройки'!$A$12:$D$18, 3, FALSE)</f>
        <v>48</v>
      </c>
      <c r="G11" s="22" t="str">
        <f t="shared" si="2"/>
        <v>🟢 В НОРМЕ</v>
      </c>
      <c r="H11" s="22">
        <v>101.0</v>
      </c>
    </row>
    <row r="12" ht="15.75" customHeight="1">
      <c r="A12" s="22" t="s">
        <v>568</v>
      </c>
      <c r="B12" s="22">
        <v>5.0</v>
      </c>
      <c r="C12" s="216">
        <v>46278.375</v>
      </c>
      <c r="D12" s="216">
        <v>46281.375</v>
      </c>
      <c r="E12" s="22">
        <f t="shared" si="1"/>
        <v>72</v>
      </c>
      <c r="F12" s="22">
        <f>VLOOKUP(B12, '⚙️ Настройки'!$A$12:$D$18, 3, FALSE)</f>
        <v>72</v>
      </c>
      <c r="G12" s="22" t="str">
        <f t="shared" si="2"/>
        <v>🟢 В НОРМЕ</v>
      </c>
      <c r="H12" s="22">
        <v>101.0</v>
      </c>
    </row>
    <row r="13" ht="15.75" customHeight="1">
      <c r="A13" s="22" t="s">
        <v>568</v>
      </c>
      <c r="B13" s="22">
        <v>6.0</v>
      </c>
      <c r="C13" s="216">
        <v>46281.375</v>
      </c>
      <c r="D13" s="216">
        <v>46281.375</v>
      </c>
      <c r="E13" s="22">
        <f t="shared" si="1"/>
        <v>0</v>
      </c>
      <c r="F13" s="22">
        <f>VLOOKUP(B13, '⚙️ Настройки'!$A$12:$D$18, 3, FALSE)</f>
        <v>0</v>
      </c>
      <c r="G13" s="22" t="str">
        <f t="shared" si="2"/>
        <v>🟢 В НОРМЕ</v>
      </c>
      <c r="H13" s="22">
        <v>101.0</v>
      </c>
    </row>
    <row r="14" ht="15.75" customHeight="1">
      <c r="A14" s="22" t="s">
        <v>658</v>
      </c>
      <c r="B14" s="22">
        <v>1.0</v>
      </c>
      <c r="C14" s="216">
        <v>46275.416666666664</v>
      </c>
      <c r="D14" s="216">
        <v>46276.416666666664</v>
      </c>
      <c r="E14" s="22">
        <f t="shared" si="1"/>
        <v>24</v>
      </c>
      <c r="F14" s="22">
        <f>VLOOKUP(B14, '⚙️ Настройки'!$A$12:$D$18, 3, FALSE)</f>
        <v>24</v>
      </c>
      <c r="G14" s="22" t="str">
        <f t="shared" si="2"/>
        <v>🟢 В НОРМЕ</v>
      </c>
      <c r="H14" s="22">
        <v>102.0</v>
      </c>
    </row>
    <row r="15" ht="15.75" customHeight="1">
      <c r="A15" s="22" t="s">
        <v>658</v>
      </c>
      <c r="B15" s="22">
        <v>2.0</v>
      </c>
      <c r="C15" s="216">
        <v>46276.416666666664</v>
      </c>
      <c r="D15" s="216">
        <v>46278.416666666664</v>
      </c>
      <c r="E15" s="22">
        <f t="shared" si="1"/>
        <v>48</v>
      </c>
      <c r="F15" s="22">
        <f>VLOOKUP(B15, '⚙️ Настройки'!$A$12:$D$18, 3, FALSE)</f>
        <v>48</v>
      </c>
      <c r="G15" s="22" t="str">
        <f t="shared" si="2"/>
        <v>🟢 В НОРМЕ</v>
      </c>
      <c r="H15" s="22">
        <v>102.0</v>
      </c>
    </row>
    <row r="16" ht="15.75" customHeight="1">
      <c r="A16" s="22" t="s">
        <v>658</v>
      </c>
      <c r="B16" s="22">
        <v>4.0</v>
      </c>
      <c r="C16" s="216">
        <v>46278.416666666664</v>
      </c>
      <c r="D16" s="216">
        <v>46280.416666666664</v>
      </c>
      <c r="E16" s="22">
        <f t="shared" si="1"/>
        <v>48</v>
      </c>
      <c r="F16" s="22">
        <f>VLOOKUP(B16, '⚙️ Настройки'!$A$12:$D$18, 3, FALSE)</f>
        <v>48</v>
      </c>
      <c r="G16" s="22" t="str">
        <f t="shared" si="2"/>
        <v>🟢 В НОРМЕ</v>
      </c>
      <c r="H16" s="22">
        <v>102.0</v>
      </c>
    </row>
    <row r="17" ht="15.75" customHeight="1">
      <c r="A17" s="22" t="s">
        <v>658</v>
      </c>
      <c r="B17" s="22">
        <v>5.0</v>
      </c>
      <c r="C17" s="216">
        <v>46280.416666666664</v>
      </c>
      <c r="D17" s="216">
        <v>46285.416666666664</v>
      </c>
      <c r="E17" s="22">
        <f t="shared" si="1"/>
        <v>120</v>
      </c>
      <c r="F17" s="22">
        <f>VLOOKUP(B17, '⚙️ Настройки'!$A$12:$D$18, 3, FALSE)</f>
        <v>72</v>
      </c>
      <c r="G17" s="22" t="str">
        <f t="shared" si="2"/>
        <v>🔴 СРЫВ</v>
      </c>
      <c r="H17" s="22">
        <v>102.0</v>
      </c>
    </row>
    <row r="18" ht="15.75" customHeight="1">
      <c r="A18" s="22" t="s">
        <v>636</v>
      </c>
      <c r="B18" s="22">
        <v>1.0</v>
      </c>
      <c r="C18" s="216">
        <v>46277.458333333336</v>
      </c>
      <c r="D18" s="216">
        <v>46278.458333333336</v>
      </c>
      <c r="E18" s="22">
        <f t="shared" si="1"/>
        <v>24</v>
      </c>
      <c r="F18" s="22">
        <f>VLOOKUP(B18, '⚙️ Настройки'!$A$12:$D$18, 3, FALSE)</f>
        <v>24</v>
      </c>
      <c r="G18" s="22" t="str">
        <f t="shared" si="2"/>
        <v>🟢 В НОРМЕ</v>
      </c>
      <c r="H18" s="22">
        <v>101.0</v>
      </c>
    </row>
    <row r="19" ht="15.75" customHeight="1">
      <c r="A19" s="22" t="s">
        <v>636</v>
      </c>
      <c r="B19" s="22">
        <v>2.0</v>
      </c>
      <c r="C19" s="216">
        <v>46278.458333333336</v>
      </c>
      <c r="D19" s="216">
        <v>46280.458333333336</v>
      </c>
      <c r="E19" s="22">
        <f t="shared" si="1"/>
        <v>48</v>
      </c>
      <c r="F19" s="22">
        <f>VLOOKUP(B19, '⚙️ Настройки'!$A$12:$D$18, 3, FALSE)</f>
        <v>48</v>
      </c>
      <c r="G19" s="22" t="str">
        <f t="shared" si="2"/>
        <v>🟢 В НОРМЕ</v>
      </c>
      <c r="H19" s="22">
        <v>101.0</v>
      </c>
    </row>
    <row r="20" ht="15.75" customHeight="1">
      <c r="A20" s="22" t="s">
        <v>636</v>
      </c>
      <c r="B20" s="22">
        <v>3.0</v>
      </c>
      <c r="C20" s="216">
        <v>46280.458333333336</v>
      </c>
      <c r="D20" s="216">
        <v>46283.458333333336</v>
      </c>
      <c r="E20" s="22">
        <f t="shared" si="1"/>
        <v>72</v>
      </c>
      <c r="F20" s="22">
        <f>VLOOKUP(B20, '⚙️ Настройки'!$A$12:$D$18, 3, FALSE)</f>
        <v>120</v>
      </c>
      <c r="G20" s="22" t="str">
        <f t="shared" si="2"/>
        <v>🟢 В НОРМЕ</v>
      </c>
      <c r="H20" s="22">
        <v>101.0</v>
      </c>
    </row>
    <row r="21" ht="15.75" customHeight="1">
      <c r="A21" s="22" t="s">
        <v>636</v>
      </c>
      <c r="B21" s="22">
        <v>4.0</v>
      </c>
      <c r="C21" s="216">
        <v>46283.458333333336</v>
      </c>
      <c r="D21" s="216">
        <v>46289.458333333336</v>
      </c>
      <c r="E21" s="22">
        <f t="shared" si="1"/>
        <v>144</v>
      </c>
      <c r="F21" s="22">
        <f>VLOOKUP(B21, '⚙️ Настройки'!$A$12:$D$18, 3, FALSE)</f>
        <v>48</v>
      </c>
      <c r="G21" s="22" t="str">
        <f t="shared" si="2"/>
        <v>🔴 СРЫВ</v>
      </c>
      <c r="H21" s="22">
        <v>101.0</v>
      </c>
    </row>
    <row r="22" ht="15.75" customHeight="1">
      <c r="A22" s="22" t="s">
        <v>694</v>
      </c>
      <c r="B22" s="22">
        <v>1.0</v>
      </c>
      <c r="C22" s="216">
        <v>46279.583333333336</v>
      </c>
      <c r="D22" s="216">
        <v>46280.583333333336</v>
      </c>
      <c r="E22" s="22">
        <f t="shared" si="1"/>
        <v>24</v>
      </c>
      <c r="F22" s="22">
        <f>VLOOKUP(B22, '⚙️ Настройки'!$A$12:$D$18, 3, FALSE)</f>
        <v>24</v>
      </c>
      <c r="G22" s="22" t="str">
        <f t="shared" si="2"/>
        <v>🟢 В НОРМЕ</v>
      </c>
      <c r="H22" s="22">
        <v>103.0</v>
      </c>
    </row>
    <row r="23" ht="15.75" customHeight="1">
      <c r="A23" s="22" t="s">
        <v>694</v>
      </c>
      <c r="B23" s="22">
        <v>2.0</v>
      </c>
      <c r="C23" s="216">
        <v>46280.583333333336</v>
      </c>
      <c r="D23" s="216">
        <v>46282.583333333336</v>
      </c>
      <c r="E23" s="22">
        <f t="shared" si="1"/>
        <v>48</v>
      </c>
      <c r="F23" s="22">
        <f>VLOOKUP(B23, '⚙️ Настройки'!$A$12:$D$18, 3, FALSE)</f>
        <v>48</v>
      </c>
      <c r="G23" s="22" t="str">
        <f t="shared" si="2"/>
        <v>🟢 В НОРМЕ</v>
      </c>
      <c r="H23" s="22">
        <v>103.0</v>
      </c>
    </row>
    <row r="24" ht="15.75" customHeight="1">
      <c r="A24" s="22" t="s">
        <v>694</v>
      </c>
      <c r="B24" s="22">
        <v>3.0</v>
      </c>
      <c r="C24" s="216">
        <v>46282.583333333336</v>
      </c>
      <c r="D24" s="216">
        <v>46285.583333333336</v>
      </c>
      <c r="E24" s="22">
        <f t="shared" si="1"/>
        <v>72</v>
      </c>
      <c r="F24" s="22">
        <f>VLOOKUP(B24, '⚙️ Настройки'!$A$12:$D$18, 3, FALSE)</f>
        <v>120</v>
      </c>
      <c r="G24" s="22" t="str">
        <f t="shared" si="2"/>
        <v>🟢 В НОРМЕ</v>
      </c>
      <c r="H24" s="22">
        <v>103.0</v>
      </c>
    </row>
    <row r="25" ht="15.75" customHeight="1">
      <c r="A25" s="22" t="s">
        <v>694</v>
      </c>
      <c r="B25" s="22">
        <v>4.0</v>
      </c>
      <c r="C25" s="216">
        <v>46285.583333333336</v>
      </c>
      <c r="D25" s="216">
        <v>46290.583333333336</v>
      </c>
      <c r="E25" s="22">
        <f t="shared" si="1"/>
        <v>120</v>
      </c>
      <c r="F25" s="22">
        <f>VLOOKUP(B25, '⚙️ Настройки'!$A$12:$D$18, 3, FALSE)</f>
        <v>48</v>
      </c>
      <c r="G25" s="22" t="str">
        <f t="shared" si="2"/>
        <v>🔴 СРЫВ</v>
      </c>
      <c r="H25" s="22">
        <v>103.0</v>
      </c>
    </row>
    <row r="26" ht="15.75" customHeight="1">
      <c r="A26" s="22" t="s">
        <v>677</v>
      </c>
      <c r="B26" s="22">
        <v>1.0</v>
      </c>
      <c r="C26" s="216">
        <v>46287.375</v>
      </c>
      <c r="D26" s="216">
        <v>46288.375</v>
      </c>
      <c r="E26" s="22">
        <f t="shared" si="1"/>
        <v>24</v>
      </c>
      <c r="F26" s="22">
        <f>VLOOKUP(B26, '⚙️ Настройки'!$A$12:$D$18, 3, FALSE)</f>
        <v>24</v>
      </c>
      <c r="G26" s="22" t="str">
        <f t="shared" si="2"/>
        <v>🟢 В НОРМЕ</v>
      </c>
      <c r="H26" s="22">
        <v>102.0</v>
      </c>
    </row>
    <row r="27" ht="15.75" customHeight="1">
      <c r="A27" s="22" t="s">
        <v>677</v>
      </c>
      <c r="B27" s="22">
        <v>2.0</v>
      </c>
      <c r="C27" s="216">
        <v>46288.375</v>
      </c>
      <c r="D27" s="216">
        <v>46290.375</v>
      </c>
      <c r="E27" s="22">
        <f t="shared" si="1"/>
        <v>48</v>
      </c>
      <c r="F27" s="22">
        <f>VLOOKUP(B27, '⚙️ Настройки'!$A$12:$D$18, 3, FALSE)</f>
        <v>48</v>
      </c>
      <c r="G27" s="22" t="str">
        <f t="shared" si="2"/>
        <v>🟢 В НОРМЕ</v>
      </c>
      <c r="H27" s="22">
        <v>102.0</v>
      </c>
    </row>
    <row r="28" ht="15.75" customHeight="1">
      <c r="A28" s="22" t="s">
        <v>677</v>
      </c>
      <c r="B28" s="22">
        <v>3.0</v>
      </c>
      <c r="C28" s="216">
        <v>46290.375</v>
      </c>
      <c r="D28" s="216">
        <v>46291.375</v>
      </c>
      <c r="E28" s="22">
        <f t="shared" si="1"/>
        <v>24</v>
      </c>
      <c r="F28" s="22">
        <f>VLOOKUP(B28, '⚙️ Настройки'!$A$12:$D$18, 3, FALSE)</f>
        <v>120</v>
      </c>
      <c r="G28" s="22" t="str">
        <f t="shared" si="2"/>
        <v>🟢 В НОРМЕ</v>
      </c>
      <c r="H28" s="22">
        <v>102.0</v>
      </c>
    </row>
    <row r="29" ht="15.75" customHeight="1">
      <c r="A29" s="22" t="s">
        <v>689</v>
      </c>
      <c r="B29" s="22">
        <v>1.0</v>
      </c>
      <c r="C29" s="216">
        <v>46289.666666666664</v>
      </c>
      <c r="D29" s="216">
        <v>46290.666666666664</v>
      </c>
      <c r="E29" s="22">
        <f t="shared" si="1"/>
        <v>24</v>
      </c>
      <c r="F29" s="22">
        <f>VLOOKUP(B29, '⚙️ Настройки'!$A$12:$D$18, 3, FALSE)</f>
        <v>24</v>
      </c>
      <c r="G29" s="22" t="str">
        <f t="shared" si="2"/>
        <v>🟢 В НОРМЕ</v>
      </c>
      <c r="H29" s="22">
        <v>103.0</v>
      </c>
    </row>
    <row r="30" ht="15.75" customHeight="1">
      <c r="A30" s="22" t="s">
        <v>689</v>
      </c>
      <c r="B30" s="22">
        <v>2.0</v>
      </c>
      <c r="C30" s="216">
        <v>46290.666666666664</v>
      </c>
      <c r="D30" s="216">
        <v>46292.666666666664</v>
      </c>
      <c r="E30" s="22">
        <f t="shared" si="1"/>
        <v>48</v>
      </c>
      <c r="F30" s="22">
        <f>VLOOKUP(B30, '⚙️ Настройки'!$A$12:$D$18, 3, FALSE)</f>
        <v>48</v>
      </c>
      <c r="G30" s="22" t="str">
        <f t="shared" si="2"/>
        <v>🟢 В НОРМЕ</v>
      </c>
      <c r="H30" s="22">
        <v>103.0</v>
      </c>
    </row>
    <row r="31" ht="15.75" customHeight="1">
      <c r="A31" s="22" t="s">
        <v>759</v>
      </c>
      <c r="B31" s="22">
        <v>1.0</v>
      </c>
      <c r="C31" s="216">
        <v>46291.5</v>
      </c>
      <c r="D31" s="216">
        <v>46292.5</v>
      </c>
      <c r="E31" s="22">
        <f t="shared" si="1"/>
        <v>24</v>
      </c>
      <c r="F31" s="22">
        <f>VLOOKUP(B31, '⚙️ Настройки'!$A$12:$D$18, 3, FALSE)</f>
        <v>24</v>
      </c>
      <c r="G31" s="22" t="str">
        <f t="shared" si="2"/>
        <v>🟢 В НОРМЕ</v>
      </c>
      <c r="H31" s="22">
        <v>103.0</v>
      </c>
    </row>
    <row r="32" ht="15.75" customHeight="1">
      <c r="A32" s="22" t="s">
        <v>669</v>
      </c>
      <c r="B32" s="22">
        <v>1.0</v>
      </c>
      <c r="C32" s="216">
        <v>46273.416666666664</v>
      </c>
      <c r="D32" s="216">
        <v>46274.416666666664</v>
      </c>
      <c r="E32" s="22">
        <f t="shared" si="1"/>
        <v>24</v>
      </c>
      <c r="F32" s="22">
        <f>VLOOKUP(B32, '⚙️ Настройки'!$A$12:$D$18, 3, FALSE)</f>
        <v>24</v>
      </c>
      <c r="G32" s="22" t="str">
        <f t="shared" si="2"/>
        <v>🟢 В НОРМЕ</v>
      </c>
      <c r="H32" s="22">
        <v>102.0</v>
      </c>
    </row>
    <row r="33" ht="15.75" customHeight="1">
      <c r="A33" s="22" t="s">
        <v>669</v>
      </c>
      <c r="B33" s="22">
        <v>7.0</v>
      </c>
      <c r="C33" s="216">
        <v>46274.416666666664</v>
      </c>
      <c r="D33" s="216">
        <v>46279.416666666664</v>
      </c>
      <c r="E33" s="22">
        <f t="shared" si="1"/>
        <v>120</v>
      </c>
      <c r="F33" s="22">
        <f>VLOOKUP(B33, '⚙️ Настройки'!$A$12:$D$18, 3, FALSE)</f>
        <v>0</v>
      </c>
      <c r="G33" s="22" t="str">
        <f t="shared" si="2"/>
        <v>🔴 СРЫВ</v>
      </c>
      <c r="H33" s="22">
        <v>102.0</v>
      </c>
    </row>
    <row r="34" ht="15.75" customHeight="1">
      <c r="A34" s="22" t="s">
        <v>789</v>
      </c>
      <c r="B34" s="22">
        <v>1.0</v>
      </c>
      <c r="C34" s="216">
        <v>46275.625</v>
      </c>
      <c r="D34" s="216">
        <v>46276.625</v>
      </c>
      <c r="E34" s="22">
        <f t="shared" si="1"/>
        <v>24</v>
      </c>
      <c r="F34" s="22">
        <f>VLOOKUP(B34, '⚙️ Настройки'!$A$12:$D$18, 3, FALSE)</f>
        <v>24</v>
      </c>
      <c r="G34" s="22" t="str">
        <f t="shared" si="2"/>
        <v>🟢 В НОРМЕ</v>
      </c>
      <c r="H34" s="22">
        <v>101.0</v>
      </c>
    </row>
    <row r="35" ht="15.75" customHeight="1">
      <c r="A35" s="22" t="s">
        <v>789</v>
      </c>
      <c r="B35" s="22">
        <v>7.0</v>
      </c>
      <c r="C35" s="216">
        <v>46276.625</v>
      </c>
      <c r="D35" s="216">
        <v>46283.625</v>
      </c>
      <c r="E35" s="22">
        <f t="shared" si="1"/>
        <v>168</v>
      </c>
      <c r="F35" s="22">
        <f>VLOOKUP(B35, '⚙️ Настройки'!$A$12:$D$18, 3, FALSE)</f>
        <v>0</v>
      </c>
      <c r="G35" s="22" t="str">
        <f t="shared" si="2"/>
        <v>🔴 СРЫВ</v>
      </c>
      <c r="H35" s="22">
        <v>101.0</v>
      </c>
    </row>
    <row r="36" ht="15.75" customHeight="1">
      <c r="A36" s="22" t="s">
        <v>798</v>
      </c>
      <c r="B36" s="22">
        <v>1.0</v>
      </c>
      <c r="C36" s="216">
        <v>46266.375</v>
      </c>
      <c r="D36" s="216">
        <v>46267.375</v>
      </c>
      <c r="E36" s="22">
        <f t="shared" si="1"/>
        <v>24</v>
      </c>
      <c r="F36" s="22">
        <f>VLOOKUP(B36, '⚙️ Настройки'!$A$12:$D$18, 3, FALSE)</f>
        <v>24</v>
      </c>
      <c r="G36" s="22" t="str">
        <f t="shared" si="2"/>
        <v>🟢 В НОРМЕ</v>
      </c>
      <c r="H36" s="22">
        <v>101.0</v>
      </c>
    </row>
    <row r="37" ht="15.75" customHeight="1">
      <c r="A37" s="22" t="s">
        <v>798</v>
      </c>
      <c r="B37" s="22">
        <v>2.0</v>
      </c>
      <c r="C37" s="216">
        <v>46267.375</v>
      </c>
      <c r="D37" s="216">
        <v>46269.375</v>
      </c>
      <c r="E37" s="22">
        <f t="shared" si="1"/>
        <v>48</v>
      </c>
      <c r="F37" s="22">
        <f>VLOOKUP(B37, '⚙️ Настройки'!$A$12:$D$18, 3, FALSE)</f>
        <v>48</v>
      </c>
      <c r="G37" s="22" t="str">
        <f t="shared" si="2"/>
        <v>🟢 В НОРМЕ</v>
      </c>
      <c r="H37" s="22">
        <v>101.0</v>
      </c>
    </row>
    <row r="38" ht="15.75" customHeight="1">
      <c r="A38" s="22" t="s">
        <v>798</v>
      </c>
      <c r="B38" s="22">
        <v>3.0</v>
      </c>
      <c r="C38" s="216">
        <v>46269.375</v>
      </c>
      <c r="D38" s="216">
        <v>46272.375</v>
      </c>
      <c r="E38" s="22">
        <f t="shared" si="1"/>
        <v>72</v>
      </c>
      <c r="F38" s="22">
        <f>VLOOKUP(B38, '⚙️ Настройки'!$A$12:$D$18, 3, FALSE)</f>
        <v>120</v>
      </c>
      <c r="G38" s="22" t="str">
        <f t="shared" si="2"/>
        <v>🟢 В НОРМЕ</v>
      </c>
      <c r="H38" s="22">
        <v>101.0</v>
      </c>
    </row>
    <row r="39" ht="15.75" customHeight="1">
      <c r="A39" s="22" t="s">
        <v>798</v>
      </c>
      <c r="B39" s="22">
        <v>4.0</v>
      </c>
      <c r="C39" s="216">
        <v>46272.375</v>
      </c>
      <c r="D39" s="216">
        <v>46275.375</v>
      </c>
      <c r="E39" s="22">
        <f t="shared" si="1"/>
        <v>72</v>
      </c>
      <c r="F39" s="22">
        <f>VLOOKUP(B39, '⚙️ Настройки'!$A$12:$D$18, 3, FALSE)</f>
        <v>48</v>
      </c>
      <c r="G39" s="22" t="str">
        <f t="shared" si="2"/>
        <v>🔴 СРЫВ</v>
      </c>
      <c r="H39" s="22">
        <v>101.0</v>
      </c>
    </row>
    <row r="40" ht="15.75" customHeight="1">
      <c r="A40" s="22" t="s">
        <v>798</v>
      </c>
      <c r="B40" s="22">
        <v>5.0</v>
      </c>
      <c r="C40" s="216">
        <v>46275.375</v>
      </c>
      <c r="D40" s="216">
        <v>46283.375</v>
      </c>
      <c r="E40" s="22">
        <f t="shared" si="1"/>
        <v>192</v>
      </c>
      <c r="F40" s="22">
        <f>VLOOKUP(B40, '⚙️ Настройки'!$A$12:$D$18, 3, FALSE)</f>
        <v>72</v>
      </c>
      <c r="G40" s="22" t="str">
        <f t="shared" si="2"/>
        <v>🔴 СРЫВ</v>
      </c>
      <c r="H40" s="22">
        <v>101.0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33.88"/>
    <col customWidth="1" min="3" max="3" width="15.13"/>
    <col customWidth="1" min="4" max="4" width="18.88"/>
    <col customWidth="1" min="5" max="5" width="17.63"/>
    <col customWidth="1" min="6" max="6" width="52.63"/>
    <col customWidth="1" min="7" max="7" width="20.13"/>
    <col customWidth="1" min="8" max="8" width="16.38"/>
    <col customWidth="1" min="9" max="10" width="20.13"/>
    <col customWidth="1" min="11" max="11" width="16.38"/>
    <col customWidth="1" min="12" max="12" width="17.63"/>
    <col customWidth="1" min="13" max="13" width="20.13"/>
  </cols>
  <sheetData>
    <row r="1" ht="15.75" customHeight="1">
      <c r="A1" s="22" t="s">
        <v>3293</v>
      </c>
      <c r="B1" s="22" t="s">
        <v>3294</v>
      </c>
      <c r="C1" s="22" t="s">
        <v>433</v>
      </c>
      <c r="D1" s="22" t="s">
        <v>3295</v>
      </c>
      <c r="E1" s="22" t="s">
        <v>1667</v>
      </c>
      <c r="F1" s="22" t="s">
        <v>3296</v>
      </c>
      <c r="G1" s="22" t="s">
        <v>2561</v>
      </c>
      <c r="H1" s="22" t="s">
        <v>938</v>
      </c>
      <c r="I1" s="22" t="s">
        <v>3297</v>
      </c>
      <c r="J1" s="22" t="s">
        <v>3298</v>
      </c>
      <c r="K1" s="22" t="s">
        <v>3299</v>
      </c>
      <c r="L1" s="22" t="s">
        <v>3300</v>
      </c>
      <c r="M1" s="22" t="s">
        <v>3301</v>
      </c>
    </row>
    <row r="2" ht="15.75" customHeight="1">
      <c r="A2" s="22" t="s">
        <v>3302</v>
      </c>
      <c r="B2" s="22" t="s">
        <v>3303</v>
      </c>
      <c r="C2" s="191" t="s">
        <v>636</v>
      </c>
      <c r="D2" s="22">
        <v>850000.0</v>
      </c>
      <c r="E2" s="22" t="s">
        <v>3304</v>
      </c>
      <c r="F2" s="22" t="s">
        <v>3305</v>
      </c>
      <c r="G2" s="22">
        <v>101.0</v>
      </c>
      <c r="H2" s="22" t="s">
        <v>3306</v>
      </c>
      <c r="I2" s="148">
        <v>46293.0</v>
      </c>
      <c r="J2" s="148">
        <v>46295.0</v>
      </c>
      <c r="K2" s="22" t="s">
        <v>843</v>
      </c>
      <c r="L2" s="22" t="str">
        <f>IF(C2="", "", IF(ISNUMBER(SEARCH("🔴", E2)), "BREACH NOW", IF(AND(ISNUMBER(J2), J2&gt;calc_engine!$B$1), ROUND((J2-calc_engine!$B$1)*24, 0) &amp; "ч до срыва", "BREACH NOW")))</f>
        <v>BREACH NOW</v>
      </c>
      <c r="M2" s="22">
        <f t="shared" ref="M2:M6" si="1">IF(D2="", 0, ROUND(D2 * 0.45, 0))</f>
        <v>382500</v>
      </c>
    </row>
    <row r="3" ht="15.75" customHeight="1">
      <c r="A3" s="22" t="s">
        <v>3307</v>
      </c>
      <c r="B3" s="22" t="s">
        <v>3308</v>
      </c>
      <c r="C3" s="191" t="s">
        <v>658</v>
      </c>
      <c r="D3" s="22">
        <v>150000.0</v>
      </c>
      <c r="E3" s="22" t="s">
        <v>3304</v>
      </c>
      <c r="F3" s="22" t="s">
        <v>3309</v>
      </c>
      <c r="G3" s="22">
        <v>102.0</v>
      </c>
      <c r="H3" s="22" t="s">
        <v>3306</v>
      </c>
      <c r="I3" s="148">
        <v>46293.0</v>
      </c>
      <c r="J3" s="148">
        <v>46295.0</v>
      </c>
      <c r="K3" s="22" t="s">
        <v>843</v>
      </c>
      <c r="L3" s="22" t="str">
        <f>IF(C3="", "", IF(ISNUMBER(SEARCH("🔴", E3)), "BREACH NOW", IF(AND(ISNUMBER(J3), J3&gt;calc_engine!$B$1), ROUND((J3-calc_engine!$B$1)*24, 0) &amp; "ч до срыва", "BREACH NOW")))</f>
        <v>BREACH NOW</v>
      </c>
      <c r="M3" s="22">
        <f t="shared" si="1"/>
        <v>67500</v>
      </c>
    </row>
    <row r="4" ht="15.75" customHeight="1">
      <c r="A4" s="22" t="s">
        <v>3325</v>
      </c>
      <c r="B4" s="22" t="s">
        <v>3326</v>
      </c>
      <c r="C4" s="191" t="s">
        <v>669</v>
      </c>
      <c r="D4" s="22">
        <v>120000.0</v>
      </c>
      <c r="E4" s="22" t="s">
        <v>3329</v>
      </c>
      <c r="F4" s="22" t="s">
        <v>3330</v>
      </c>
      <c r="G4" s="22">
        <v>103.0</v>
      </c>
      <c r="H4" s="22" t="s">
        <v>3306</v>
      </c>
      <c r="I4" s="148">
        <v>46292.0</v>
      </c>
      <c r="J4" s="148">
        <v>46295.0</v>
      </c>
      <c r="K4" s="22" t="s">
        <v>843</v>
      </c>
      <c r="L4" s="22" t="str">
        <f>IF(C4="", "", IF(ISNUMBER(SEARCH("🔴", E4)), "BREACH NOW", IF(AND(ISNUMBER(J4), J4&gt;calc_engine!$B$1), ROUND((J4-calc_engine!$B$1)*24, 0) &amp; "ч до срыва", "BREACH NOW")))</f>
        <v>24ч до срыва</v>
      </c>
      <c r="M4" s="22">
        <f t="shared" si="1"/>
        <v>54000</v>
      </c>
    </row>
    <row r="5" ht="15.75" customHeight="1">
      <c r="A5" s="22" t="s">
        <v>3331</v>
      </c>
      <c r="B5" s="22" t="s">
        <v>3332</v>
      </c>
      <c r="C5" s="191" t="s">
        <v>677</v>
      </c>
      <c r="D5" s="22">
        <v>180000.0</v>
      </c>
      <c r="E5" s="22" t="s">
        <v>3304</v>
      </c>
      <c r="F5" s="22" t="s">
        <v>3333</v>
      </c>
      <c r="G5" s="22">
        <v>101.0</v>
      </c>
      <c r="H5" s="22" t="s">
        <v>3306</v>
      </c>
      <c r="I5" s="148">
        <v>46293.0</v>
      </c>
      <c r="J5" s="148">
        <v>46295.0</v>
      </c>
      <c r="K5" s="22" t="s">
        <v>843</v>
      </c>
      <c r="L5" s="22" t="str">
        <f>IF(C5="", "", IF(ISNUMBER(SEARCH("🔴", E5)), "BREACH NOW", IF(AND(ISNUMBER(J5), J5&gt;calc_engine!$B$1), ROUND((J5-calc_engine!$B$1)*24, 0) &amp; "ч до срыва", "BREACH NOW")))</f>
        <v>BREACH NOW</v>
      </c>
      <c r="M5" s="22">
        <f t="shared" si="1"/>
        <v>81000</v>
      </c>
    </row>
    <row r="6" ht="15.75" customHeight="1">
      <c r="A6" s="22" t="s">
        <v>3334</v>
      </c>
      <c r="B6" s="22" t="s">
        <v>3335</v>
      </c>
      <c r="C6" s="191" t="s">
        <v>689</v>
      </c>
      <c r="D6" s="22">
        <v>3000000.0</v>
      </c>
      <c r="E6" s="22" t="s">
        <v>3304</v>
      </c>
      <c r="F6" s="22" t="s">
        <v>3336</v>
      </c>
      <c r="G6" s="22">
        <v>103.0</v>
      </c>
      <c r="H6" s="22" t="s">
        <v>3337</v>
      </c>
      <c r="I6" s="148">
        <v>46292.0</v>
      </c>
      <c r="J6" s="148">
        <v>46295.0</v>
      </c>
      <c r="K6" s="22" t="s">
        <v>843</v>
      </c>
      <c r="L6" s="22" t="str">
        <f>IF(C6="", "", IF(ISNUMBER(SEARCH("🔴", E6)), "BREACH NOW", IF(AND(ISNUMBER(J6), J6&gt;calc_engine!$B$1), ROUND((J6-calc_engine!$B$1)*24, 0) &amp; "ч до срыва", "BREACH NOW")))</f>
        <v>BREACH NOW</v>
      </c>
      <c r="M6" s="22">
        <f t="shared" si="1"/>
        <v>1350000</v>
      </c>
    </row>
    <row r="7" ht="15.75" customHeight="1">
      <c r="E7" s="22"/>
      <c r="H7" s="22"/>
    </row>
    <row r="8" ht="15.75" customHeight="1">
      <c r="E8" s="22"/>
      <c r="H8" s="22"/>
    </row>
    <row r="9" ht="15.75" customHeight="1">
      <c r="E9" s="22"/>
      <c r="H9" s="22"/>
    </row>
    <row r="10" ht="15.75" customHeight="1">
      <c r="E10" s="22"/>
      <c r="H10" s="22"/>
    </row>
    <row r="11" ht="15.75" customHeight="1">
      <c r="E11" s="22"/>
      <c r="H11" s="22"/>
    </row>
    <row r="12" ht="15.75" customHeight="1">
      <c r="E12" s="22"/>
      <c r="H12" s="22"/>
    </row>
    <row r="13" ht="15.75" customHeight="1">
      <c r="E13" s="22"/>
      <c r="H13" s="22"/>
    </row>
    <row r="14" ht="15.75" customHeight="1">
      <c r="E14" s="22"/>
      <c r="H14" s="22"/>
    </row>
    <row r="15" ht="15.75" customHeight="1">
      <c r="E15" s="22"/>
      <c r="H15" s="22"/>
    </row>
    <row r="16" ht="15.75" customHeight="1">
      <c r="E16" s="22"/>
      <c r="H16" s="22"/>
    </row>
    <row r="17" ht="15.75" customHeight="1">
      <c r="E17" s="22"/>
      <c r="H17" s="22"/>
    </row>
    <row r="18" ht="15.75" customHeight="1">
      <c r="E18" s="22"/>
      <c r="H18" s="22"/>
    </row>
    <row r="19" ht="15.75" customHeight="1">
      <c r="E19" s="22"/>
      <c r="H19" s="22"/>
    </row>
    <row r="20" ht="15.75" customHeight="1">
      <c r="E20" s="22"/>
      <c r="H20" s="22"/>
    </row>
    <row r="21" ht="15.75" customHeight="1">
      <c r="E21" s="22"/>
      <c r="H21" s="22"/>
    </row>
    <row r="22" ht="15.75" customHeight="1">
      <c r="E22" s="22"/>
      <c r="H22" s="22"/>
    </row>
    <row r="23" ht="15.75" customHeight="1">
      <c r="E23" s="22"/>
      <c r="H23" s="22"/>
    </row>
    <row r="24" ht="15.75" customHeight="1">
      <c r="E24" s="22"/>
      <c r="H24" s="22"/>
    </row>
    <row r="25" ht="15.75" customHeight="1">
      <c r="E25" s="22"/>
      <c r="H25" s="22"/>
    </row>
    <row r="26" ht="15.75" customHeight="1">
      <c r="E26" s="22"/>
      <c r="H26" s="22"/>
    </row>
    <row r="27" ht="15.75" customHeight="1">
      <c r="E27" s="22"/>
      <c r="H27" s="22"/>
    </row>
    <row r="28" ht="15.75" customHeight="1">
      <c r="E28" s="22"/>
      <c r="H28" s="22"/>
    </row>
    <row r="29" ht="15.75" customHeight="1">
      <c r="E29" s="22"/>
      <c r="H29" s="22"/>
    </row>
    <row r="30" ht="15.75" customHeight="1">
      <c r="E30" s="22"/>
      <c r="H30" s="22"/>
    </row>
    <row r="31" ht="15.75" customHeight="1">
      <c r="E31" s="22"/>
      <c r="H31" s="22"/>
    </row>
    <row r="32" ht="15.75" customHeight="1">
      <c r="E32" s="22"/>
      <c r="H32" s="22"/>
    </row>
    <row r="33" ht="15.75" customHeight="1">
      <c r="E33" s="22"/>
      <c r="H33" s="22"/>
    </row>
    <row r="34" ht="15.75" customHeight="1">
      <c r="E34" s="22"/>
      <c r="H34" s="22"/>
    </row>
    <row r="35" ht="15.75" customHeight="1">
      <c r="E35" s="22"/>
      <c r="H35" s="22"/>
    </row>
    <row r="36" ht="15.75" customHeight="1">
      <c r="E36" s="22"/>
      <c r="H36" s="22"/>
    </row>
    <row r="37" ht="15.75" customHeight="1">
      <c r="E37" s="22"/>
      <c r="H37" s="22"/>
    </row>
    <row r="38" ht="15.75" customHeight="1">
      <c r="E38" s="22"/>
      <c r="H38" s="22"/>
    </row>
    <row r="39" ht="15.75" customHeight="1">
      <c r="E39" s="22"/>
      <c r="H39" s="22"/>
    </row>
    <row r="40" ht="15.75" customHeight="1">
      <c r="E40" s="22"/>
      <c r="H40" s="22"/>
    </row>
    <row r="41" ht="15.75" customHeight="1">
      <c r="E41" s="22"/>
      <c r="H41" s="22"/>
    </row>
    <row r="42" ht="15.75" customHeight="1">
      <c r="E42" s="22"/>
      <c r="H42" s="22"/>
    </row>
    <row r="43" ht="15.75" customHeight="1">
      <c r="E43" s="22"/>
      <c r="H43" s="22"/>
    </row>
    <row r="44" ht="15.75" customHeight="1">
      <c r="E44" s="22"/>
      <c r="H44" s="22"/>
    </row>
    <row r="45" ht="15.75" customHeight="1">
      <c r="E45" s="22"/>
      <c r="H45" s="22"/>
    </row>
    <row r="46" ht="15.75" customHeight="1">
      <c r="E46" s="22"/>
      <c r="H46" s="22"/>
    </row>
    <row r="47" ht="15.75" customHeight="1">
      <c r="E47" s="22"/>
      <c r="H47" s="22"/>
    </row>
    <row r="48" ht="15.75" customHeight="1">
      <c r="E48" s="22"/>
      <c r="H48" s="22"/>
    </row>
    <row r="49" ht="15.75" customHeight="1">
      <c r="E49" s="22"/>
      <c r="H49" s="22"/>
    </row>
    <row r="50" ht="15.75" customHeight="1">
      <c r="E50" s="22"/>
      <c r="H50" s="22"/>
    </row>
    <row r="51" ht="15.75" customHeight="1">
      <c r="E51" s="22"/>
      <c r="H51" s="22"/>
    </row>
    <row r="52" ht="15.75" customHeight="1">
      <c r="E52" s="22"/>
      <c r="H52" s="22"/>
    </row>
    <row r="53" ht="15.75" customHeight="1">
      <c r="E53" s="22"/>
      <c r="H53" s="22"/>
    </row>
    <row r="54" ht="15.75" customHeight="1">
      <c r="E54" s="22"/>
      <c r="H54" s="22"/>
    </row>
    <row r="55" ht="15.75" customHeight="1">
      <c r="E55" s="22"/>
      <c r="H55" s="22"/>
    </row>
    <row r="56" ht="15.75" customHeight="1">
      <c r="E56" s="22"/>
      <c r="H56" s="22"/>
    </row>
    <row r="57" ht="15.75" customHeight="1">
      <c r="E57" s="22"/>
      <c r="H57" s="22"/>
    </row>
    <row r="58" ht="15.75" customHeight="1">
      <c r="E58" s="22"/>
      <c r="H58" s="22"/>
    </row>
    <row r="59" ht="15.75" customHeight="1">
      <c r="E59" s="22"/>
      <c r="H59" s="22"/>
    </row>
    <row r="60" ht="15.75" customHeight="1">
      <c r="E60" s="22"/>
      <c r="H60" s="22"/>
    </row>
    <row r="61" ht="15.75" customHeight="1">
      <c r="E61" s="22"/>
      <c r="H61" s="22"/>
    </row>
    <row r="62" ht="15.75" customHeight="1">
      <c r="E62" s="22"/>
      <c r="H62" s="22"/>
    </row>
    <row r="63" ht="15.75" customHeight="1">
      <c r="E63" s="22"/>
      <c r="H63" s="22"/>
    </row>
    <row r="64" ht="15.75" customHeight="1">
      <c r="E64" s="22"/>
      <c r="H64" s="22"/>
    </row>
    <row r="65" ht="15.75" customHeight="1">
      <c r="E65" s="22"/>
      <c r="H65" s="22"/>
    </row>
    <row r="66" ht="15.75" customHeight="1">
      <c r="E66" s="22"/>
      <c r="H66" s="22"/>
    </row>
    <row r="67" ht="15.75" customHeight="1">
      <c r="E67" s="22"/>
      <c r="H67" s="22"/>
    </row>
    <row r="68" ht="15.75" customHeight="1">
      <c r="E68" s="22"/>
      <c r="H68" s="22"/>
    </row>
    <row r="69" ht="15.75" customHeight="1">
      <c r="E69" s="22"/>
      <c r="H69" s="22"/>
    </row>
    <row r="70" ht="15.75" customHeight="1">
      <c r="E70" s="22"/>
      <c r="H70" s="22"/>
    </row>
    <row r="71" ht="15.75" customHeight="1">
      <c r="E71" s="22"/>
      <c r="H71" s="22"/>
    </row>
    <row r="72" ht="15.75" customHeight="1">
      <c r="E72" s="22"/>
      <c r="H72" s="22"/>
    </row>
    <row r="73" ht="15.75" customHeight="1">
      <c r="E73" s="22"/>
      <c r="H73" s="22"/>
    </row>
    <row r="74" ht="15.75" customHeight="1">
      <c r="E74" s="22"/>
      <c r="H74" s="22"/>
    </row>
    <row r="75" ht="15.75" customHeight="1">
      <c r="E75" s="22"/>
      <c r="H75" s="22"/>
    </row>
    <row r="76" ht="15.75" customHeight="1">
      <c r="E76" s="22"/>
      <c r="H76" s="22"/>
    </row>
    <row r="77" ht="15.75" customHeight="1">
      <c r="E77" s="22"/>
      <c r="H77" s="22"/>
    </row>
    <row r="78" ht="15.75" customHeight="1">
      <c r="E78" s="22"/>
      <c r="H78" s="22"/>
    </row>
    <row r="79" ht="15.75" customHeight="1">
      <c r="E79" s="22"/>
      <c r="H79" s="22"/>
    </row>
    <row r="80" ht="15.75" customHeight="1">
      <c r="E80" s="22"/>
      <c r="H80" s="22"/>
    </row>
    <row r="81" ht="15.75" customHeight="1">
      <c r="E81" s="22"/>
      <c r="H81" s="22"/>
    </row>
    <row r="82" ht="15.75" customHeight="1">
      <c r="E82" s="22"/>
      <c r="H82" s="22"/>
    </row>
    <row r="83" ht="15.75" customHeight="1">
      <c r="E83" s="22"/>
      <c r="H83" s="22"/>
    </row>
    <row r="84" ht="15.75" customHeight="1">
      <c r="E84" s="22"/>
      <c r="H84" s="22"/>
    </row>
    <row r="85" ht="15.75" customHeight="1">
      <c r="E85" s="22"/>
      <c r="H85" s="22"/>
    </row>
    <row r="86" ht="15.75" customHeight="1">
      <c r="E86" s="22"/>
      <c r="H86" s="22"/>
    </row>
    <row r="87" ht="15.75" customHeight="1">
      <c r="E87" s="22"/>
      <c r="H87" s="22"/>
    </row>
    <row r="88" ht="15.75" customHeight="1">
      <c r="E88" s="22"/>
      <c r="H88" s="22"/>
    </row>
    <row r="89" ht="15.75" customHeight="1">
      <c r="E89" s="22"/>
      <c r="H89" s="22"/>
    </row>
    <row r="90" ht="15.75" customHeight="1">
      <c r="E90" s="22"/>
      <c r="H90" s="22"/>
    </row>
    <row r="91" ht="15.75" customHeight="1">
      <c r="E91" s="22"/>
      <c r="H91" s="22"/>
    </row>
    <row r="92" ht="15.75" customHeight="1">
      <c r="E92" s="22"/>
      <c r="H92" s="22"/>
    </row>
    <row r="93" ht="15.75" customHeight="1">
      <c r="E93" s="22"/>
      <c r="H93" s="22"/>
    </row>
    <row r="94" ht="15.75" customHeight="1">
      <c r="E94" s="22"/>
      <c r="H94" s="22"/>
    </row>
    <row r="95" ht="15.75" customHeight="1">
      <c r="E95" s="22"/>
      <c r="H95" s="22"/>
    </row>
    <row r="96" ht="15.75" customHeight="1">
      <c r="E96" s="22"/>
      <c r="H96" s="22"/>
    </row>
    <row r="97" ht="15.75" customHeight="1">
      <c r="E97" s="22"/>
      <c r="H97" s="22"/>
    </row>
    <row r="98" ht="15.75" customHeight="1">
      <c r="E98" s="22"/>
      <c r="H98" s="22"/>
    </row>
    <row r="99" ht="15.75" customHeight="1">
      <c r="E99" s="22"/>
      <c r="H99" s="22"/>
    </row>
    <row r="100" ht="15.75" customHeight="1">
      <c r="E100" s="22"/>
      <c r="H100" s="2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4522119-D498-44D0-9F32-6D003CC7ACAA}" filter="1" showAutoFilter="1">
      <autoFilter ref="$A$1:$M$100">
        <filterColumn colId="7">
          <customFilters>
            <customFilter val="in_progress"/>
          </customFilters>
        </filterColumn>
      </autoFilter>
    </customSheetView>
    <customSheetView guid="{5C1AFE5A-DB17-4450-BFE1-B09898C8990B}" filter="1" showAutoFilter="1">
      <autoFilter ref="$A$1:$M$100">
        <filterColumn colId="3">
          <customFilters>
            <customFilter operator="greaterThanOrEqual" val="500000"/>
          </customFilters>
        </filterColumn>
      </autoFilter>
    </customSheetView>
    <customSheetView guid="{2A6CC8EA-B9E3-493C-9FCA-04C8B36DD3F2}" filter="1" showAutoFilter="1">
      <autoFilter ref="$A$1:$M$100">
        <filterColumn colId="6">
          <customFilters>
            <customFilter val="*102*"/>
          </customFilters>
        </filterColumn>
      </autoFilter>
    </customSheetView>
    <customSheetView guid="{12103AAF-1E9B-4CB5-998C-C8261DF92E9B}" filter="1" showAutoFilter="1">
      <autoFilter ref="$A$1:$M$100">
        <filterColumn colId="4">
          <customFilters>
            <customFilter val="*P0*"/>
          </customFilters>
        </filterColumn>
      </autoFilter>
    </customSheetView>
  </customSheetViews>
  <dataValidations>
    <dataValidation type="list" allowBlank="1" showErrorMessage="1" sqref="H2:H100">
      <formula1>"new,in_progress,assigned,done"</formula1>
    </dataValidation>
    <dataValidation type="list" allowBlank="1" showErrorMessage="1" sqref="E2:E100">
      <formula1>"🔴 P0,🟡 P1,🟢 P2"</formula1>
    </dataValidation>
  </dataValidations>
  <hyperlinks>
    <hyperlink display="D-104" location="raw_deals!A1" ref="C2"/>
    <hyperlink display="D-103" location="raw_deals!A1" ref="C3"/>
    <hyperlink display="D-109" location="raw_deals!A1" ref="C4"/>
    <hyperlink display="D-106" location="raw_deals!A1" ref="C5"/>
    <hyperlink display="D-107" location="raw_deals!A1" ref="C6"/>
  </hyperlin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3" width="26.38"/>
    <col customWidth="1" min="4" max="6" width="17.63"/>
    <col customWidth="1" min="7" max="7" width="22.63"/>
    <col customWidth="1" min="8" max="8" width="17.63"/>
    <col customWidth="1" min="9" max="9" width="22.63"/>
    <col customWidth="1" min="10" max="10" width="17.63"/>
  </cols>
  <sheetData>
    <row r="1" ht="15.75" customHeight="1">
      <c r="A1" s="22" t="s">
        <v>3310</v>
      </c>
      <c r="B1" s="22" t="s">
        <v>3311</v>
      </c>
      <c r="C1" s="22" t="s">
        <v>3312</v>
      </c>
      <c r="D1" s="22" t="s">
        <v>3172</v>
      </c>
      <c r="E1" s="22" t="s">
        <v>3313</v>
      </c>
      <c r="F1" s="22" t="s">
        <v>3314</v>
      </c>
      <c r="G1" s="22" t="s">
        <v>3315</v>
      </c>
      <c r="H1" s="22" t="s">
        <v>3316</v>
      </c>
      <c r="I1" s="22" t="s">
        <v>3317</v>
      </c>
      <c r="J1" s="22" t="s">
        <v>3318</v>
      </c>
    </row>
    <row r="2" ht="15.75" customHeight="1">
      <c r="A2" s="22" t="s">
        <v>3319</v>
      </c>
      <c r="B2" s="22" t="s">
        <v>550</v>
      </c>
      <c r="C2" s="22" t="s">
        <v>554</v>
      </c>
      <c r="D2" s="22">
        <v>24.0</v>
      </c>
      <c r="E2" s="22">
        <v>20.0</v>
      </c>
      <c r="F2" s="22">
        <v>24.0</v>
      </c>
      <c r="G2" s="22">
        <v>36.0</v>
      </c>
      <c r="H2" s="22" t="s">
        <v>83</v>
      </c>
      <c r="I2" s="22" t="s">
        <v>1872</v>
      </c>
      <c r="J2" s="22" t="s">
        <v>3320</v>
      </c>
    </row>
    <row r="3" ht="15.75" customHeight="1">
      <c r="A3" s="22" t="s">
        <v>3321</v>
      </c>
      <c r="B3" s="22" t="s">
        <v>554</v>
      </c>
      <c r="C3" s="22" t="s">
        <v>557</v>
      </c>
      <c r="D3" s="22">
        <v>48.0</v>
      </c>
      <c r="E3" s="22">
        <v>36.0</v>
      </c>
      <c r="F3" s="22">
        <v>48.0</v>
      </c>
      <c r="G3" s="22">
        <v>72.0</v>
      </c>
      <c r="H3" s="22" t="s">
        <v>83</v>
      </c>
      <c r="I3" s="22" t="s">
        <v>1872</v>
      </c>
      <c r="J3" s="22" t="s">
        <v>3320</v>
      </c>
    </row>
    <row r="4" ht="15.75" customHeight="1">
      <c r="A4" s="22" t="s">
        <v>3322</v>
      </c>
      <c r="B4" s="22" t="s">
        <v>557</v>
      </c>
      <c r="C4" s="22" t="s">
        <v>561</v>
      </c>
      <c r="D4" s="22">
        <v>120.0</v>
      </c>
      <c r="E4" s="22">
        <v>96.0</v>
      </c>
      <c r="F4" s="22">
        <v>120.0</v>
      </c>
      <c r="G4" s="22">
        <v>168.0</v>
      </c>
      <c r="H4" s="22" t="s">
        <v>83</v>
      </c>
      <c r="I4" s="22" t="s">
        <v>1872</v>
      </c>
      <c r="J4" s="22" t="s">
        <v>3323</v>
      </c>
    </row>
    <row r="5" ht="15.75" customHeight="1">
      <c r="A5" s="22" t="s">
        <v>3324</v>
      </c>
      <c r="B5" s="22" t="s">
        <v>561</v>
      </c>
      <c r="C5" s="22" t="s">
        <v>567</v>
      </c>
      <c r="D5" s="22">
        <v>48.0</v>
      </c>
      <c r="E5" s="22">
        <v>36.0</v>
      </c>
      <c r="F5" s="22">
        <v>48.0</v>
      </c>
      <c r="G5" s="22">
        <v>72.0</v>
      </c>
      <c r="H5" s="22" t="s">
        <v>83</v>
      </c>
      <c r="I5" s="22" t="s">
        <v>1872</v>
      </c>
      <c r="J5" s="22" t="s">
        <v>3327</v>
      </c>
    </row>
    <row r="6" ht="15.75" customHeight="1">
      <c r="A6" s="22" t="s">
        <v>3328</v>
      </c>
      <c r="B6" s="22" t="s">
        <v>567</v>
      </c>
      <c r="C6" s="22" t="s">
        <v>532</v>
      </c>
      <c r="D6" s="22">
        <v>72.0</v>
      </c>
      <c r="E6" s="22">
        <v>60.0</v>
      </c>
      <c r="F6" s="22">
        <v>72.0</v>
      </c>
      <c r="G6" s="22">
        <v>120.0</v>
      </c>
      <c r="H6" s="22" t="s">
        <v>83</v>
      </c>
      <c r="I6" s="22" t="s">
        <v>3327</v>
      </c>
      <c r="J6" s="22" t="s">
        <v>3323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2" t="s">
        <v>3338</v>
      </c>
    </row>
    <row r="2" ht="15.75" customHeight="1"/>
    <row r="3" ht="15.75" customHeight="1">
      <c r="A3" s="22" t="s">
        <v>3339</v>
      </c>
      <c r="B3" s="22" t="s">
        <v>356</v>
      </c>
      <c r="C3" s="22" t="s">
        <v>2674</v>
      </c>
      <c r="D3" s="22" t="s">
        <v>836</v>
      </c>
      <c r="E3" s="22" t="s">
        <v>661</v>
      </c>
    </row>
    <row r="4" ht="15.75" customHeight="1">
      <c r="A4" s="22" t="s">
        <v>3340</v>
      </c>
      <c r="B4" s="22">
        <f>calc_engine!B19</f>
        <v>1650000</v>
      </c>
      <c r="C4" s="22" t="s">
        <v>2684</v>
      </c>
      <c r="D4" s="22" t="s">
        <v>835</v>
      </c>
      <c r="E4" s="22" t="s">
        <v>2693</v>
      </c>
    </row>
    <row r="5" ht="15.75" customHeight="1">
      <c r="A5" s="22" t="s">
        <v>2695</v>
      </c>
      <c r="B5" s="22">
        <f>calc_engine!B18</f>
        <v>2754000</v>
      </c>
      <c r="C5" s="22" t="s">
        <v>2701</v>
      </c>
      <c r="D5" s="22" t="s">
        <v>2702</v>
      </c>
      <c r="E5" s="22" t="s">
        <v>2704</v>
      </c>
    </row>
    <row r="6" ht="15.75" customHeight="1">
      <c r="A6" s="22" t="s">
        <v>2705</v>
      </c>
      <c r="B6" s="22">
        <v>0.18</v>
      </c>
      <c r="C6" s="22" t="s">
        <v>2708</v>
      </c>
      <c r="D6" s="22" t="s">
        <v>2710</v>
      </c>
      <c r="E6" s="22" t="s">
        <v>2712</v>
      </c>
    </row>
    <row r="7" ht="15.75" customHeight="1">
      <c r="A7" s="22" t="s">
        <v>3341</v>
      </c>
      <c r="B7" s="303">
        <f>'⚡ Экспресс_Калькулятор_3_Цифры'!D19 * '⚙️ Настройки'!$B$48</f>
        <v>392700</v>
      </c>
      <c r="C7" s="22" t="s">
        <v>2725</v>
      </c>
      <c r="D7" s="22" t="s">
        <v>2729</v>
      </c>
      <c r="E7" s="22" t="s">
        <v>2731</v>
      </c>
    </row>
    <row r="8" ht="15.75" customHeight="1">
      <c r="A8" s="22" t="s">
        <v>3342</v>
      </c>
      <c r="B8" s="151">
        <f>'⚙️ Настройки'!$B$9</f>
        <v>5000000</v>
      </c>
      <c r="C8" s="22" t="s">
        <v>2771</v>
      </c>
      <c r="D8" s="22" t="s">
        <v>3343</v>
      </c>
      <c r="E8" s="22" t="s">
        <v>3344</v>
      </c>
    </row>
    <row r="9" ht="15.75" customHeight="1">
      <c r="A9" s="22" t="s">
        <v>3345</v>
      </c>
    </row>
    <row r="10" ht="15.75" customHeight="1">
      <c r="A10" s="22" t="s">
        <v>3346</v>
      </c>
      <c r="B10" s="22">
        <f>ROUND(B4 + (B5 * (1 - B6)) * 0.7, 0)</f>
        <v>3230796</v>
      </c>
      <c r="C10" s="22" t="s">
        <v>3347</v>
      </c>
      <c r="D10" s="22" t="s">
        <v>1357</v>
      </c>
      <c r="E10" s="22" t="s">
        <v>2745</v>
      </c>
    </row>
    <row r="11" ht="15.75" customHeight="1">
      <c r="A11" s="22" t="s">
        <v>3348</v>
      </c>
      <c r="B11" s="303">
        <f>ROUND(B4 + B5 * 0.85 + B7 * 0.5, 0)</f>
        <v>4187250</v>
      </c>
      <c r="C11" s="22" t="s">
        <v>3349</v>
      </c>
      <c r="D11" s="22" t="s">
        <v>1370</v>
      </c>
      <c r="E11" s="22" t="s">
        <v>2756</v>
      </c>
    </row>
    <row r="12" ht="15.75" customHeight="1">
      <c r="A12" s="22" t="s">
        <v>3350</v>
      </c>
      <c r="B12" s="303">
        <f>ROUND(B4 + B5 * 1.1 + B7 * 0.85, 0)</f>
        <v>5013195</v>
      </c>
      <c r="C12" s="22" t="s">
        <v>3351</v>
      </c>
      <c r="D12" s="22" t="s">
        <v>1381</v>
      </c>
      <c r="E12" s="22" t="s">
        <v>2772</v>
      </c>
    </row>
    <row r="13" ht="15.75" customHeight="1">
      <c r="A13" s="22" t="s">
        <v>3352</v>
      </c>
      <c r="B13" s="303">
        <f>ROUND(IF(B12 &gt;= B8, 0.72 + (B12 - B8) / 1000000 * 0.15, 0.45), 2)</f>
        <v>0.72</v>
      </c>
      <c r="C13" s="22" t="s">
        <v>1387</v>
      </c>
      <c r="D13" s="22" t="s">
        <v>3353</v>
      </c>
      <c r="E13" s="22" t="s">
        <v>2783</v>
      </c>
    </row>
    <row r="14" ht="15.75" customHeight="1">
      <c r="A14" s="22" t="s">
        <v>3354</v>
      </c>
      <c r="B14" s="22" t="str">
        <f>IF(B13&gt;=0.7, "🟢 ВЫСОКАЯ ВЕРОЯТНОСТЬ", "🟡 СРЕДНИЙ РИСК")</f>
        <v>🟢 ВЫСОКАЯ ВЕРОЯТНОСТЬ</v>
      </c>
      <c r="C14" s="22" t="s">
        <v>3355</v>
      </c>
      <c r="D14" s="22" t="s">
        <v>836</v>
      </c>
      <c r="E14" s="22" t="s">
        <v>3356</v>
      </c>
    </row>
    <row r="15" ht="15.75" customHeight="1">
      <c r="A15" s="22" t="s">
        <v>2785</v>
      </c>
      <c r="B15" s="303">
        <f>B12 - B10</f>
        <v>1782399</v>
      </c>
      <c r="C15" s="22" t="s">
        <v>2794</v>
      </c>
      <c r="D15" s="22" t="s">
        <v>593</v>
      </c>
      <c r="E15" s="22" t="s">
        <v>3359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63"/>
    <col customWidth="1" min="2" max="3" width="16.38"/>
    <col customWidth="1" min="4" max="10" width="12.0"/>
  </cols>
  <sheetData>
    <row r="1" ht="15.75" customHeight="1">
      <c r="A1" s="386" t="s">
        <v>2548</v>
      </c>
      <c r="B1" s="386" t="s">
        <v>3357</v>
      </c>
      <c r="C1" s="386" t="s">
        <v>3358</v>
      </c>
      <c r="D1" s="386" t="s">
        <v>516</v>
      </c>
      <c r="E1" s="386" t="s">
        <v>548</v>
      </c>
      <c r="F1" s="386" t="s">
        <v>552</v>
      </c>
      <c r="G1" s="386" t="s">
        <v>556</v>
      </c>
      <c r="H1" s="386" t="s">
        <v>559</v>
      </c>
      <c r="I1" s="386" t="s">
        <v>564</v>
      </c>
      <c r="J1" s="386" t="s">
        <v>573</v>
      </c>
    </row>
    <row r="2" ht="15.75" customHeight="1">
      <c r="A2" s="22" t="s">
        <v>575</v>
      </c>
      <c r="B2" s="22" t="s">
        <v>3360</v>
      </c>
      <c r="C2" s="387" t="b">
        <v>1</v>
      </c>
      <c r="D2" s="387" t="s">
        <v>3361</v>
      </c>
      <c r="E2" s="387" t="s">
        <v>3361</v>
      </c>
      <c r="F2" s="387" t="s">
        <v>3361</v>
      </c>
      <c r="G2" s="387" t="s">
        <v>3361</v>
      </c>
      <c r="H2" s="387" t="s">
        <v>3361</v>
      </c>
      <c r="I2" s="387" t="s">
        <v>3361</v>
      </c>
      <c r="J2" s="387" t="s">
        <v>3362</v>
      </c>
    </row>
    <row r="3" ht="15.75" customHeight="1">
      <c r="A3" s="22" t="s">
        <v>542</v>
      </c>
      <c r="B3" s="22" t="s">
        <v>3363</v>
      </c>
      <c r="C3" s="387" t="b">
        <v>0</v>
      </c>
      <c r="D3" s="387" t="s">
        <v>3361</v>
      </c>
      <c r="E3" s="387" t="s">
        <v>3361</v>
      </c>
      <c r="F3" s="387" t="s">
        <v>3364</v>
      </c>
      <c r="G3" s="387" t="s">
        <v>3364</v>
      </c>
      <c r="H3" s="387" t="s">
        <v>3364</v>
      </c>
      <c r="I3" s="387" t="s">
        <v>3361</v>
      </c>
      <c r="J3" s="387" t="s">
        <v>3361</v>
      </c>
    </row>
    <row r="4" ht="15.75" customHeight="1">
      <c r="A4" s="22" t="s">
        <v>553</v>
      </c>
      <c r="B4" s="22" t="s">
        <v>3363</v>
      </c>
      <c r="C4" s="387" t="b">
        <v>0</v>
      </c>
      <c r="D4" s="387" t="s">
        <v>3361</v>
      </c>
      <c r="E4" s="387" t="s">
        <v>3361</v>
      </c>
      <c r="F4" s="387" t="s">
        <v>3361</v>
      </c>
      <c r="G4" s="387" t="s">
        <v>3361</v>
      </c>
      <c r="H4" s="387" t="s">
        <v>3361</v>
      </c>
      <c r="I4" s="387" t="s">
        <v>3361</v>
      </c>
      <c r="J4" s="387" t="s">
        <v>3361</v>
      </c>
    </row>
    <row r="5" ht="15.75" customHeight="1">
      <c r="A5" s="22" t="s">
        <v>549</v>
      </c>
      <c r="B5" s="22" t="s">
        <v>3363</v>
      </c>
      <c r="C5" s="387" t="b">
        <v>0</v>
      </c>
      <c r="D5" s="387" t="s">
        <v>3361</v>
      </c>
      <c r="E5" s="387" t="s">
        <v>3362</v>
      </c>
      <c r="F5" s="387" t="s">
        <v>3361</v>
      </c>
      <c r="G5" s="387" t="s">
        <v>3361</v>
      </c>
      <c r="H5" s="387" t="s">
        <v>3364</v>
      </c>
      <c r="I5" s="387" t="s">
        <v>3364</v>
      </c>
      <c r="J5" s="387" t="s">
        <v>3361</v>
      </c>
    </row>
    <row r="6" ht="15.75" customHeight="1">
      <c r="A6" s="22" t="s">
        <v>3365</v>
      </c>
      <c r="B6" s="22" t="s">
        <v>3363</v>
      </c>
      <c r="C6" s="387" t="b">
        <v>0</v>
      </c>
      <c r="D6" s="387" t="s">
        <v>3361</v>
      </c>
      <c r="E6" s="387" t="s">
        <v>3361</v>
      </c>
      <c r="F6" s="387" t="s">
        <v>3364</v>
      </c>
      <c r="G6" s="387" t="s">
        <v>3364</v>
      </c>
      <c r="H6" s="387" t="s">
        <v>3364</v>
      </c>
      <c r="I6" s="387" t="s">
        <v>3361</v>
      </c>
      <c r="J6" s="387" t="s">
        <v>3361</v>
      </c>
    </row>
    <row r="7" ht="15.75" customHeight="1">
      <c r="A7" s="22" t="s">
        <v>3366</v>
      </c>
      <c r="B7" s="22" t="s">
        <v>3363</v>
      </c>
      <c r="C7" s="387" t="b">
        <v>0</v>
      </c>
      <c r="D7" s="387" t="s">
        <v>3361</v>
      </c>
      <c r="E7" s="387" t="s">
        <v>3362</v>
      </c>
      <c r="F7" s="387" t="s">
        <v>3361</v>
      </c>
      <c r="G7" s="387" t="s">
        <v>3361</v>
      </c>
      <c r="H7" s="387" t="s">
        <v>3364</v>
      </c>
      <c r="I7" s="387" t="s">
        <v>3364</v>
      </c>
      <c r="J7" s="387" t="s">
        <v>3361</v>
      </c>
    </row>
    <row r="8" ht="15.75" customHeight="1">
      <c r="A8" s="22" t="s">
        <v>3367</v>
      </c>
      <c r="B8" s="22" t="s">
        <v>3363</v>
      </c>
      <c r="C8" s="387" t="b">
        <v>0</v>
      </c>
      <c r="D8" s="387" t="s">
        <v>3361</v>
      </c>
      <c r="E8" s="387" t="s">
        <v>3362</v>
      </c>
      <c r="F8" s="387" t="s">
        <v>3364</v>
      </c>
      <c r="G8" s="387" t="s">
        <v>3364</v>
      </c>
      <c r="H8" s="387" t="s">
        <v>3364</v>
      </c>
      <c r="I8" s="387" t="s">
        <v>3364</v>
      </c>
      <c r="J8" s="387" t="s">
        <v>3361</v>
      </c>
    </row>
    <row r="9" ht="15.75" customHeight="1">
      <c r="A9" s="22" t="s">
        <v>3368</v>
      </c>
      <c r="B9" s="22" t="s">
        <v>3363</v>
      </c>
      <c r="C9" s="387" t="b">
        <v>0</v>
      </c>
      <c r="D9" s="387" t="s">
        <v>3361</v>
      </c>
      <c r="E9" s="387" t="s">
        <v>3361</v>
      </c>
      <c r="F9" s="387" t="s">
        <v>3361</v>
      </c>
      <c r="G9" s="387" t="s">
        <v>3361</v>
      </c>
      <c r="H9" s="387" t="s">
        <v>3361</v>
      </c>
      <c r="I9" s="387" t="s">
        <v>3361</v>
      </c>
      <c r="J9" s="387" t="s">
        <v>3361</v>
      </c>
    </row>
    <row r="10" ht="15.75" customHeight="1">
      <c r="A10" s="22" t="s">
        <v>3369</v>
      </c>
      <c r="B10" s="22" t="s">
        <v>3370</v>
      </c>
      <c r="C10" s="387" t="b">
        <v>0</v>
      </c>
      <c r="D10" s="387" t="s">
        <v>3361</v>
      </c>
      <c r="E10" s="387" t="s">
        <v>3364</v>
      </c>
      <c r="F10" s="387" t="s">
        <v>3364</v>
      </c>
      <c r="G10" s="387" t="s">
        <v>3364</v>
      </c>
      <c r="H10" s="387" t="s">
        <v>3364</v>
      </c>
      <c r="I10" s="387" t="s">
        <v>3364</v>
      </c>
      <c r="J10" s="387" t="s">
        <v>3362</v>
      </c>
    </row>
    <row r="11" ht="15.75" customHeight="1">
      <c r="A11" s="22" t="s">
        <v>3371</v>
      </c>
      <c r="B11" s="22" t="s">
        <v>3363</v>
      </c>
      <c r="C11" s="387" t="b">
        <v>0</v>
      </c>
      <c r="D11" s="387" t="s">
        <v>3361</v>
      </c>
      <c r="E11" s="387" t="s">
        <v>3364</v>
      </c>
      <c r="F11" s="387" t="s">
        <v>3364</v>
      </c>
      <c r="G11" s="387" t="s">
        <v>3364</v>
      </c>
      <c r="H11" s="387" t="s">
        <v>3362</v>
      </c>
      <c r="I11" s="387" t="s">
        <v>3364</v>
      </c>
      <c r="J11" s="387" t="s">
        <v>3361</v>
      </c>
    </row>
    <row r="12" ht="15.75" customHeight="1">
      <c r="A12" s="22" t="s">
        <v>565</v>
      </c>
      <c r="B12" s="22" t="s">
        <v>3363</v>
      </c>
      <c r="C12" s="387" t="b">
        <v>0</v>
      </c>
      <c r="D12" s="387" t="s">
        <v>3361</v>
      </c>
      <c r="E12" s="387" t="s">
        <v>3364</v>
      </c>
      <c r="F12" s="387" t="s">
        <v>3364</v>
      </c>
      <c r="G12" s="387" t="s">
        <v>3364</v>
      </c>
      <c r="H12" s="387" t="s">
        <v>3364</v>
      </c>
      <c r="I12" s="387" t="s">
        <v>3362</v>
      </c>
      <c r="J12" s="387" t="s">
        <v>3361</v>
      </c>
    </row>
    <row r="13" ht="15.75" customHeight="1">
      <c r="A13" s="22" t="s">
        <v>3372</v>
      </c>
      <c r="B13" s="22" t="s">
        <v>3363</v>
      </c>
      <c r="C13" s="387" t="b">
        <v>0</v>
      </c>
      <c r="D13" s="387" t="s">
        <v>3361</v>
      </c>
      <c r="E13" s="387" t="s">
        <v>3362</v>
      </c>
      <c r="F13" s="387" t="s">
        <v>3361</v>
      </c>
      <c r="G13" s="387" t="s">
        <v>3364</v>
      </c>
      <c r="H13" s="387" t="s">
        <v>3364</v>
      </c>
      <c r="I13" s="387" t="s">
        <v>3361</v>
      </c>
      <c r="J13" s="387" t="s">
        <v>3361</v>
      </c>
    </row>
    <row r="14" ht="15.75" customHeight="1">
      <c r="A14" s="22" t="s">
        <v>3373</v>
      </c>
      <c r="B14" s="22" t="s">
        <v>3363</v>
      </c>
      <c r="C14" s="387" t="b">
        <v>0</v>
      </c>
      <c r="D14" s="387" t="s">
        <v>3362</v>
      </c>
      <c r="E14" s="387" t="s">
        <v>3361</v>
      </c>
      <c r="F14" s="387" t="s">
        <v>3364</v>
      </c>
      <c r="G14" s="387" t="s">
        <v>3364</v>
      </c>
      <c r="H14" s="387" t="s">
        <v>3362</v>
      </c>
      <c r="I14" s="387" t="s">
        <v>3361</v>
      </c>
      <c r="J14" s="387" t="s">
        <v>3361</v>
      </c>
    </row>
    <row r="15" ht="15.75" customHeight="1">
      <c r="A15" s="22" t="s">
        <v>3374</v>
      </c>
      <c r="B15" s="22" t="s">
        <v>3370</v>
      </c>
      <c r="C15" s="387" t="b">
        <v>0</v>
      </c>
      <c r="D15" s="387" t="s">
        <v>3361</v>
      </c>
      <c r="E15" s="387" t="s">
        <v>3364</v>
      </c>
      <c r="F15" s="387" t="s">
        <v>3364</v>
      </c>
      <c r="G15" s="387" t="s">
        <v>3364</v>
      </c>
      <c r="H15" s="387" t="s">
        <v>3364</v>
      </c>
      <c r="I15" s="387" t="s">
        <v>3364</v>
      </c>
      <c r="J15" s="387" t="s">
        <v>3362</v>
      </c>
    </row>
    <row r="16" ht="15.75" customHeight="1">
      <c r="A16" s="22" t="s">
        <v>3375</v>
      </c>
      <c r="B16" s="22" t="s">
        <v>3363</v>
      </c>
      <c r="C16" s="387" t="b">
        <v>0</v>
      </c>
      <c r="D16" s="387" t="s">
        <v>3361</v>
      </c>
      <c r="E16" s="387" t="s">
        <v>3361</v>
      </c>
      <c r="F16" s="387" t="s">
        <v>3364</v>
      </c>
      <c r="G16" s="387" t="s">
        <v>3364</v>
      </c>
      <c r="H16" s="387" t="s">
        <v>3361</v>
      </c>
      <c r="I16" s="387" t="s">
        <v>3361</v>
      </c>
      <c r="J16" s="387" t="s">
        <v>3361</v>
      </c>
    </row>
    <row r="17" ht="15.75" customHeight="1">
      <c r="A17" s="22" t="s">
        <v>560</v>
      </c>
      <c r="B17" s="22" t="s">
        <v>3363</v>
      </c>
      <c r="C17" s="387" t="b">
        <v>0</v>
      </c>
      <c r="D17" s="387" t="s">
        <v>3361</v>
      </c>
      <c r="E17" s="387" t="s">
        <v>3364</v>
      </c>
      <c r="F17" s="387" t="s">
        <v>3364</v>
      </c>
      <c r="G17" s="387" t="s">
        <v>3364</v>
      </c>
      <c r="H17" s="387" t="s">
        <v>3362</v>
      </c>
      <c r="I17" s="387" t="s">
        <v>3364</v>
      </c>
      <c r="J17" s="387" t="s">
        <v>3361</v>
      </c>
    </row>
    <row r="18" ht="15.75" customHeight="1">
      <c r="A18" s="22" t="s">
        <v>3376</v>
      </c>
      <c r="B18" s="22" t="s">
        <v>3363</v>
      </c>
      <c r="C18" s="387" t="b">
        <v>0</v>
      </c>
      <c r="D18" s="387" t="s">
        <v>3361</v>
      </c>
      <c r="E18" s="387" t="s">
        <v>3364</v>
      </c>
      <c r="F18" s="387" t="s">
        <v>3364</v>
      </c>
      <c r="G18" s="387" t="s">
        <v>3364</v>
      </c>
      <c r="H18" s="387" t="s">
        <v>3361</v>
      </c>
      <c r="I18" s="387" t="s">
        <v>3362</v>
      </c>
      <c r="J18" s="387" t="s">
        <v>3361</v>
      </c>
    </row>
    <row r="19" ht="15.75" customHeight="1">
      <c r="A19" s="22" t="s">
        <v>3377</v>
      </c>
      <c r="B19" s="22" t="s">
        <v>3363</v>
      </c>
      <c r="C19" s="387" t="b">
        <v>0</v>
      </c>
      <c r="D19" s="387" t="s">
        <v>3361</v>
      </c>
      <c r="E19" s="387" t="s">
        <v>3362</v>
      </c>
      <c r="F19" s="387" t="s">
        <v>3361</v>
      </c>
      <c r="G19" s="387" t="s">
        <v>3364</v>
      </c>
      <c r="H19" s="387" t="s">
        <v>3364</v>
      </c>
      <c r="I19" s="387" t="s">
        <v>3364</v>
      </c>
      <c r="J19" s="387" t="s">
        <v>3361</v>
      </c>
    </row>
    <row r="20" ht="15.75" customHeight="1">
      <c r="A20" s="22" t="s">
        <v>3378</v>
      </c>
      <c r="B20" s="22" t="s">
        <v>3363</v>
      </c>
      <c r="C20" s="387" t="b">
        <v>0</v>
      </c>
      <c r="D20" s="387" t="s">
        <v>3361</v>
      </c>
      <c r="E20" s="387" t="s">
        <v>3362</v>
      </c>
      <c r="F20" s="387" t="s">
        <v>3361</v>
      </c>
      <c r="G20" s="387" t="s">
        <v>3361</v>
      </c>
      <c r="H20" s="387" t="s">
        <v>3364</v>
      </c>
      <c r="I20" s="387" t="s">
        <v>3364</v>
      </c>
      <c r="J20" s="387" t="s">
        <v>3361</v>
      </c>
    </row>
    <row r="21" ht="15.75" customHeight="1">
      <c r="A21" s="22" t="s">
        <v>3379</v>
      </c>
      <c r="B21" s="22" t="s">
        <v>3363</v>
      </c>
      <c r="C21" s="387" t="b">
        <v>0</v>
      </c>
      <c r="D21" s="387" t="s">
        <v>3361</v>
      </c>
      <c r="E21" s="387" t="s">
        <v>3364</v>
      </c>
      <c r="F21" s="387" t="s">
        <v>3364</v>
      </c>
      <c r="G21" s="387" t="s">
        <v>3364</v>
      </c>
      <c r="H21" s="387" t="s">
        <v>3361</v>
      </c>
      <c r="I21" s="387" t="s">
        <v>3362</v>
      </c>
      <c r="J21" s="387" t="s">
        <v>3361</v>
      </c>
    </row>
    <row r="22" ht="15.75" customHeight="1">
      <c r="A22" s="22" t="s">
        <v>3380</v>
      </c>
      <c r="B22" s="22" t="s">
        <v>3363</v>
      </c>
      <c r="C22" s="387" t="b">
        <v>0</v>
      </c>
      <c r="D22" s="387" t="s">
        <v>3361</v>
      </c>
      <c r="E22" s="387" t="s">
        <v>3362</v>
      </c>
      <c r="F22" s="387" t="s">
        <v>3364</v>
      </c>
      <c r="G22" s="387" t="s">
        <v>3364</v>
      </c>
      <c r="H22" s="387" t="s">
        <v>3364</v>
      </c>
      <c r="I22" s="387" t="s">
        <v>3364</v>
      </c>
      <c r="J22" s="387" t="s">
        <v>3361</v>
      </c>
    </row>
    <row r="23" ht="15.75" customHeight="1">
      <c r="A23" s="22" t="s">
        <v>3381</v>
      </c>
      <c r="B23" s="22" t="s">
        <v>3363</v>
      </c>
      <c r="C23" s="387" t="b">
        <v>0</v>
      </c>
      <c r="D23" s="387" t="s">
        <v>3361</v>
      </c>
      <c r="E23" s="387" t="s">
        <v>3362</v>
      </c>
      <c r="F23" s="387" t="s">
        <v>3361</v>
      </c>
      <c r="G23" s="387" t="s">
        <v>3361</v>
      </c>
      <c r="H23" s="387" t="s">
        <v>3361</v>
      </c>
      <c r="I23" s="387" t="s">
        <v>3361</v>
      </c>
      <c r="J23" s="387" t="s">
        <v>3362</v>
      </c>
    </row>
    <row r="24" ht="15.75" customHeight="1">
      <c r="A24" s="22" t="s">
        <v>3382</v>
      </c>
      <c r="B24" s="22" t="s">
        <v>3370</v>
      </c>
      <c r="C24" s="387" t="b">
        <v>0</v>
      </c>
      <c r="D24" s="387" t="s">
        <v>3361</v>
      </c>
      <c r="E24" s="387" t="s">
        <v>3361</v>
      </c>
      <c r="F24" s="387" t="s">
        <v>3364</v>
      </c>
      <c r="G24" s="387" t="s">
        <v>3364</v>
      </c>
      <c r="H24" s="387" t="s">
        <v>3364</v>
      </c>
      <c r="I24" s="387" t="s">
        <v>3364</v>
      </c>
      <c r="J24" s="387" t="s">
        <v>3362</v>
      </c>
    </row>
    <row r="25" ht="15.75" customHeight="1">
      <c r="A25" s="22" t="s">
        <v>3383</v>
      </c>
      <c r="B25" s="22" t="s">
        <v>3370</v>
      </c>
      <c r="C25" s="387" t="b">
        <v>0</v>
      </c>
      <c r="D25" s="387" t="s">
        <v>3361</v>
      </c>
      <c r="E25" s="387" t="s">
        <v>3361</v>
      </c>
      <c r="F25" s="387" t="s">
        <v>3364</v>
      </c>
      <c r="G25" s="387" t="s">
        <v>3364</v>
      </c>
      <c r="H25" s="387" t="s">
        <v>3364</v>
      </c>
      <c r="I25" s="387" t="s">
        <v>3364</v>
      </c>
      <c r="J25" s="387" t="s">
        <v>3362</v>
      </c>
    </row>
    <row r="26" ht="15.75" customHeight="1">
      <c r="A26" s="22" t="s">
        <v>3384</v>
      </c>
      <c r="B26" s="22" t="s">
        <v>3370</v>
      </c>
      <c r="C26" s="387" t="b">
        <v>0</v>
      </c>
      <c r="D26" s="387" t="s">
        <v>3361</v>
      </c>
      <c r="E26" s="387" t="s">
        <v>3362</v>
      </c>
      <c r="F26" s="387" t="s">
        <v>3364</v>
      </c>
      <c r="G26" s="387" t="s">
        <v>3364</v>
      </c>
      <c r="H26" s="387" t="s">
        <v>3364</v>
      </c>
      <c r="I26" s="387" t="s">
        <v>3364</v>
      </c>
      <c r="J26" s="387" t="s">
        <v>3361</v>
      </c>
    </row>
    <row r="27" ht="15.75" customHeight="1">
      <c r="A27" s="22" t="s">
        <v>3385</v>
      </c>
      <c r="B27" s="22" t="s">
        <v>3370</v>
      </c>
      <c r="C27" s="387" t="b">
        <v>0</v>
      </c>
      <c r="D27" s="387" t="s">
        <v>3361</v>
      </c>
      <c r="E27" s="387" t="s">
        <v>3364</v>
      </c>
      <c r="F27" s="387" t="s">
        <v>3364</v>
      </c>
      <c r="G27" s="387" t="s">
        <v>3364</v>
      </c>
      <c r="H27" s="387" t="s">
        <v>3364</v>
      </c>
      <c r="I27" s="387" t="s">
        <v>3364</v>
      </c>
      <c r="J27" s="387" t="s">
        <v>3362</v>
      </c>
    </row>
    <row r="28" ht="15.75" customHeight="1">
      <c r="A28" s="22" t="s">
        <v>3386</v>
      </c>
      <c r="B28" s="22" t="s">
        <v>3360</v>
      </c>
      <c r="C28" s="387" t="b">
        <v>1</v>
      </c>
      <c r="D28" s="387" t="s">
        <v>3361</v>
      </c>
      <c r="E28" s="387" t="s">
        <v>3361</v>
      </c>
      <c r="F28" s="387" t="s">
        <v>3361</v>
      </c>
      <c r="G28" s="387" t="s">
        <v>3361</v>
      </c>
      <c r="H28" s="387" t="s">
        <v>3361</v>
      </c>
      <c r="I28" s="387" t="s">
        <v>3361</v>
      </c>
      <c r="J28" s="387" t="s">
        <v>3361</v>
      </c>
    </row>
    <row r="29" ht="15.75" customHeight="1">
      <c r="A29" s="22" t="s">
        <v>3387</v>
      </c>
      <c r="B29" s="22" t="s">
        <v>3360</v>
      </c>
      <c r="C29" s="387" t="b">
        <v>0</v>
      </c>
      <c r="D29" s="387" t="s">
        <v>3362</v>
      </c>
      <c r="E29" s="387" t="s">
        <v>3364</v>
      </c>
      <c r="F29" s="387" t="s">
        <v>3364</v>
      </c>
      <c r="G29" s="387" t="s">
        <v>3364</v>
      </c>
      <c r="H29" s="387" t="s">
        <v>3364</v>
      </c>
      <c r="I29" s="387" t="s">
        <v>3364</v>
      </c>
      <c r="J29" s="387" t="s">
        <v>3362</v>
      </c>
    </row>
    <row r="30" ht="15.75" customHeight="1">
      <c r="A30" s="22" t="s">
        <v>1619</v>
      </c>
      <c r="B30" s="22" t="s">
        <v>3388</v>
      </c>
      <c r="C30" s="387" t="b">
        <v>0</v>
      </c>
      <c r="D30" s="387" t="s">
        <v>3364</v>
      </c>
      <c r="E30" s="387" t="s">
        <v>3364</v>
      </c>
      <c r="F30" s="387" t="s">
        <v>3364</v>
      </c>
      <c r="G30" s="387" t="s">
        <v>3364</v>
      </c>
      <c r="H30" s="387" t="s">
        <v>3364</v>
      </c>
      <c r="I30" s="387" t="s">
        <v>3364</v>
      </c>
      <c r="J30" s="387" t="s">
        <v>3362</v>
      </c>
    </row>
    <row r="31" ht="15.75" customHeight="1">
      <c r="A31" s="22" t="s">
        <v>3389</v>
      </c>
      <c r="B31" s="22" t="s">
        <v>3388</v>
      </c>
      <c r="C31" s="387" t="b">
        <v>0</v>
      </c>
      <c r="D31" s="387" t="s">
        <v>3364</v>
      </c>
      <c r="E31" s="387" t="s">
        <v>3364</v>
      </c>
      <c r="F31" s="387" t="s">
        <v>3364</v>
      </c>
      <c r="G31" s="387" t="s">
        <v>3364</v>
      </c>
      <c r="H31" s="387" t="s">
        <v>3364</v>
      </c>
      <c r="I31" s="387" t="s">
        <v>3364</v>
      </c>
      <c r="J31" s="387" t="s">
        <v>3362</v>
      </c>
    </row>
    <row r="32" ht="15.75" customHeight="1">
      <c r="A32" s="22" t="s">
        <v>3390</v>
      </c>
      <c r="B32" s="22" t="s">
        <v>3388</v>
      </c>
      <c r="C32" s="387" t="b">
        <v>0</v>
      </c>
      <c r="D32" s="387" t="s">
        <v>3364</v>
      </c>
      <c r="E32" s="387" t="s">
        <v>3364</v>
      </c>
      <c r="F32" s="387" t="s">
        <v>3364</v>
      </c>
      <c r="G32" s="387" t="s">
        <v>3364</v>
      </c>
      <c r="H32" s="387" t="s">
        <v>3364</v>
      </c>
      <c r="I32" s="387" t="s">
        <v>3364</v>
      </c>
      <c r="J32" s="387" t="s">
        <v>3362</v>
      </c>
    </row>
    <row r="33" ht="15.75" customHeight="1">
      <c r="A33" s="22" t="s">
        <v>3391</v>
      </c>
      <c r="B33" s="22" t="s">
        <v>3388</v>
      </c>
      <c r="C33" s="387" t="b">
        <v>0</v>
      </c>
      <c r="D33" s="387" t="s">
        <v>3364</v>
      </c>
      <c r="E33" s="387" t="s">
        <v>3364</v>
      </c>
      <c r="F33" s="387" t="s">
        <v>3364</v>
      </c>
      <c r="G33" s="387" t="s">
        <v>3364</v>
      </c>
      <c r="H33" s="387" t="s">
        <v>3364</v>
      </c>
      <c r="I33" s="387" t="s">
        <v>3364</v>
      </c>
      <c r="J33" s="387" t="s">
        <v>3362</v>
      </c>
    </row>
    <row r="34" ht="15.75" customHeight="1">
      <c r="A34" s="22" t="s">
        <v>3392</v>
      </c>
      <c r="B34" s="22" t="s">
        <v>3388</v>
      </c>
      <c r="C34" s="387" t="b">
        <v>0</v>
      </c>
      <c r="D34" s="387" t="s">
        <v>3364</v>
      </c>
      <c r="E34" s="387" t="s">
        <v>3364</v>
      </c>
      <c r="F34" s="387" t="s">
        <v>3364</v>
      </c>
      <c r="G34" s="387" t="s">
        <v>3364</v>
      </c>
      <c r="H34" s="387" t="s">
        <v>3364</v>
      </c>
      <c r="I34" s="387" t="s">
        <v>3364</v>
      </c>
      <c r="J34" s="387" t="s">
        <v>3362</v>
      </c>
    </row>
    <row r="35" ht="15.75" customHeight="1">
      <c r="A35" s="22" t="s">
        <v>1607</v>
      </c>
      <c r="B35" s="22" t="s">
        <v>3393</v>
      </c>
      <c r="C35" s="387" t="b">
        <v>0</v>
      </c>
      <c r="D35" s="387" t="s">
        <v>3364</v>
      </c>
      <c r="E35" s="387" t="s">
        <v>3364</v>
      </c>
      <c r="F35" s="387" t="s">
        <v>3364</v>
      </c>
      <c r="G35" s="387" t="s">
        <v>3364</v>
      </c>
      <c r="H35" s="387" t="s">
        <v>3364</v>
      </c>
      <c r="I35" s="387" t="s">
        <v>3364</v>
      </c>
      <c r="J35" s="387" t="s">
        <v>3362</v>
      </c>
    </row>
    <row r="36" ht="15.75" customHeight="1">
      <c r="A36" s="22" t="s">
        <v>2682</v>
      </c>
      <c r="B36" s="22" t="s">
        <v>3393</v>
      </c>
      <c r="C36" s="387" t="b">
        <v>0</v>
      </c>
      <c r="D36" s="387" t="s">
        <v>3364</v>
      </c>
      <c r="E36" s="387" t="s">
        <v>3364</v>
      </c>
      <c r="F36" s="387" t="s">
        <v>3364</v>
      </c>
      <c r="G36" s="387" t="s">
        <v>3364</v>
      </c>
      <c r="H36" s="387" t="s">
        <v>3364</v>
      </c>
      <c r="I36" s="387" t="s">
        <v>3364</v>
      </c>
      <c r="J36" s="387" t="s">
        <v>3362</v>
      </c>
    </row>
    <row r="37" ht="15.75" customHeight="1">
      <c r="A37" s="22" t="s">
        <v>1613</v>
      </c>
      <c r="B37" s="22" t="s">
        <v>3393</v>
      </c>
      <c r="C37" s="387" t="b">
        <v>0</v>
      </c>
      <c r="D37" s="387" t="s">
        <v>3364</v>
      </c>
      <c r="E37" s="387" t="s">
        <v>3364</v>
      </c>
      <c r="F37" s="387" t="s">
        <v>3364</v>
      </c>
      <c r="G37" s="387" t="s">
        <v>3364</v>
      </c>
      <c r="H37" s="387" t="s">
        <v>3364</v>
      </c>
      <c r="I37" s="387" t="s">
        <v>3364</v>
      </c>
      <c r="J37" s="387" t="s">
        <v>3362</v>
      </c>
    </row>
    <row r="38" ht="15.75" customHeight="1">
      <c r="A38" s="22" t="s">
        <v>2761</v>
      </c>
      <c r="B38" s="22" t="s">
        <v>3393</v>
      </c>
      <c r="C38" s="387" t="b">
        <v>0</v>
      </c>
      <c r="D38" s="387" t="s">
        <v>3364</v>
      </c>
      <c r="E38" s="387" t="s">
        <v>3364</v>
      </c>
      <c r="F38" s="387" t="s">
        <v>3364</v>
      </c>
      <c r="G38" s="387" t="s">
        <v>3364</v>
      </c>
      <c r="H38" s="387" t="s">
        <v>3364</v>
      </c>
      <c r="I38" s="387" t="s">
        <v>3364</v>
      </c>
      <c r="J38" s="387" t="s">
        <v>3362</v>
      </c>
    </row>
    <row r="39" ht="15.75" customHeight="1">
      <c r="A39" s="22" t="s">
        <v>2807</v>
      </c>
      <c r="B39" s="22" t="s">
        <v>3393</v>
      </c>
      <c r="C39" s="387" t="b">
        <v>0</v>
      </c>
      <c r="D39" s="387" t="s">
        <v>3364</v>
      </c>
      <c r="E39" s="387" t="s">
        <v>3364</v>
      </c>
      <c r="F39" s="387" t="s">
        <v>3364</v>
      </c>
      <c r="G39" s="387" t="s">
        <v>3364</v>
      </c>
      <c r="H39" s="387" t="s">
        <v>3364</v>
      </c>
      <c r="I39" s="387" t="s">
        <v>3364</v>
      </c>
      <c r="J39" s="387" t="s">
        <v>3362</v>
      </c>
    </row>
    <row r="40" ht="15.75" customHeight="1">
      <c r="A40" s="22" t="s">
        <v>2788</v>
      </c>
      <c r="B40" s="22" t="s">
        <v>3393</v>
      </c>
      <c r="C40" s="387" t="b">
        <v>0</v>
      </c>
      <c r="D40" s="387" t="s">
        <v>3364</v>
      </c>
      <c r="E40" s="387" t="s">
        <v>3364</v>
      </c>
      <c r="F40" s="387" t="s">
        <v>3364</v>
      </c>
      <c r="G40" s="387" t="s">
        <v>3364</v>
      </c>
      <c r="H40" s="387" t="s">
        <v>3364</v>
      </c>
      <c r="I40" s="387" t="s">
        <v>3364</v>
      </c>
      <c r="J40" s="387" t="s">
        <v>3362</v>
      </c>
    </row>
    <row r="41" ht="15.75" customHeight="1">
      <c r="A41" s="22" t="s">
        <v>3394</v>
      </c>
      <c r="B41" s="22" t="s">
        <v>3393</v>
      </c>
      <c r="C41" s="387" t="b">
        <v>0</v>
      </c>
      <c r="D41" s="387" t="s">
        <v>3364</v>
      </c>
      <c r="E41" s="387" t="s">
        <v>3364</v>
      </c>
      <c r="F41" s="387" t="s">
        <v>3364</v>
      </c>
      <c r="G41" s="387" t="s">
        <v>3364</v>
      </c>
      <c r="H41" s="387" t="s">
        <v>3364</v>
      </c>
      <c r="I41" s="387" t="s">
        <v>3364</v>
      </c>
      <c r="J41" s="387" t="s">
        <v>3362</v>
      </c>
    </row>
    <row r="42" ht="15.75" customHeight="1">
      <c r="A42" s="22" t="s">
        <v>3395</v>
      </c>
      <c r="B42" s="22" t="s">
        <v>3393</v>
      </c>
      <c r="C42" s="387" t="b">
        <v>0</v>
      </c>
      <c r="D42" s="387" t="s">
        <v>3364</v>
      </c>
      <c r="E42" s="387" t="s">
        <v>3364</v>
      </c>
      <c r="F42" s="387" t="s">
        <v>3364</v>
      </c>
      <c r="G42" s="387" t="s">
        <v>3364</v>
      </c>
      <c r="H42" s="387" t="s">
        <v>3364</v>
      </c>
      <c r="I42" s="387" t="s">
        <v>3364</v>
      </c>
      <c r="J42" s="387" t="s">
        <v>3362</v>
      </c>
    </row>
    <row r="43" ht="15.75" customHeight="1">
      <c r="A43" s="22" t="s">
        <v>3396</v>
      </c>
      <c r="B43" s="22" t="s">
        <v>3370</v>
      </c>
      <c r="C43" s="387" t="b">
        <v>0</v>
      </c>
      <c r="D43" s="387" t="s">
        <v>3364</v>
      </c>
      <c r="E43" s="387" t="s">
        <v>3364</v>
      </c>
      <c r="F43" s="387" t="s">
        <v>3364</v>
      </c>
      <c r="G43" s="387" t="s">
        <v>3364</v>
      </c>
      <c r="H43" s="387" t="s">
        <v>3364</v>
      </c>
      <c r="I43" s="387" t="s">
        <v>3364</v>
      </c>
      <c r="J43" s="387" t="s">
        <v>3362</v>
      </c>
    </row>
    <row r="44" ht="15.75" customHeight="1">
      <c r="A44" s="22" t="s">
        <v>3397</v>
      </c>
      <c r="B44" s="22" t="s">
        <v>3370</v>
      </c>
      <c r="C44" s="387" t="b">
        <v>0</v>
      </c>
      <c r="D44" s="387" t="s">
        <v>3364</v>
      </c>
      <c r="E44" s="387" t="s">
        <v>3364</v>
      </c>
      <c r="F44" s="387" t="s">
        <v>3364</v>
      </c>
      <c r="G44" s="387" t="s">
        <v>3364</v>
      </c>
      <c r="H44" s="387" t="s">
        <v>3364</v>
      </c>
      <c r="I44" s="387" t="s">
        <v>3364</v>
      </c>
      <c r="J44" s="387" t="s">
        <v>3362</v>
      </c>
    </row>
    <row r="45" ht="15.75" customHeight="1">
      <c r="A45" s="22" t="s">
        <v>3398</v>
      </c>
      <c r="B45" s="22" t="s">
        <v>3370</v>
      </c>
      <c r="C45" s="387" t="b">
        <v>0</v>
      </c>
      <c r="D45" s="387" t="s">
        <v>3364</v>
      </c>
      <c r="E45" s="387" t="s">
        <v>3364</v>
      </c>
      <c r="F45" s="387" t="s">
        <v>3364</v>
      </c>
      <c r="G45" s="387" t="s">
        <v>3364</v>
      </c>
      <c r="H45" s="387" t="s">
        <v>3364</v>
      </c>
      <c r="I45" s="387" t="s">
        <v>3364</v>
      </c>
      <c r="J45" s="387" t="s">
        <v>3362</v>
      </c>
    </row>
    <row r="46" ht="15.75" customHeight="1">
      <c r="A46" s="22" t="s">
        <v>3399</v>
      </c>
      <c r="B46" s="22" t="s">
        <v>3370</v>
      </c>
      <c r="C46" s="387" t="b">
        <v>0</v>
      </c>
      <c r="D46" s="387" t="s">
        <v>3364</v>
      </c>
      <c r="E46" s="387" t="s">
        <v>3364</v>
      </c>
      <c r="F46" s="387" t="s">
        <v>3364</v>
      </c>
      <c r="G46" s="387" t="s">
        <v>3364</v>
      </c>
      <c r="H46" s="387" t="s">
        <v>3364</v>
      </c>
      <c r="I46" s="387" t="s">
        <v>3364</v>
      </c>
      <c r="J46" s="387" t="s">
        <v>3362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J46">
    <cfRule type="containsText" dxfId="0" priority="1" stopIfTrue="1" operator="containsText" text="👁">
      <formula>NOT(ISERROR(SEARCH(("👁"),(D2))))</formula>
    </cfRule>
  </conditionalFormatting>
  <conditionalFormatting sqref="D2:J46">
    <cfRule type="containsText" dxfId="1" priority="2" stopIfTrue="1" operator="containsText" text="✏️">
      <formula>NOT(ISERROR(SEARCH(("✏️"),(D2))))</formula>
    </cfRule>
  </conditionalFormatting>
  <conditionalFormatting sqref="D2:J46">
    <cfRule type="containsText" dxfId="2" priority="3" stopIfTrue="1" operator="containsText" text="⛔">
      <formula>NOT(ISERROR(SEARCH(("⛔"),(D2))))</formula>
    </cfRule>
  </conditionalFormatting>
  <conditionalFormatting sqref="D2:J46">
    <cfRule type="containsText" dxfId="0" priority="4" stopIfTrue="1" operator="containsText" text="👁">
      <formula>NOT(ISERROR(SEARCH(("👁"),(D2))))</formula>
    </cfRule>
  </conditionalFormatting>
  <conditionalFormatting sqref="D2:J46">
    <cfRule type="containsText" dxfId="1" priority="5" stopIfTrue="1" operator="containsText" text="✏️">
      <formula>NOT(ISERROR(SEARCH(("✏️"),(D2))))</formula>
    </cfRule>
  </conditionalFormatting>
  <conditionalFormatting sqref="D2:J46">
    <cfRule type="containsText" dxfId="2" priority="6" stopIfTrue="1" operator="containsText" text="⛔">
      <formula>NOT(ISERROR(SEARCH(("⛔"),(D2))))</formula>
    </cfRule>
  </conditionalFormatting>
  <dataValidations>
    <dataValidation type="list" allowBlank="1" showErrorMessage="1" sqref="D2:J46">
      <formula1>"👁,✏️,⛔"</formula1>
    </dataValidation>
    <dataValidation type="list" allowBlank="1" showErrorMessage="1" sqref="B2:B46">
      <formula1>"Системные,Витрины,Служебные,Raw,Calc"</formula1>
    </dataValidation>
  </dataValidations>
  <drawing r:id="rId1"/>
</worksheet>
</file>