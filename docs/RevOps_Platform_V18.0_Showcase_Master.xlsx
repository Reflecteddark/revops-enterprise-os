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6.xml" ContentType="application/vnd.openxmlformats-officedocument.drawing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drawings/drawing7.xml" ContentType="application/vnd.openxmlformats-officedocument.drawing+xml"/>
  <Override PartName="/xl/worksheets/sheet25.xml" ContentType="application/vnd.openxmlformats-officedocument.spreadsheetml.worksheet+xml"/>
  <Override PartName="/xl/drawings/drawing8.xml" ContentType="application/vnd.openxmlformats-officedocument.drawing+xml"/>
  <Override PartName="/xl/worksheets/sheet26.xml" ContentType="application/vnd.openxmlformats-officedocument.spreadsheetml.worksheet+xml"/>
  <Override PartName="/xl/drawings/drawing9.xml" ContentType="application/vnd.openxmlformats-officedocument.drawing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⚡ Экспресс_Калькулятор_3_Цифры" sheetId="1" state="visible" r:id="rId1"/>
    <sheet xmlns:r="http://schemas.openxmlformats.org/officeDocument/2006/relationships" name="📋 Пульт_РОПа_15_Минут" sheetId="2" state="visible" r:id="rId2"/>
    <sheet xmlns:r="http://schemas.openxmlformats.org/officeDocument/2006/relationships" name="🎙️ ИИ_Аудит" sheetId="3" state="visible" r:id="rId3"/>
    <sheet xmlns:r="http://schemas.openxmlformats.org/officeDocument/2006/relationships" name="💸 Диагностика_Утечек_ОП" sheetId="4" state="visible" r:id="rId4"/>
    <sheet xmlns:r="http://schemas.openxmlformats.org/officeDocument/2006/relationships" name="📄 Executive_OnePager" sheetId="5" state="visible" r:id="rId5"/>
    <sheet xmlns:r="http://schemas.openxmlformats.org/officeDocument/2006/relationships" name="⚙️ Настройки" sheetId="6" state="visible" r:id="rId6"/>
    <sheet xmlns:r="http://schemas.openxmlformats.org/officeDocument/2006/relationships" name="raw_touchpoints" sheetId="7" state="hidden" r:id="rId7"/>
    <sheet xmlns:r="http://schemas.openxmlformats.org/officeDocument/2006/relationships" name="raw_deals" sheetId="8" state="hidden" r:id="rId8"/>
    <sheet xmlns:r="http://schemas.openxmlformats.org/officeDocument/2006/relationships" name="raw_calls" sheetId="9" state="hidden" r:id="rId9"/>
    <sheet xmlns:r="http://schemas.openxmlformats.org/officeDocument/2006/relationships" name="🌐 Мультиканальная_Атрибуция" sheetId="10" state="visible" r:id="rId10"/>
    <sheet xmlns:r="http://schemas.openxmlformats.org/officeDocument/2006/relationships" name="🧪 QA_Suite" sheetId="11" state="visible" r:id="rId11"/>
    <sheet xmlns:r="http://schemas.openxmlformats.org/officeDocument/2006/relationships" name="💳 Финансы_и_AI_Дожим" sheetId="12" state="visible" r:id="rId12"/>
    <sheet xmlns:r="http://schemas.openxmlformats.org/officeDocument/2006/relationships" name="raw_invoices" sheetId="13" state="hidden" r:id="rId13"/>
    <sheet xmlns:r="http://schemas.openxmlformats.org/officeDocument/2006/relationships" name="👥 Мотивация_ОП" sheetId="14" state="visible" r:id="rId14"/>
    <sheet xmlns:r="http://schemas.openxmlformats.org/officeDocument/2006/relationships" name="🔮 Симулятор_Роста" sheetId="15" state="visible" r:id="rId15"/>
    <sheet xmlns:r="http://schemas.openxmlformats.org/officeDocument/2006/relationships" name="🗄️ DWH_и_Безопасность" sheetId="16" state="visible" r:id="rId16"/>
    <sheet xmlns:r="http://schemas.openxmlformats.org/officeDocument/2006/relationships" name="🌐 Сквозная_RevOps_Аналитика" sheetId="17" state="visible" r:id="rId17"/>
    <sheet xmlns:r="http://schemas.openxmlformats.org/officeDocument/2006/relationships" name="🌐 Маркетинг_и_Трафик" sheetId="18" state="visible" r:id="rId18"/>
    <sheet xmlns:r="http://schemas.openxmlformats.org/officeDocument/2006/relationships" name="raw_audit_log" sheetId="19" state="hidden" r:id="rId19"/>
    <sheet xmlns:r="http://schemas.openxmlformats.org/officeDocument/2006/relationships" name="raw_marketing" sheetId="20" state="hidden" r:id="rId20"/>
    <sheet xmlns:r="http://schemas.openxmlformats.org/officeDocument/2006/relationships" name="raw_alerts" sheetId="21" state="hidden" r:id="rId21"/>
    <sheet xmlns:r="http://schemas.openxmlformats.org/officeDocument/2006/relationships" name="raw_payments" sheetId="22" state="hidden" r:id="rId22"/>
    <sheet xmlns:r="http://schemas.openxmlformats.org/officeDocument/2006/relationships" name="calc_engine" sheetId="23" state="hidden" r:id="rId23"/>
    <sheet xmlns:r="http://schemas.openxmlformats.org/officeDocument/2006/relationships" name="⚡ Пульс_Компании" sheetId="24" state="visible" r:id="rId24"/>
    <sheet xmlns:r="http://schemas.openxmlformats.org/officeDocument/2006/relationships" name="🎯 Воронка_и_SLA" sheetId="25" state="visible" r:id="rId25"/>
    <sheet xmlns:r="http://schemas.openxmlformats.org/officeDocument/2006/relationships" name="📊 Юнит_Экономика" sheetId="26" state="visible" r:id="rId26"/>
    <sheet xmlns:r="http://schemas.openxmlformats.org/officeDocument/2006/relationships" name="🚨 Радар_Алертов" sheetId="27" state="visible" r:id="rId27"/>
    <sheet xmlns:r="http://schemas.openxmlformats.org/officeDocument/2006/relationships" name="📋 Задачи_и_Спринты" sheetId="28" state="visible" r:id="rId28"/>
    <sheet xmlns:r="http://schemas.openxmlformats.org/officeDocument/2006/relationships" name="changelog" sheetId="29" state="visible" r:id="rId29"/>
    <sheet xmlns:r="http://schemas.openxmlformats.org/officeDocument/2006/relationships" name="📈 Когорты_LTV" sheetId="30" state="visible" r:id="rId30"/>
    <sheet xmlns:r="http://schemas.openxmlformats.org/officeDocument/2006/relationships" name="👥 Ресурсный_План" sheetId="31" state="visible" r:id="rId31"/>
    <sheet xmlns:r="http://schemas.openxmlformats.org/officeDocument/2006/relationships" name="calc_sales" sheetId="32" state="hidden" r:id="rId32"/>
    <sheet xmlns:r="http://schemas.openxmlformats.org/officeDocument/2006/relationships" name="calc_marketing" sheetId="33" state="hidden" r:id="rId33"/>
    <sheet xmlns:r="http://schemas.openxmlformats.org/officeDocument/2006/relationships" name="calc_finance" sheetId="34" state="hidden" r:id="rId34"/>
    <sheet xmlns:r="http://schemas.openxmlformats.org/officeDocument/2006/relationships" name="🛠️ Apps_Script_Console" sheetId="35" state="hidden" r:id="rId35"/>
    <sheet xmlns:r="http://schemas.openxmlformats.org/officeDocument/2006/relationships" name="🔐 Code_Archive" sheetId="36" state="hidden" r:id="rId36"/>
    <sheet xmlns:r="http://schemas.openxmlformats.org/officeDocument/2006/relationships" name="📋 Data_Contract" sheetId="37" state="hidden" r:id="rId37"/>
    <sheet xmlns:r="http://schemas.openxmlformats.org/officeDocument/2006/relationships" name="🆔 ID_Registry" sheetId="38" state="hidden" r:id="rId38"/>
    <sheet xmlns:r="http://schemas.openxmlformats.org/officeDocument/2006/relationships" name="📊 Data_Quality" sheetId="39" state="visible" r:id="rId39"/>
    <sheet xmlns:r="http://schemas.openxmlformats.org/officeDocument/2006/relationships" name="📅 Deal_Event_Log" sheetId="40" state="visible" r:id="rId40"/>
    <sheet xmlns:r="http://schemas.openxmlformats.org/officeDocument/2006/relationships" name="📊 Stage_History" sheetId="41" state="visible" r:id="rId41"/>
    <sheet xmlns:r="http://schemas.openxmlformats.org/officeDocument/2006/relationships" name="🎯 Action_Center" sheetId="42" state="visible" r:id="rId42"/>
    <sheet xmlns:r="http://schemas.openxmlformats.org/officeDocument/2006/relationships" name="⏱️ SLA_Matrix" sheetId="43" state="visible" r:id="rId43"/>
    <sheet xmlns:r="http://schemas.openxmlformats.org/officeDocument/2006/relationships" name="calc_simulator" sheetId="44" state="hidden" r:id="rId44"/>
    <sheet xmlns:r="http://schemas.openxmlformats.org/officeDocument/2006/relationships" name="🔐 RBAC_Matrix" sheetId="45" state="visible" r:id="rId45"/>
  </sheets>
  <definedNames>
    <definedName name="Calls_Scores">raw_calls!$T$2:$T$1000</definedName>
    <definedName name="Deals_Amount">raw_deals!$C$2:$C$1000</definedName>
    <definedName name="Deals_ID">raw_deals!$A$2:$A$1000</definedName>
    <definedName name="USERS_ROLES_MAP">'⚙️ Настройки'!$J$10:$L$100</definedName>
    <definedName name="Deals_Stage">raw_deals!$D$2:$D$1000</definedName>
    <definedName name="Marketing_Leads">raw_marketing!$H$2:$H$1000</definedName>
    <definedName name="Deals_Source">raw_deals!$J$2:$J$1000</definedName>
    <definedName name="ROLES_LIST">'🔐 RBAC_Matrix'!$D$1:$J$1</definedName>
    <definedName name="Payments_Amount">raw_payments!$E$2:$E$1000</definedName>
    <definedName name="SHEETS_LIST">'🔐 RBAC_Matrix'!$A$2:$A$46</definedName>
    <definedName name="Deals_Manager">raw_deals!$H$2:$H$1000</definedName>
    <definedName name="Marketing_Spend">raw_marketing!$E$2:$E$1000</definedName>
    <definedName name="Payments_Type">raw_payments!$F$2:$F$1000</definedName>
    <definedName name="Deals_IsWon">raw_deals!$O$2:$O$1000</definedName>
    <definedName name="Z_932E7ED3_F8F0_4B30_B2B7_834CEF744D12_.wvu.FilterData" localSheetId="7" hidden="1">raw_deals!$A$1:$AI$1000</definedName>
    <definedName name="Z_18147C4B_33C4_4E15_9587_576D7CFAEBD9_.wvu.FilterData" localSheetId="7" hidden="1">raw_deals!$A$1:$AI$1000</definedName>
    <definedName name="Z_0519308D_B2FA_4035_B851_3B9BF6B476C4_.wvu.FilterData" localSheetId="7" hidden="1">raw_deals!$A$1:$AI$1000</definedName>
    <definedName name="Z_49C9D0E5_6300_479F_9FE8_8C32D01C8E35_.wvu.FilterData" localSheetId="7" hidden="1">raw_deals!$A$1:$AI$1000</definedName>
    <definedName name="_xlnm._FilterDatabase" localSheetId="7" hidden="1">'raw_deals'!$A$1:$AI$1000</definedName>
    <definedName name="Z_2CA6A8C5_9A91_40C5_8525_50863088EE30_.wvu.FilterData" localSheetId="27" hidden="1">'📋 Задачи_и_Спринты'!$A$2:$H$100</definedName>
    <definedName name="Z_70221C49_505C_4E68_ABDE_3974FECE7581_.wvu.FilterData" localSheetId="27" hidden="1">'📋 Задачи_и_Спринты'!$A$2:$H$100</definedName>
    <definedName name="Z_7E72991F_6106_4060_BD26_BC16AA774387_.wvu.FilterData" localSheetId="27" hidden="1">'📋 Задачи_и_Спринты'!$A$2:$H$100</definedName>
    <definedName name="Z_9D67E35F_7D92_4111_B47C_99527CFB2180_.wvu.FilterData" localSheetId="27" hidden="1">'📋 Задачи_и_Спринты'!$A$2:$H$100</definedName>
    <definedName name="_xlnm._FilterDatabase" localSheetId="27" hidden="1">'📋 Задачи_и_Спринты'!$A$2:$H$100</definedName>
    <definedName name="Z_DBFC5812_B777_4792_A2A9_0EB9DF24BF1D_.wvu.FilterData" localSheetId="41" hidden="1">'🎯 Action_Center'!$A$1:$M$100</definedName>
    <definedName name="Z_9D02E9B3_7CDA_4FE4_8081_A070E2479F08_.wvu.FilterData" localSheetId="41" hidden="1">'🎯 Action_Center'!$A$1:$M$100</definedName>
    <definedName name="Z_A0605FF5_6785_4DE6_8795_CE3027FB1F4E_.wvu.FilterData" localSheetId="41" hidden="1">'🎯 Action_Center'!$A$1:$M$100</definedName>
    <definedName name="Z_F895536F_2703_47A6_8640_6A6E1FB3E752_.wvu.FilterData" localSheetId="41" hidden="1">'🎯 Action_Center'!$A$1:$M$100</definedName>
    <definedName name="_xlnm._FilterDatabase" localSheetId="41" hidden="1">'🎯 Action_Center'!$A$1:$M$100</definedName>
  </definedNames>
  <calcPr calcId="124519" fullCalcOnLoad="1"/>
</workbook>
</file>

<file path=xl/styles.xml><?xml version="1.0" encoding="utf-8"?>
<styleSheet xmlns="http://schemas.openxmlformats.org/spreadsheetml/2006/main">
  <numFmts count="19">
    <numFmt numFmtId="164" formatCode="#,##0 ₽"/>
    <numFmt numFmtId="165" formatCode="0.0%"/>
    <numFmt numFmtId="166" formatCode="yyyy-mm-dd"/>
    <numFmt numFmtId="167" formatCode="#,##0 &quot;₽&quot;"/>
    <numFmt numFmtId="168" formatCode="+0.0%;-0.0%;0.0%"/>
    <numFmt numFmtId="169" formatCode="+#,##0 &quot;₽&quot;;-#,##0 &quot;₽&quot;;0 &quot;₽&quot;"/>
    <numFmt numFmtId="170" formatCode="yyyy-mm-dd h:mm:ss"/>
    <numFmt numFmtId="171" formatCode="#,##0 &quot;записей&quot;"/>
    <numFmt numFmtId="172" formatCode="#,##0 &quot;активных&quot;"/>
    <numFmt numFmtId="173" formatCode="0.0 &quot;из 13&quot;"/>
    <numFmt numFmtId="174" formatCode="YYYY-MM-DD HH:mm:ss"/>
    <numFmt numFmtId="175" formatCode="0.0x"/>
    <numFmt numFmtId="176" formatCode="yyyy-mm-dd h:mm"/>
    <numFmt numFmtId="177" formatCode="DD.MM.YYYY"/>
    <numFmt numFmtId="178" formatCode="m-d"/>
    <numFmt numFmtId="179" formatCode="0.0 &quot;дн&quot;"/>
    <numFmt numFmtId="180" formatCode="0.0"/>
    <numFmt numFmtId="181" formatCode="0.0 &quot;x&quot;"/>
    <numFmt numFmtId="182" formatCode="0.0 &quot;мес&quot;"/>
  </numFmts>
  <fonts count="139">
    <font>
      <name val="Arial"/>
      <color rgb="FF000000"/>
      <sz val="10"/>
      <scheme val="minor"/>
    </font>
    <font>
      <name val="Playfair Display"/>
      <b val="1"/>
      <color rgb="FFFFFFFF"/>
      <sz val="15"/>
    </font>
    <font>
      <name val="Segoe UI"/>
      <b val="1"/>
      <color rgb="FFFFFFFF"/>
      <sz val="13"/>
    </font>
    <font>
      <name val="Arial"/>
      <b val="1"/>
      <color rgb="FFFFFFFF"/>
      <sz val="15"/>
      <scheme val="minor"/>
    </font>
    <font>
      <name val="Segoe UI"/>
      <b val="1"/>
      <color rgb="FF94A3B8"/>
      <sz val="9"/>
    </font>
    <font/>
    <font>
      <name val="Roboto"/>
      <color rgb="FF333F54"/>
      <sz val="10"/>
    </font>
    <font>
      <name val="Segoe UI"/>
      <b val="1"/>
      <color rgb="FFFFFFFF"/>
      <sz val="9"/>
    </font>
    <font>
      <name val="Montserrat"/>
      <b val="1"/>
      <color rgb="FF1E3A8A"/>
      <sz val="10"/>
      <u val="single"/>
    </font>
    <font>
      <name val="Segoe UI"/>
      <b val="1"/>
      <color rgb="FF64748B"/>
      <sz val="8"/>
    </font>
    <font>
      <name val="Segoe UI"/>
      <b val="1"/>
      <color rgb="FF2563EB"/>
      <sz val="8"/>
    </font>
    <font>
      <name val="Roboto"/>
      <b val="1"/>
      <color rgb="FF1E4993"/>
      <sz val="9"/>
      <u val="single"/>
    </font>
    <font>
      <name val="Segoe UI"/>
      <b val="1"/>
      <color rgb="FFB45309"/>
      <sz val="8"/>
    </font>
    <font>
      <name val="Segoe UI"/>
      <b val="1"/>
      <color rgb="FFDC2626"/>
      <sz val="8"/>
    </font>
    <font>
      <name val="Segoe UI"/>
      <b val="1"/>
      <color rgb="FF0F172A"/>
      <sz val="13"/>
    </font>
    <font>
      <name val="Segoe UI"/>
      <b val="1"/>
      <color rgb="FF2563EB"/>
      <sz val="13"/>
    </font>
    <font>
      <name val="Segoe UI"/>
      <b val="1"/>
      <color rgb="FFB45309"/>
      <sz val="13"/>
    </font>
    <font>
      <name val="Segoe UI"/>
      <b val="1"/>
      <color rgb="FFDC2626"/>
      <sz val="13"/>
    </font>
    <font>
      <name val="Segoe UI"/>
      <b val="1"/>
      <color rgb="FFDC2626"/>
      <sz val="11"/>
    </font>
    <font>
      <name val="Arial"/>
      <color theme="1"/>
      <scheme val="minor"/>
    </font>
    <font>
      <name val="Roboto"/>
      <b val="1"/>
      <color rgb="FFFFFFFF"/>
      <sz val="9"/>
      <u val="single"/>
    </font>
    <font>
      <name val="Segoe UI"/>
      <b val="1"/>
      <color rgb="FF0F172A"/>
      <sz val="11"/>
    </font>
    <font>
      <name val="Playfair Display"/>
      <b val="1"/>
      <color rgb="FFBE123C"/>
      <sz val="20"/>
    </font>
    <font>
      <name val="Roboto"/>
      <b val="1"/>
      <color rgb="FF63728C"/>
      <sz val="9"/>
    </font>
    <font>
      <name val="Playfair Display"/>
      <b val="1"/>
      <color rgb="FF047857"/>
      <sz val="20"/>
    </font>
    <font>
      <name val="Playfair Display"/>
      <b val="1"/>
      <color rgb="FFFFFFFF"/>
      <sz val="13"/>
    </font>
    <font>
      <name val="Segoe UI"/>
      <color theme="1"/>
      <sz val="10"/>
    </font>
    <font>
      <name val="Roboto"/>
      <b val="1"/>
      <color rgb="FF1E4993"/>
      <sz val="10"/>
    </font>
    <font>
      <name val="Segoe UI"/>
      <color rgb="FF0F172A"/>
      <sz val="9"/>
    </font>
    <font>
      <name val="Roboto"/>
      <b val="1"/>
      <color rgb="FF1E4993"/>
      <sz val="9"/>
    </font>
    <font>
      <name val="Roboto"/>
      <b val="1"/>
      <color rgb="FF0F1628"/>
      <sz val="10"/>
    </font>
    <font>
      <name val="Roboto"/>
      <b val="1"/>
      <color rgb="FF991C1C"/>
      <sz val="9"/>
    </font>
    <font>
      <name val="Segoe UI"/>
      <b val="1"/>
      <color rgb="FFDC2626"/>
      <sz val="10"/>
    </font>
    <font>
      <name val="Arial"/>
      <b val="1"/>
      <color rgb="FF191919"/>
      <sz val="14"/>
      <scheme val="minor"/>
    </font>
    <font>
      <name val="Roboto"/>
      <b val="1"/>
      <color rgb="FF914F0A"/>
      <sz val="9"/>
    </font>
    <font>
      <name val="Segoe UI"/>
      <b val="1"/>
      <color theme="1"/>
      <sz val="10"/>
    </font>
    <font>
      <name val="Roboto"/>
      <b val="1"/>
      <color rgb="FF914F0A"/>
      <sz val="15"/>
    </font>
    <font>
      <name val="Roboto"/>
      <color rgb="FF63728C"/>
      <sz val="10"/>
    </font>
    <font>
      <name val="Arial"/>
      <b val="1"/>
      <color rgb="FFFFFFFF"/>
      <scheme val="minor"/>
    </font>
    <font>
      <name val="Roboto"/>
      <b val="1"/>
      <color rgb="FF0F1628"/>
      <sz val="13"/>
    </font>
    <font>
      <name val="Arial"/>
      <b val="1"/>
      <color theme="1"/>
      <scheme val="minor"/>
    </font>
    <font>
      <name val="Playfair Display"/>
      <b val="1"/>
      <color rgb="FFB45309"/>
      <sz val="20"/>
    </font>
    <font>
      <name val="Roboto"/>
      <b val="1"/>
      <color rgb="FF991C1C"/>
      <sz val="18"/>
    </font>
    <font>
      <name val="Roboto"/>
      <b val="1"/>
      <color rgb="FF055E44"/>
      <sz val="14"/>
    </font>
    <font>
      <name val="Segoe UI"/>
      <b val="1"/>
      <color rgb="FF0F172A"/>
      <sz val="9"/>
    </font>
    <font>
      <name val="Roboto"/>
      <b val="1"/>
      <color rgb="FF0F1628"/>
      <sz val="14"/>
    </font>
    <font>
      <name val="Roboto"/>
      <b val="1"/>
      <color rgb="FF1E283D"/>
      <sz val="11"/>
    </font>
    <font>
      <name val="Roboto"/>
      <b val="1"/>
      <color rgb="FF0F1628"/>
      <sz val="12"/>
    </font>
    <font>
      <name val="Roboto"/>
      <b val="1"/>
      <color rgb="FF055E44"/>
      <sz val="9"/>
    </font>
    <font>
      <name val="Roboto"/>
      <b val="1"/>
      <color rgb="FFFFFFFF"/>
      <sz val="10"/>
    </font>
    <font>
      <name val="Roboto"/>
      <b val="1"/>
      <color rgb="FF63728C"/>
      <sz val="10"/>
    </font>
    <font>
      <name val="Roboto"/>
      <b val="1"/>
      <color rgb="FF991C1C"/>
      <sz val="20"/>
    </font>
    <font>
      <name val="Roboto"/>
      <b val="1"/>
      <color rgb="FF0F1628"/>
      <sz val="11"/>
      <u val="single"/>
    </font>
    <font>
      <name val="Roboto"/>
      <color rgb="FF0F1628"/>
      <sz val="9"/>
    </font>
    <font>
      <name val="Roboto"/>
      <b val="1"/>
      <color rgb="FF055E44"/>
      <sz val="20"/>
    </font>
    <font>
      <name val="Arial"/>
      <b val="1"/>
      <color rgb="FFCC1919"/>
      <sz val="11"/>
      <scheme val="minor"/>
    </font>
    <font>
      <name val="Roboto"/>
      <b val="1"/>
      <color rgb="FF055E44"/>
      <sz val="16"/>
    </font>
    <font>
      <name val="Roboto"/>
      <b val="1"/>
      <color rgb="FF0F1628"/>
      <sz val="11"/>
    </font>
    <font>
      <name val="Roboto"/>
      <b val="1"/>
      <color rgb="FF991C1C"/>
      <sz val="10"/>
    </font>
    <font>
      <name val="Roboto"/>
      <color rgb="FF63728C"/>
      <sz val="9"/>
    </font>
    <font>
      <name val="Roboto"/>
      <i val="1"/>
      <color rgb="FF1E4993"/>
      <sz val="10"/>
    </font>
    <font>
      <name val="Arial"/>
      <b val="1"/>
      <color rgb="FFD81919"/>
      <sz val="11"/>
      <scheme val="minor"/>
    </font>
    <font>
      <name val="Roboto"/>
      <b val="1"/>
      <color rgb="FF991C1C"/>
      <sz val="12"/>
    </font>
    <font>
      <name val="Roboto"/>
      <i val="1"/>
      <color rgb="FF055E44"/>
      <sz val="9"/>
    </font>
    <font>
      <name val="Roboto"/>
      <b val="1"/>
      <color rgb="FF0F1628"/>
      <sz val="11"/>
      <u val="single"/>
    </font>
    <font>
      <name val="Arial"/>
      <b val="1"/>
      <color theme="1"/>
      <sz val="11"/>
      <scheme val="minor"/>
    </font>
    <font>
      <name val="Montserrat"/>
      <b val="1"/>
      <color rgb="FFFFFFFF"/>
      <sz val="12"/>
    </font>
    <font>
      <name val="Montserrat"/>
      <color rgb="FF64748B"/>
      <sz val="10"/>
      <u val="single"/>
    </font>
    <font>
      <name val="Montserrat"/>
      <color rgb="FF64748B"/>
      <sz val="10"/>
    </font>
    <font>
      <name val="Roboto"/>
      <b val="1"/>
      <color rgb="FF991C1C"/>
      <sz val="14"/>
    </font>
    <font>
      <name val="Roboto"/>
      <b val="1"/>
      <color rgb="FF055E44"/>
      <sz val="13"/>
    </font>
    <font>
      <name val="Roboto"/>
      <b val="1"/>
      <color rgb="FFFFFFFF"/>
      <sz val="11"/>
    </font>
    <font>
      <name val="Montserrat"/>
      <b val="1"/>
      <color rgb="FFFFFFFF"/>
      <sz val="12"/>
      <u val="single"/>
    </font>
    <font>
      <name val="Playfair Display"/>
      <b val="1"/>
      <color rgb="FF0F162A"/>
      <sz val="14"/>
    </font>
    <font>
      <name val="Arial"/>
      <b val="1"/>
      <color rgb="FF114892"/>
      <u val="single"/>
      <scheme val="minor"/>
    </font>
    <font>
      <name val="Arial"/>
      <b val="1"/>
      <color rgb="FF114892"/>
      <u val="single"/>
      <scheme val="minor"/>
    </font>
    <font>
      <name val="Montserrat"/>
      <b val="1"/>
      <color rgb="FF1E3A8A"/>
      <sz val="10"/>
      <u val="single"/>
    </font>
    <font>
      <name val="Segoe UI"/>
      <color rgb="FFDC2626"/>
      <sz val="10"/>
    </font>
    <font>
      <name val="Montserrat"/>
      <b val="1"/>
      <color rgb="FF1E3A8A"/>
      <sz val="10"/>
      <u val="single"/>
    </font>
    <font>
      <name val="Arial"/>
      <b val="1"/>
      <color theme="1"/>
      <sz val="10"/>
    </font>
    <font>
      <name val="Montserrat"/>
      <b val="1"/>
      <color rgb="FF475569"/>
      <sz val="10"/>
    </font>
    <font>
      <name val="Roboto"/>
      <b val="1"/>
      <color rgb="FFFFFFFF"/>
      <sz val="9"/>
    </font>
    <font>
      <name val="Playfair Display"/>
      <b val="1"/>
      <color rgb="FF0F172A"/>
      <sz val="18"/>
    </font>
    <font>
      <name val="Arial"/>
      <color rgb="FF0F172A"/>
      <sz val="9"/>
    </font>
    <font>
      <name val="Arial"/>
      <color rgb="FFDC2626"/>
      <sz val="10"/>
    </font>
    <font>
      <name val="Playfair Display"/>
      <b val="1"/>
      <color rgb="FFB45309"/>
      <sz val="18"/>
    </font>
    <font>
      <name val="Arial"/>
      <b val="1"/>
      <color rgb="FF117233"/>
      <sz val="9"/>
    </font>
    <font>
      <name val="Roboto"/>
      <b val="1"/>
      <color rgb="FF0F1628"/>
      <sz val="9"/>
    </font>
    <font>
      <name val="Roboto"/>
      <b val="1"/>
      <color rgb="FF914F0A"/>
      <sz val="11"/>
    </font>
    <font>
      <name val="Roboto"/>
      <b val="1"/>
      <color rgb="FF1E4993"/>
      <sz val="11"/>
    </font>
    <font>
      <name val="Arial"/>
      <b val="1"/>
      <color rgb="FFFFFFFF"/>
      <sz val="9"/>
    </font>
    <font>
      <name val="Arial"/>
      <b val="1"/>
      <color rgb="FF1966D8"/>
      <sz val="9"/>
    </font>
    <font>
      <name val="Segoe UI"/>
      <color theme="1"/>
      <sz val="9"/>
    </font>
    <font>
      <color rgb="FF0000FF"/>
      <u val="single"/>
    </font>
    <font>
      <name val="Segoe UI"/>
      <b val="1"/>
      <color rgb="FF16A34A"/>
      <sz val="10"/>
    </font>
    <font>
      <name val="Playfair Display"/>
      <b val="1"/>
      <color rgb="FF0F172A"/>
      <sz val="12"/>
    </font>
    <font>
      <name val="Arial"/>
      <b val="1"/>
      <color rgb="FFFFFFFF"/>
      <sz val="9"/>
      <scheme val="minor"/>
    </font>
    <font>
      <name val="Arial"/>
      <b val="1"/>
      <color rgb="FFFFFFFF"/>
      <sz val="13"/>
      <scheme val="minor"/>
    </font>
    <font>
      <name val="Arial"/>
      <b val="1"/>
      <color theme="1"/>
      <sz val="12"/>
      <scheme val="minor"/>
    </font>
    <font>
      <name val="Arial"/>
      <b val="1"/>
      <color rgb="FFFFFFFF"/>
      <sz val="10"/>
      <scheme val="minor"/>
    </font>
    <font>
      <name val="Arial"/>
      <i val="1"/>
      <color theme="1"/>
      <scheme val="minor"/>
    </font>
    <font>
      <name val="Playfair Display"/>
      <b val="1"/>
      <color rgb="FF047857"/>
      <sz val="16"/>
    </font>
    <font>
      <name val="Roboto"/>
      <b val="1"/>
      <color rgb="FFCCD8F2"/>
      <sz val="9"/>
    </font>
    <font>
      <name val="Playfair Display"/>
      <b val="1"/>
      <color theme="1"/>
      <sz val="20"/>
    </font>
    <font>
      <name val="Roboto"/>
      <b val="1"/>
      <color rgb="FF141E33"/>
      <sz val="11"/>
    </font>
    <font>
      <name val="Roboto"/>
      <b val="1"/>
      <color theme="1"/>
      <sz val="10"/>
    </font>
    <font>
      <name val="Roboto"/>
      <color theme="1"/>
      <sz val="10"/>
    </font>
    <font>
      <name val="Roboto"/>
      <color theme="1"/>
    </font>
    <font>
      <name val="Arial"/>
      <i val="1"/>
      <color rgb="FF555555"/>
      <sz val="8"/>
      <scheme val="minor"/>
    </font>
    <font>
      <name val="Roboto"/>
      <b val="1"/>
      <color rgb="FF055E44"/>
      <sz val="10"/>
    </font>
    <font>
      <name val="Roboto"/>
      <i val="1"/>
      <color rgb="FF0F1628"/>
      <sz val="9"/>
    </font>
    <font>
      <name val="Roboto"/>
      <b val="1"/>
      <color rgb="FF914F0A"/>
      <sz val="16"/>
    </font>
    <font>
      <name val="Arial"/>
      <b val="1"/>
      <color rgb="FF1D2C60"/>
      <sz val="10"/>
      <scheme val="minor"/>
    </font>
    <font>
      <b val="1"/>
      <color rgb="FF1D2C60"/>
      <sz val="10"/>
      <u val="single"/>
    </font>
    <font>
      <name val="Arial"/>
      <b val="1"/>
      <color rgb="FFFFFFFF"/>
      <sz val="12"/>
      <scheme val="minor"/>
    </font>
    <font>
      <name val="Arial"/>
      <b val="1"/>
      <color rgb="FFFFFFFF"/>
      <sz val="11"/>
      <scheme val="minor"/>
    </font>
    <font>
      <name val="Arial"/>
      <b val="1"/>
      <color rgb="FF192633"/>
      <sz val="9"/>
      <scheme val="minor"/>
    </font>
    <font>
      <name val="Arial"/>
      <b val="1"/>
      <color theme="1"/>
      <sz val="9"/>
      <scheme val="minor"/>
    </font>
    <font>
      <name val="Roboto"/>
      <b val="1"/>
      <color rgb="FF0F1628"/>
      <sz val="18"/>
    </font>
    <font>
      <name val="Playfair Display"/>
      <b val="1"/>
      <color rgb="FFBE123C"/>
      <sz val="18"/>
    </font>
    <font>
      <name val="Roboto"/>
      <b val="1"/>
      <color rgb="FF0F1628"/>
      <sz val="10"/>
      <u val="single"/>
    </font>
    <font>
      <name val="Roboto"/>
      <color rgb="FF0F1628"/>
      <sz val="10"/>
    </font>
    <font>
      <name val="Roboto"/>
      <b val="1"/>
      <color rgb="FF055E44"/>
      <sz val="11"/>
    </font>
    <font>
      <name val="Roboto"/>
      <b val="1"/>
      <color rgb="FF0F1628"/>
      <sz val="10"/>
      <u val="single"/>
    </font>
    <font>
      <name val="Arial"/>
      <b val="1"/>
      <color rgb="FF334C72"/>
      <sz val="10"/>
      <scheme val="minor"/>
    </font>
    <font>
      <name val="Arial"/>
      <b val="1"/>
      <color rgb="FF0C723F"/>
      <sz val="10"/>
      <u val="single"/>
      <scheme val="minor"/>
    </font>
    <font>
      <name val="Arial"/>
      <b val="1"/>
      <color rgb="FF3F598C"/>
      <sz val="10"/>
      <scheme val="minor"/>
    </font>
    <font>
      <name val="Arial"/>
      <color theme="1"/>
      <sz val="9"/>
      <scheme val="minor"/>
    </font>
    <font>
      <name val="Arial"/>
      <b val="1"/>
      <color rgb="FFFFFFFF"/>
      <sz val="8"/>
      <scheme val="minor"/>
    </font>
    <font>
      <name val="Arial"/>
      <b val="1"/>
      <color rgb="FF2D384C"/>
      <sz val="10"/>
      <scheme val="minor"/>
    </font>
    <font>
      <name val="Arial"/>
      <b val="1"/>
      <color theme="1"/>
      <sz val="13"/>
      <scheme val="minor"/>
    </font>
    <font>
      <name val="Roboto"/>
      <b val="1"/>
      <color rgb="FFFFFFFF"/>
      <sz val="12"/>
    </font>
    <font>
      <name val="Roboto"/>
      <b val="1"/>
      <color rgb="FFE5EAF9"/>
      <sz val="9"/>
    </font>
    <font>
      <name val="Roboto"/>
      <b val="1"/>
      <color rgb="FFFFFFFF"/>
      <sz val="13"/>
    </font>
    <font>
      <name val="Consolas"/>
      <color rgb="FF19334C"/>
      <sz val="9"/>
    </font>
    <font>
      <color rgb="FF0000FF"/>
      <u val="single"/>
    </font>
    <font>
      <name val="Segoe UI"/>
      <b val="1"/>
      <color rgb="FFFFFFFF"/>
      <sz val="10"/>
    </font>
    <font>
      <name val="Arial"/>
      <b val="1"/>
      <color rgb="0010B981"/>
      <sz val="10"/>
    </font>
    <font>
      <name val="Arial"/>
      <b val="1"/>
      <color rgb="0038BDF8"/>
      <sz val="9"/>
    </font>
  </fonts>
  <fills count="84">
    <fill>
      <patternFill/>
    </fill>
    <fill>
      <patternFill patternType="lightGray"/>
    </fill>
    <fill>
      <patternFill patternType="solid">
        <fgColor rgb="FF0F172A"/>
        <bgColor rgb="FF0F172A"/>
      </patternFill>
    </fill>
    <fill>
      <patternFill patternType="solid">
        <fgColor rgb="FF1E2847"/>
        <bgColor rgb="FF1E2847"/>
      </patternFill>
    </fill>
    <fill>
      <patternFill patternType="solid">
        <fgColor rgb="FF1E293B"/>
        <bgColor rgb="FF1E293B"/>
      </patternFill>
    </fill>
    <fill>
      <patternFill patternType="solid">
        <fgColor rgb="FF0C472D"/>
        <bgColor rgb="FF0C472D"/>
      </patternFill>
    </fill>
    <fill>
      <patternFill patternType="solid">
        <fgColor rgb="FF2563EB"/>
        <bgColor rgb="FF2563EB"/>
      </patternFill>
    </fill>
    <fill>
      <patternFill patternType="solid">
        <fgColor rgb="FFEEF2FF"/>
        <bgColor rgb="FFEEF2FF"/>
      </patternFill>
    </fill>
    <fill>
      <patternFill patternType="solid">
        <fgColor rgb="FFF8FAFC"/>
        <bgColor rgb="FFF8FAFC"/>
      </patternFill>
    </fill>
    <fill>
      <patternFill patternType="solid">
        <fgColor rgb="FFEFF4FC"/>
        <bgColor rgb="FFEFF4FC"/>
      </patternFill>
    </fill>
    <fill>
      <patternFill patternType="solid">
        <fgColor rgb="FFFFFBEB"/>
        <bgColor rgb="FFFFFBEB"/>
      </patternFill>
    </fill>
    <fill>
      <patternFill patternType="solid">
        <fgColor rgb="FFFEF2F2"/>
        <bgColor rgb="FFFEF2F2"/>
      </patternFill>
    </fill>
    <fill>
      <patternFill patternType="solid">
        <fgColor rgb="FF8C1E1E"/>
        <bgColor rgb="FF8C1E1E"/>
      </patternFill>
    </fill>
    <fill>
      <patternFill patternType="solid">
        <fgColor rgb="FF1E283D"/>
        <bgColor rgb="FF1E283D"/>
      </patternFill>
    </fill>
    <fill>
      <patternFill patternType="solid">
        <fgColor rgb="FF334155"/>
        <bgColor rgb="FF334155"/>
      </patternFill>
    </fill>
    <fill>
      <patternFill patternType="solid">
        <fgColor rgb="FFFFF1F2"/>
        <bgColor rgb="FFFFF1F2"/>
      </patternFill>
    </fill>
    <fill>
      <patternFill patternType="solid">
        <fgColor rgb="FFECFDF5"/>
        <bgColor rgb="FFECFDF5"/>
      </patternFill>
    </fill>
    <fill>
      <patternFill patternType="solid">
        <fgColor rgb="FFEFF7FF"/>
        <bgColor rgb="FFEFF7FF"/>
      </patternFill>
    </fill>
    <fill>
      <patternFill patternType="solid">
        <fgColor rgb="FFFFFFFF"/>
        <bgColor rgb="FFFFFFFF"/>
      </patternFill>
    </fill>
    <fill>
      <patternFill patternType="solid">
        <fgColor rgb="FFFCF2F2"/>
        <bgColor rgb="FFFCF2F2"/>
      </patternFill>
    </fill>
    <fill>
      <patternFill patternType="solid">
        <fgColor rgb="FFF2F4F9"/>
        <bgColor rgb="FFF2F4F9"/>
      </patternFill>
    </fill>
    <fill>
      <patternFill patternType="solid">
        <fgColor rgb="FFFFF9EA"/>
        <bgColor rgb="FFFFF9EA"/>
      </patternFill>
    </fill>
    <fill>
      <patternFill patternType="solid">
        <fgColor rgb="FF991B1B"/>
        <bgColor rgb="FF991B1B"/>
      </patternFill>
    </fill>
    <fill>
      <patternFill patternType="solid">
        <fgColor rgb="FF26334C"/>
        <bgColor rgb="FF26334C"/>
      </patternFill>
    </fill>
    <fill>
      <patternFill patternType="solid">
        <fgColor rgb="FFF7F9FF"/>
        <bgColor rgb="FFF7F9FF"/>
      </patternFill>
    </fill>
    <fill>
      <patternFill patternType="solid">
        <fgColor rgb="FFF7F9FC"/>
        <bgColor rgb="FFF7F9FC"/>
      </patternFill>
    </fill>
    <fill>
      <patternFill patternType="solid">
        <fgColor rgb="FFEAF9F2"/>
        <bgColor rgb="FFEAF9F2"/>
      </patternFill>
    </fill>
    <fill>
      <patternFill patternType="solid">
        <fgColor rgb="FFF9EAEA"/>
        <bgColor rgb="FFF9EAEA"/>
      </patternFill>
    </fill>
    <fill>
      <patternFill patternType="solid">
        <fgColor rgb="FF047857"/>
        <bgColor rgb="FF047857"/>
      </patternFill>
    </fill>
    <fill>
      <patternFill patternType="solid">
        <fgColor rgb="FF4F46E5"/>
        <bgColor rgb="FF4F46E5"/>
      </patternFill>
    </fill>
    <fill>
      <patternFill patternType="solid">
        <fgColor rgb="FFEAF9EF"/>
        <bgColor rgb="FFEAF9EF"/>
      </patternFill>
    </fill>
    <fill>
      <patternFill patternType="solid">
        <fgColor rgb="FF263851"/>
        <bgColor rgb="FF263851"/>
      </patternFill>
    </fill>
    <fill>
      <patternFill patternType="solid">
        <fgColor rgb="FFE5F9EA"/>
        <bgColor rgb="FFE5F9EA"/>
      </patternFill>
    </fill>
    <fill>
      <patternFill patternType="solid">
        <fgColor rgb="FFF1F6FA"/>
        <bgColor rgb="FFF1F6FA"/>
      </patternFill>
    </fill>
    <fill>
      <patternFill patternType="solid">
        <fgColor rgb="FFEEF4FB"/>
        <bgColor rgb="FFEEF4FB"/>
      </patternFill>
    </fill>
    <fill>
      <patternFill patternType="solid">
        <fgColor rgb="FF1C4587"/>
        <bgColor rgb="FF1C4587"/>
      </patternFill>
    </fill>
    <fill>
      <patternFill patternType="solid">
        <fgColor rgb="FFF1F5F9"/>
        <bgColor rgb="FFF1F5F9"/>
      </patternFill>
    </fill>
    <fill>
      <patternFill patternType="solid">
        <fgColor rgb="FFF3F3F3"/>
        <bgColor rgb="FFF3F3F3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E5F4EA"/>
        <bgColor rgb="FFE5F4EA"/>
      </patternFill>
    </fill>
    <fill>
      <patternFill patternType="solid">
        <fgColor rgb="FF333F59"/>
        <bgColor rgb="FF333F59"/>
      </patternFill>
    </fill>
    <fill>
      <patternFill patternType="solid">
        <fgColor rgb="FF263859"/>
        <bgColor rgb="FF263859"/>
      </patternFill>
    </fill>
    <fill>
      <patternFill patternType="solid">
        <fgColor rgb="FFFFF9D8"/>
        <bgColor rgb="FFFFF9D8"/>
      </patternFill>
    </fill>
    <fill>
      <patternFill patternType="solid">
        <fgColor rgb="FFE8EFFF"/>
        <bgColor rgb="FFE8EFFF"/>
      </patternFill>
    </fill>
    <fill>
      <patternFill patternType="solid">
        <fgColor rgb="FF783F04"/>
        <bgColor rgb="FF783F04"/>
      </patternFill>
    </fill>
    <fill>
      <patternFill patternType="solid">
        <fgColor rgb="FFFEF3C7"/>
        <bgColor rgb="FFFEF3C7"/>
      </patternFill>
    </fill>
    <fill>
      <patternFill patternType="solid">
        <fgColor rgb="FF334C72"/>
        <bgColor rgb="FF334C72"/>
      </patternFill>
    </fill>
    <fill>
      <patternFill patternType="solid">
        <fgColor rgb="FFE5EDF7"/>
        <bgColor rgb="FFE5EDF7"/>
      </patternFill>
    </fill>
    <fill>
      <patternFill patternType="solid">
        <fgColor rgb="FF0B5394"/>
        <bgColor rgb="FF0B5394"/>
      </patternFill>
    </fill>
    <fill>
      <patternFill patternType="solid">
        <fgColor rgb="FFEAEFF4"/>
        <bgColor rgb="FFEAEFF4"/>
      </patternFill>
    </fill>
    <fill>
      <patternFill patternType="solid">
        <fgColor rgb="FF4C1130"/>
        <bgColor rgb="FF4C1130"/>
      </patternFill>
    </fill>
    <fill>
      <patternFill patternType="solid">
        <fgColor rgb="FF3D85C6"/>
        <bgColor rgb="FF3D85C6"/>
      </patternFill>
    </fill>
    <fill>
      <patternFill patternType="solid">
        <fgColor rgb="FF274E13"/>
        <bgColor rgb="FF274E13"/>
      </patternFill>
    </fill>
    <fill>
      <patternFill patternType="solid">
        <fgColor rgb="FF6AA84F"/>
        <bgColor rgb="FF6AA84F"/>
      </patternFill>
    </fill>
    <fill>
      <patternFill patternType="solid">
        <fgColor rgb="FFEAD1DC"/>
        <bgColor rgb="FFEAD1DC"/>
      </patternFill>
    </fill>
    <fill>
      <patternFill patternType="solid">
        <fgColor rgb="FFA64D79"/>
        <bgColor rgb="FFA64D79"/>
      </patternFill>
    </fill>
    <fill>
      <patternFill patternType="solid">
        <fgColor rgb="FF212D47"/>
        <bgColor rgb="FF212D47"/>
      </patternFill>
    </fill>
    <fill>
      <patternFill patternType="solid">
        <fgColor rgb="FFEFF4F9"/>
        <bgColor rgb="FFEFF4F9"/>
      </patternFill>
    </fill>
    <fill>
      <patternFill patternType="solid">
        <fgColor rgb="FF351C75"/>
        <bgColor rgb="FF351C75"/>
      </patternFill>
    </fill>
    <fill>
      <patternFill patternType="solid">
        <fgColor rgb="FF674EA7"/>
        <bgColor rgb="FF674EA7"/>
      </patternFill>
    </fill>
    <fill>
      <patternFill patternType="solid">
        <fgColor rgb="FFFCE5CD"/>
        <bgColor rgb="FFFCE5CD"/>
      </patternFill>
    </fill>
    <fill>
      <patternFill patternType="solid">
        <fgColor rgb="FFEEEEEE"/>
        <bgColor rgb="FFEEEEEE"/>
      </patternFill>
    </fill>
    <fill>
      <patternFill patternType="solid">
        <fgColor rgb="FFEAEFF9"/>
        <bgColor rgb="FFEAEFF9"/>
      </patternFill>
    </fill>
    <fill>
      <patternFill patternType="solid">
        <fgColor rgb="FFF2FCF4"/>
        <bgColor rgb="FFF2FCF4"/>
      </patternFill>
    </fill>
    <fill>
      <patternFill patternType="solid">
        <fgColor rgb="FFFFF4E0"/>
        <bgColor rgb="FFFFF4E0"/>
      </patternFill>
    </fill>
    <fill>
      <patternFill patternType="solid">
        <fgColor rgb="FF20124D"/>
        <bgColor rgb="FF20124D"/>
      </patternFill>
    </fill>
    <fill>
      <patternFill patternType="solid">
        <fgColor rgb="FFDCE0FF"/>
        <bgColor rgb="FFDCE0FF"/>
      </patternFill>
    </fill>
    <fill>
      <patternFill patternType="solid">
        <fgColor rgb="FF1E283A"/>
        <bgColor rgb="FF1E283A"/>
      </patternFill>
    </fill>
    <fill>
      <patternFill patternType="solid">
        <fgColor rgb="FFB45F06"/>
        <bgColor rgb="FFB45F06"/>
      </patternFill>
    </fill>
    <fill>
      <patternFill patternType="solid">
        <fgColor rgb="FF434343"/>
        <bgColor rgb="FF434343"/>
      </patternFill>
    </fill>
    <fill>
      <patternFill patternType="solid">
        <fgColor rgb="FFF4F7F9"/>
        <bgColor rgb="FFF4F7F9"/>
      </patternFill>
    </fill>
    <fill>
      <patternFill patternType="solid">
        <fgColor rgb="FFE0F4EA"/>
        <bgColor rgb="FFE0F4EA"/>
      </patternFill>
    </fill>
    <fill>
      <patternFill patternType="solid">
        <fgColor rgb="FF333333"/>
        <bgColor rgb="FF333333"/>
      </patternFill>
    </fill>
    <fill>
      <patternFill patternType="solid">
        <fgColor rgb="FF1E3989"/>
        <bgColor rgb="FF1E3989"/>
      </patternFill>
    </fill>
    <fill>
      <patternFill patternType="solid">
        <fgColor rgb="FFEDEDF4"/>
        <bgColor rgb="FFEDEDF4"/>
      </patternFill>
    </fill>
    <fill>
      <patternFill patternType="solid">
        <fgColor rgb="FFEDF0F6"/>
        <bgColor rgb="FFEDF0F6"/>
      </patternFill>
    </fill>
    <fill>
      <patternFill patternType="solid">
        <fgColor rgb="FF142D59"/>
        <bgColor rgb="FF142D59"/>
      </patternFill>
    </fill>
    <fill>
      <patternFill patternType="solid">
        <fgColor rgb="FF592D14"/>
        <bgColor rgb="FF592D14"/>
      </patternFill>
    </fill>
    <fill>
      <patternFill patternType="solid">
        <fgColor rgb="FF14472D"/>
        <bgColor rgb="FF14472D"/>
      </patternFill>
    </fill>
    <fill>
      <patternFill patternType="solid">
        <fgColor rgb="FF141E33"/>
        <bgColor rgb="FF141E33"/>
      </patternFill>
    </fill>
    <fill>
      <patternFill patternType="solid">
        <fgColor rgb="FF263F66"/>
        <bgColor rgb="FF263F66"/>
      </patternFill>
    </fill>
    <fill>
      <patternFill patternType="solid">
        <fgColor rgb="FF19263F"/>
        <bgColor rgb="FF19263F"/>
      </patternFill>
    </fill>
    <fill>
      <patternFill patternType="solid">
        <fgColor rgb="000F172A"/>
        <bgColor rgb="000F172A"/>
      </patternFill>
    </fill>
  </fills>
  <borders count="23">
    <border/>
    <border>
      <left style="thin">
        <color rgb="FFCBD5E1"/>
      </left>
      <top style="thin">
        <color rgb="FFCBD5E1"/>
      </top>
      <bottom style="thin">
        <color rgb="FFCBD5E1"/>
      </bottom>
    </border>
    <border>
      <top style="thin">
        <color rgb="FFCBD5E1"/>
      </top>
      <bottom style="thin">
        <color rgb="FFCBD5E1"/>
      </bottom>
    </border>
    <border>
      <right style="thin">
        <color rgb="FFCBD5E1"/>
      </right>
      <top style="thin">
        <color rgb="FFCBD5E1"/>
      </top>
      <bottom style="thin">
        <color rgb="FFCBD5E1"/>
      </bottom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  <border>
      <left style="medium">
        <color rgb="FF93C4F9"/>
      </left>
      <right style="medium">
        <color rgb="FF93C4F9"/>
      </right>
      <top style="medium">
        <color rgb="FF93C4F9"/>
      </top>
      <bottom style="medium">
        <color rgb="FF93C4F9"/>
      </bottom>
    </border>
    <border>
      <left style="thin">
        <color rgb="FFE0E8EF"/>
      </left>
      <right style="thin">
        <color rgb="FFE0E8EF"/>
      </right>
      <top style="thin">
        <color rgb="FFE0E8EF"/>
      </top>
      <bottom style="thin">
        <color rgb="FFE0E8EF"/>
      </bottom>
    </border>
    <border>
      <left style="medium">
        <color rgb="FFF9A5A5"/>
      </left>
      <right style="medium">
        <color rgb="FFF9A5A5"/>
      </right>
      <top style="medium">
        <color rgb="FFF9A5A5"/>
      </top>
      <bottom style="medium">
        <color rgb="FFF9A5A5"/>
      </bottom>
    </border>
    <border>
      <left style="medium">
        <color rgb="FFF9C460"/>
      </left>
      <right style="medium">
        <color rgb="FFF9C460"/>
      </right>
      <top style="medium">
        <color rgb="FFF9C460"/>
      </top>
      <bottom style="medium">
        <color rgb="FFF9C460"/>
      </bottom>
    </border>
    <border>
      <top style="thin">
        <color rgb="FFD8E0EA"/>
      </top>
      <bottom style="thin">
        <color rgb="FFD8E0EA"/>
      </bottom>
    </border>
    <border>
      <left style="medium">
        <color rgb="FFF9A5A5"/>
      </left>
      <right style="medium">
        <color rgb="FFF9A5A5"/>
      </right>
      <top style="medium">
        <color rgb="FFF9A5A5"/>
      </top>
    </border>
    <border>
      <left style="medium">
        <color rgb="FF6DD1A5"/>
      </left>
      <right style="medium">
        <color rgb="FF6DD1A5"/>
      </right>
      <top style="medium">
        <color rgb="FF6DD1A5"/>
      </top>
    </border>
    <border>
      <top style="thin">
        <color rgb="FFE0E8EF"/>
      </top>
      <bottom style="thin">
        <color rgb="FFE0E8EF"/>
      </bottom>
    </border>
    <border>
      <left style="medium">
        <color rgb="FFF9A5A5"/>
      </left>
      <right style="medium">
        <color rgb="FFF9A5A5"/>
      </right>
      <bottom style="medium">
        <color rgb="FFF9A5A5"/>
      </bottom>
    </border>
    <border>
      <left style="medium">
        <color rgb="FF6DD1A5"/>
      </left>
      <right style="medium">
        <color rgb="FF6DD1A5"/>
      </right>
      <bottom style="medium">
        <color rgb="FF6DD1A5"/>
      </bottom>
    </border>
    <border>
      <left style="medium">
        <color rgb="FF93C4F9"/>
      </left>
      <right style="medium">
        <color rgb="FF93C4F9"/>
      </right>
      <top style="thin">
        <color rgb="FFE0E8EF"/>
      </top>
      <bottom style="thin">
        <color rgb="FFE0E8EF"/>
      </bottom>
    </border>
    <border>
      <top style="medium">
        <color rgb="FF6DD1A5"/>
      </top>
      <bottom style="medium">
        <color rgb="FF6DD1A5"/>
      </bottom>
    </border>
    <border>
      <left style="medium">
        <color rgb="FF33598C"/>
      </left>
      <right style="medium">
        <color rgb="FF33598C"/>
      </right>
      <top style="medium">
        <color rgb="FF33598C"/>
      </top>
      <bottom style="medium">
        <color rgb="FF33598C"/>
      </bottom>
    </border>
    <border>
      <left style="thin">
        <color rgb="FFE0E8EF"/>
      </left>
      <right style="thin">
        <color rgb="FFE0E8EF"/>
      </right>
      <top style="medium">
        <color rgb="FF93C4F9"/>
      </top>
      <bottom style="thin">
        <color rgb="FFE0E8EF"/>
      </bottom>
    </border>
    <border>
      <left style="thin">
        <color rgb="FFCCD8E5"/>
      </left>
      <right style="thin">
        <color rgb="FFCCD8E5"/>
      </right>
      <top style="thin">
        <color rgb="FFCCD8E5"/>
      </top>
      <bottom style="thin">
        <color rgb="FFCCD8E5"/>
      </bottom>
    </border>
    <border>
      <top style="thin">
        <color rgb="FFCBD5E1"/>
      </top>
    </border>
    <border>
      <right style="thin">
        <color rgb="FFCBD5E1"/>
      </right>
      <top style="thin">
        <color rgb="FFCBD5E1"/>
      </top>
    </border>
    <border>
      <left style="thin">
        <color rgb="001E293B"/>
      </left>
      <right style="thin">
        <color rgb="001E293B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498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0" borderId="2" pivotButton="0" quotePrefix="0" xfId="0"/>
    <xf numFmtId="0" fontId="1" fillId="2" borderId="0" applyAlignment="1" pivotButton="0" quotePrefix="0" xfId="0">
      <alignment horizontal="center" vertical="center"/>
    </xf>
    <xf numFmtId="0" fontId="5" fillId="0" borderId="3" pivotButton="0" quotePrefix="0" xfId="0"/>
    <xf numFmtId="0" fontId="6" fillId="5" borderId="0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 vertical="center"/>
    </xf>
    <xf numFmtId="0" fontId="8" fillId="7" borderId="4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9" fillId="8" borderId="0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11" fillId="9" borderId="4" applyAlignment="1" pivotButton="0" quotePrefix="0" xfId="0">
      <alignment horizontal="center" vertical="center"/>
    </xf>
    <xf numFmtId="0" fontId="12" fillId="10" borderId="0" applyAlignment="1" pivotButton="0" quotePrefix="0" xfId="0">
      <alignment horizontal="center" vertical="center"/>
    </xf>
    <xf numFmtId="0" fontId="13" fillId="11" borderId="0" applyAlignment="1" pivotButton="0" quotePrefix="0" xfId="0">
      <alignment horizontal="center" vertical="center"/>
    </xf>
    <xf numFmtId="0" fontId="14" fillId="8" borderId="0" applyAlignment="1" pivotButton="0" quotePrefix="0" xfId="0">
      <alignment horizontal="center" vertical="center"/>
    </xf>
    <xf numFmtId="0" fontId="6" fillId="12" borderId="0" applyAlignment="1" pivotButton="0" quotePrefix="0" xfId="0">
      <alignment horizontal="left" vertical="center"/>
    </xf>
    <xf numFmtId="0" fontId="15" fillId="7" borderId="0" applyAlignment="1" pivotButton="0" quotePrefix="0" xfId="0">
      <alignment horizontal="center" vertical="center"/>
    </xf>
    <xf numFmtId="0" fontId="16" fillId="10" borderId="0" applyAlignment="1" pivotButton="0" quotePrefix="0" xfId="0">
      <alignment horizontal="center" vertical="center"/>
    </xf>
    <xf numFmtId="0" fontId="17" fillId="11" borderId="0" applyAlignment="1" pivotButton="0" quotePrefix="0" xfId="0">
      <alignment horizontal="center" vertical="center"/>
    </xf>
    <xf numFmtId="0" fontId="18" fillId="11" borderId="0" applyAlignment="1" pivotButton="0" quotePrefix="0" xfId="0">
      <alignment horizontal="center" vertical="center"/>
    </xf>
    <xf numFmtId="0" fontId="19" fillId="0" borderId="0" pivotButton="0" quotePrefix="0" xfId="0"/>
    <xf numFmtId="0" fontId="20" fillId="13" borderId="4" applyAlignment="1" pivotButton="0" quotePrefix="0" xfId="0">
      <alignment horizontal="center" vertical="center"/>
    </xf>
    <xf numFmtId="0" fontId="21" fillId="7" borderId="0" applyAlignment="1" pivotButton="0" quotePrefix="0" xfId="0">
      <alignment horizontal="left" vertical="center"/>
    </xf>
    <xf numFmtId="0" fontId="7" fillId="14" borderId="4" applyAlignment="1" pivotButton="0" quotePrefix="0" xfId="0">
      <alignment horizontal="center" vertical="center" wrapText="1"/>
    </xf>
    <xf numFmtId="164" fontId="22" fillId="15" borderId="0" applyAlignment="1" pivotButton="0" quotePrefix="0" xfId="0">
      <alignment horizontal="center" vertical="center"/>
    </xf>
    <xf numFmtId="0" fontId="6" fillId="0" borderId="0" pivotButton="0" quotePrefix="0" xfId="0"/>
    <xf numFmtId="0" fontId="7" fillId="14" borderId="1" applyAlignment="1" pivotButton="0" quotePrefix="0" xfId="0">
      <alignment horizontal="center" vertical="center" wrapText="1"/>
    </xf>
    <xf numFmtId="0" fontId="23" fillId="0" borderId="0" pivotButton="0" quotePrefix="0" xfId="0"/>
    <xf numFmtId="164" fontId="24" fillId="16" borderId="0" applyAlignment="1" pivotButton="0" quotePrefix="0" xfId="0">
      <alignment horizontal="center" vertical="center"/>
    </xf>
    <xf numFmtId="0" fontId="25" fillId="4" borderId="0" applyAlignment="1" pivotButton="0" quotePrefix="0" xfId="0">
      <alignment vertical="center"/>
    </xf>
    <xf numFmtId="0" fontId="26" fillId="0" borderId="4" applyAlignment="1" pivotButton="0" quotePrefix="1" xfId="0">
      <alignment horizontal="center" vertical="center"/>
    </xf>
    <xf numFmtId="0" fontId="25" fillId="4" borderId="0" applyAlignment="1" pivotButton="0" quotePrefix="0" xfId="0">
      <alignment vertical="center"/>
    </xf>
    <xf numFmtId="0" fontId="27" fillId="17" borderId="0" applyAlignment="1" pivotButton="0" quotePrefix="0" xfId="0">
      <alignment horizontal="center" vertical="center"/>
    </xf>
    <xf numFmtId="0" fontId="28" fillId="18" borderId="4" applyAlignment="1" pivotButton="0" quotePrefix="0" xfId="0">
      <alignment horizontal="left" vertical="center"/>
    </xf>
    <xf numFmtId="0" fontId="6" fillId="0" borderId="0" pivotButton="0" quotePrefix="0" xfId="0"/>
    <xf numFmtId="0" fontId="29" fillId="17" borderId="5" applyAlignment="1" pivotButton="0" quotePrefix="0" xfId="0">
      <alignment horizontal="center"/>
    </xf>
    <xf numFmtId="0" fontId="26" fillId="0" borderId="4" applyAlignment="1" pivotButton="0" quotePrefix="0" xfId="0">
      <alignment horizontal="center" vertical="center"/>
    </xf>
    <xf numFmtId="0" fontId="30" fillId="18" borderId="6" applyAlignment="1" pivotButton="0" quotePrefix="0" xfId="0">
      <alignment vertical="center"/>
    </xf>
    <xf numFmtId="0" fontId="31" fillId="19" borderId="7" applyAlignment="1" pivotButton="0" quotePrefix="0" xfId="0">
      <alignment horizontal="center"/>
    </xf>
    <xf numFmtId="0" fontId="32" fillId="0" borderId="4" applyAlignment="1" pivotButton="0" quotePrefix="0" xfId="0">
      <alignment horizontal="right" vertical="center"/>
    </xf>
    <xf numFmtId="164" fontId="33" fillId="20" borderId="0" applyAlignment="1" pivotButton="0" quotePrefix="0" xfId="0">
      <alignment horizontal="center"/>
    </xf>
    <xf numFmtId="0" fontId="34" fillId="21" borderId="8" applyAlignment="1" pivotButton="0" quotePrefix="0" xfId="0">
      <alignment horizontal="center"/>
    </xf>
    <xf numFmtId="0" fontId="35" fillId="0" borderId="4" applyAlignment="1" pivotButton="0" quotePrefix="0" xfId="0">
      <alignment horizontal="center" vertical="center"/>
    </xf>
    <xf numFmtId="0" fontId="19" fillId="0" borderId="0" pivotButton="0" quotePrefix="0" xfId="0"/>
    <xf numFmtId="0" fontId="28" fillId="18" borderId="1" applyAlignment="1" pivotButton="0" quotePrefix="0" xfId="0">
      <alignment horizontal="left" vertical="center"/>
    </xf>
    <xf numFmtId="0" fontId="36" fillId="21" borderId="8" applyAlignment="1" pivotButton="0" quotePrefix="0" xfId="0">
      <alignment horizontal="center" vertical="center"/>
    </xf>
    <xf numFmtId="0" fontId="37" fillId="18" borderId="6" applyAlignment="1" pivotButton="0" quotePrefix="0" xfId="0">
      <alignment vertical="center"/>
    </xf>
    <xf numFmtId="0" fontId="25" fillId="22" borderId="0" applyAlignment="1" pivotButton="0" quotePrefix="0" xfId="0">
      <alignment horizontal="center" vertical="center"/>
    </xf>
    <xf numFmtId="0" fontId="25" fillId="22" borderId="0" applyAlignment="1" pivotButton="0" quotePrefix="0" xfId="0">
      <alignment horizontal="center" vertical="center" wrapText="1"/>
    </xf>
    <xf numFmtId="0" fontId="38" fillId="23" borderId="0" applyAlignment="1" pivotButton="0" quotePrefix="0" xfId="0">
      <alignment horizontal="center" vertical="center" wrapText="1"/>
    </xf>
    <xf numFmtId="164" fontId="39" fillId="18" borderId="6" applyAlignment="1" pivotButton="0" quotePrefix="0" xfId="0">
      <alignment vertical="center"/>
    </xf>
    <xf numFmtId="0" fontId="22" fillId="15" borderId="5" applyAlignment="1" pivotButton="0" quotePrefix="0" xfId="0">
      <alignment horizontal="center" vertical="center"/>
    </xf>
    <xf numFmtId="0" fontId="19" fillId="24" borderId="9" applyAlignment="1" pivotButton="0" quotePrefix="0" xfId="0">
      <alignment vertical="center"/>
    </xf>
    <xf numFmtId="0" fontId="19" fillId="24" borderId="9" applyAlignment="1" pivotButton="0" quotePrefix="0" xfId="0">
      <alignment vertical="center" wrapText="1"/>
    </xf>
    <xf numFmtId="164" fontId="6" fillId="0" borderId="0" pivotButton="0" quotePrefix="0" xfId="0"/>
    <xf numFmtId="0" fontId="22" fillId="15" borderId="7" applyAlignment="1" pivotButton="0" quotePrefix="0" xfId="0">
      <alignment horizontal="center" vertical="center"/>
    </xf>
    <xf numFmtId="0" fontId="30" fillId="25" borderId="6" applyAlignment="1" pivotButton="0" quotePrefix="0" xfId="0">
      <alignment vertical="center"/>
    </xf>
    <xf numFmtId="164" fontId="40" fillId="24" borderId="9" applyAlignment="1" pivotButton="0" quotePrefix="0" xfId="0">
      <alignment horizontal="right" vertical="center" wrapText="1"/>
    </xf>
    <xf numFmtId="164" fontId="36" fillId="21" borderId="8" applyAlignment="1" pivotButton="0" quotePrefix="0" xfId="0">
      <alignment horizontal="center" vertical="center"/>
    </xf>
    <xf numFmtId="164" fontId="41" fillId="10" borderId="8" applyAlignment="1" pivotButton="0" quotePrefix="0" xfId="0">
      <alignment horizontal="center" vertical="center"/>
    </xf>
    <xf numFmtId="0" fontId="37" fillId="25" borderId="6" applyAlignment="1" pivotButton="0" quotePrefix="0" xfId="0">
      <alignment vertical="center"/>
    </xf>
    <xf numFmtId="0" fontId="19" fillId="18" borderId="9" applyAlignment="1" pivotButton="0" quotePrefix="0" xfId="0">
      <alignment vertical="center"/>
    </xf>
    <xf numFmtId="0" fontId="42" fillId="19" borderId="7" pivotButton="0" quotePrefix="0" xfId="0"/>
    <xf numFmtId="0" fontId="19" fillId="18" borderId="9" applyAlignment="1" pivotButton="0" quotePrefix="0" xfId="0">
      <alignment vertical="center" wrapText="1"/>
    </xf>
    <xf numFmtId="165" fontId="43" fillId="25" borderId="6" applyAlignment="1" pivotButton="0" quotePrefix="0" xfId="0">
      <alignment horizontal="center" vertical="center"/>
    </xf>
    <xf numFmtId="0" fontId="44" fillId="8" borderId="1" applyAlignment="1" pivotButton="0" quotePrefix="0" xfId="0">
      <alignment horizontal="left" vertical="center"/>
    </xf>
    <xf numFmtId="164" fontId="40" fillId="18" borderId="9" applyAlignment="1" pivotButton="0" quotePrefix="0" xfId="0">
      <alignment horizontal="right" vertical="center" wrapText="1"/>
    </xf>
    <xf numFmtId="0" fontId="35" fillId="0" borderId="4" applyAlignment="1" pivotButton="0" quotePrefix="1" xfId="0">
      <alignment horizontal="center" vertical="center"/>
    </xf>
    <xf numFmtId="0" fontId="44" fillId="8" borderId="4" applyAlignment="1" pivotButton="0" quotePrefix="0" xfId="0">
      <alignment horizontal="left" vertical="center"/>
    </xf>
    <xf numFmtId="164" fontId="45" fillId="18" borderId="6" applyAlignment="1" pivotButton="0" quotePrefix="0" xfId="0">
      <alignment vertical="center"/>
    </xf>
    <xf numFmtId="0" fontId="19" fillId="18" borderId="9" applyAlignment="1" pivotButton="0" quotePrefix="0" xfId="0">
      <alignment vertical="center" wrapText="1"/>
    </xf>
    <xf numFmtId="0" fontId="46" fillId="25" borderId="6" applyAlignment="1" pivotButton="0" quotePrefix="0" xfId="0">
      <alignment vertical="center"/>
    </xf>
    <xf numFmtId="164" fontId="46" fillId="25" borderId="6" applyAlignment="1" pivotButton="0" quotePrefix="0" xfId="0">
      <alignment vertical="center"/>
    </xf>
    <xf numFmtId="0" fontId="25" fillId="22" borderId="0" applyAlignment="1" pivotButton="0" quotePrefix="0" xfId="0">
      <alignment vertical="center"/>
    </xf>
    <xf numFmtId="0" fontId="25" fillId="22" borderId="0" applyAlignment="1" pivotButton="0" quotePrefix="0" xfId="0">
      <alignment vertical="center"/>
    </xf>
    <xf numFmtId="0" fontId="31" fillId="19" borderId="10" applyAlignment="1" pivotButton="0" quotePrefix="0" xfId="0">
      <alignment horizontal="center" vertical="center"/>
    </xf>
    <xf numFmtId="0" fontId="47" fillId="0" borderId="0" pivotButton="0" quotePrefix="0" xfId="0"/>
    <xf numFmtId="0" fontId="48" fillId="26" borderId="11" applyAlignment="1" pivotButton="0" quotePrefix="0" xfId="0">
      <alignment horizontal="center" vertical="center"/>
    </xf>
    <xf numFmtId="0" fontId="49" fillId="13" borderId="0" applyAlignment="1" pivotButton="0" quotePrefix="0" xfId="0">
      <alignment horizontal="center" vertical="center"/>
    </xf>
    <xf numFmtId="0" fontId="49" fillId="13" borderId="0" applyAlignment="1" pivotButton="0" quotePrefix="0" xfId="0">
      <alignment horizontal="center" vertical="center" wrapText="1"/>
    </xf>
    <xf numFmtId="0" fontId="50" fillId="18" borderId="12" applyAlignment="1" pivotButton="0" quotePrefix="0" xfId="0">
      <alignment vertical="center"/>
    </xf>
    <xf numFmtId="164" fontId="51" fillId="19" borderId="13" applyAlignment="1" pivotButton="0" quotePrefix="0" xfId="0">
      <alignment horizontal="center" vertical="center"/>
    </xf>
    <xf numFmtId="0" fontId="35" fillId="0" borderId="4" applyAlignment="1" pivotButton="0" quotePrefix="0" xfId="0">
      <alignment horizontal="right" vertical="center"/>
    </xf>
    <xf numFmtId="0" fontId="52" fillId="18" borderId="12" applyAlignment="1" pivotButton="0" quotePrefix="0" xfId="0">
      <alignment vertical="center" wrapText="1"/>
    </xf>
    <xf numFmtId="0" fontId="53" fillId="18" borderId="12" applyAlignment="1" pivotButton="0" quotePrefix="0" xfId="0">
      <alignment vertical="center" wrapText="1"/>
    </xf>
    <xf numFmtId="164" fontId="54" fillId="26" borderId="14" applyAlignment="1" pivotButton="0" quotePrefix="0" xfId="0">
      <alignment horizontal="center" vertical="center"/>
    </xf>
    <xf numFmtId="0" fontId="55" fillId="18" borderId="9" applyAlignment="1" pivotButton="0" quotePrefix="0" xfId="0">
      <alignment vertical="center"/>
    </xf>
    <xf numFmtId="0" fontId="55" fillId="18" borderId="9" applyAlignment="1" pivotButton="0" quotePrefix="0" xfId="0">
      <alignment vertical="center" wrapText="1"/>
    </xf>
    <xf numFmtId="164" fontId="56" fillId="26" borderId="14" applyAlignment="1" pivotButton="0" quotePrefix="0" xfId="0">
      <alignment horizontal="center" vertical="center"/>
    </xf>
    <xf numFmtId="164" fontId="57" fillId="18" borderId="12" applyAlignment="1" pivotButton="0" quotePrefix="0" xfId="0">
      <alignment horizontal="right" vertical="center" wrapText="1"/>
    </xf>
    <xf numFmtId="0" fontId="58" fillId="18" borderId="12" applyAlignment="1" pivotButton="0" quotePrefix="0" xfId="0">
      <alignment vertical="center" wrapText="1"/>
    </xf>
    <xf numFmtId="0" fontId="59" fillId="18" borderId="12" applyAlignment="1" pivotButton="0" quotePrefix="0" xfId="0">
      <alignment vertical="center" wrapText="1"/>
    </xf>
    <xf numFmtId="0" fontId="50" fillId="18" borderId="12" applyAlignment="1" pivotButton="0" quotePrefix="0" xfId="0">
      <alignment vertical="center" wrapText="1"/>
    </xf>
    <xf numFmtId="0" fontId="57" fillId="18" borderId="12" applyAlignment="1" pivotButton="0" quotePrefix="0" xfId="0">
      <alignment vertical="center" wrapText="1"/>
    </xf>
    <xf numFmtId="0" fontId="37" fillId="18" borderId="12" applyAlignment="1" pivotButton="0" quotePrefix="0" xfId="0">
      <alignment vertical="center" wrapText="1"/>
    </xf>
    <xf numFmtId="0" fontId="60" fillId="17" borderId="15" applyAlignment="1" pivotButton="0" quotePrefix="0" xfId="0">
      <alignment vertical="center" wrapText="1"/>
    </xf>
    <xf numFmtId="0" fontId="50" fillId="25" borderId="12" applyAlignment="1" pivotButton="0" quotePrefix="0" xfId="0">
      <alignment vertical="center"/>
    </xf>
    <xf numFmtId="0" fontId="61" fillId="27" borderId="0" pivotButton="0" quotePrefix="0" xfId="0"/>
    <xf numFmtId="0" fontId="61" fillId="27" borderId="0" applyAlignment="1" pivotButton="0" quotePrefix="0" xfId="0">
      <alignment vertical="center" wrapText="1"/>
    </xf>
    <xf numFmtId="164" fontId="62" fillId="18" borderId="12" applyAlignment="1" pivotButton="0" quotePrefix="0" xfId="0">
      <alignment horizontal="right" vertical="center" wrapText="1"/>
    </xf>
    <xf numFmtId="0" fontId="61" fillId="27" borderId="0" applyAlignment="1" pivotButton="0" quotePrefix="0" xfId="0">
      <alignment vertical="center" wrapText="1"/>
    </xf>
    <xf numFmtId="0" fontId="63" fillId="18" borderId="12" applyAlignment="1" pivotButton="0" quotePrefix="0" xfId="0">
      <alignment vertical="center" wrapText="1"/>
    </xf>
    <xf numFmtId="0" fontId="64" fillId="25" borderId="12" applyAlignment="1" pivotButton="0" quotePrefix="0" xfId="0">
      <alignment vertical="center" wrapText="1"/>
    </xf>
    <xf numFmtId="164" fontId="40" fillId="27" borderId="0" applyAlignment="1" pivotButton="0" quotePrefix="0" xfId="0">
      <alignment horizontal="right" vertical="center" wrapText="1"/>
    </xf>
    <xf numFmtId="0" fontId="50" fillId="25" borderId="12" applyAlignment="1" pivotButton="0" quotePrefix="0" xfId="0">
      <alignment vertical="center" wrapText="1"/>
    </xf>
    <xf numFmtId="0" fontId="53" fillId="25" borderId="12" applyAlignment="1" pivotButton="0" quotePrefix="0" xfId="0">
      <alignment vertical="center" wrapText="1"/>
    </xf>
    <xf numFmtId="0" fontId="57" fillId="25" borderId="12" applyAlignment="1" pivotButton="0" quotePrefix="0" xfId="0">
      <alignment vertical="center" wrapText="1"/>
    </xf>
    <xf numFmtId="0" fontId="25" fillId="28" borderId="0" applyAlignment="1" pivotButton="0" quotePrefix="0" xfId="0">
      <alignment vertical="center" wrapText="1"/>
    </xf>
    <xf numFmtId="0" fontId="37" fillId="25" borderId="12" applyAlignment="1" pivotButton="0" quotePrefix="0" xfId="0">
      <alignment vertical="center" wrapText="1"/>
    </xf>
    <xf numFmtId="164" fontId="25" fillId="28" borderId="0" applyAlignment="1" pivotButton="0" quotePrefix="0" xfId="0">
      <alignment horizontal="right" vertical="center" wrapText="1"/>
    </xf>
    <xf numFmtId="0" fontId="25" fillId="28" borderId="0" applyAlignment="1" pivotButton="0" quotePrefix="0" xfId="0">
      <alignment vertical="center" wrapText="1"/>
    </xf>
    <xf numFmtId="164" fontId="57" fillId="25" borderId="12" applyAlignment="1" pivotButton="0" quotePrefix="0" xfId="0">
      <alignment horizontal="right" vertical="center" wrapText="1"/>
    </xf>
    <xf numFmtId="0" fontId="25" fillId="28" borderId="0" applyAlignment="1" pivotButton="0" quotePrefix="0" xfId="0">
      <alignment vertical="center"/>
    </xf>
    <xf numFmtId="0" fontId="58" fillId="25" borderId="12" applyAlignment="1" pivotButton="0" quotePrefix="0" xfId="0">
      <alignment vertical="center" wrapText="1"/>
    </xf>
    <xf numFmtId="0" fontId="19" fillId="0" borderId="0" applyAlignment="1" pivotButton="0" quotePrefix="0" xfId="0">
      <alignment vertical="center" wrapText="1"/>
    </xf>
    <xf numFmtId="0" fontId="59" fillId="25" borderId="12" applyAlignment="1" pivotButton="0" quotePrefix="0" xfId="0">
      <alignment vertical="center" wrapText="1"/>
    </xf>
    <xf numFmtId="164" fontId="65" fillId="0" borderId="0" applyAlignment="1" pivotButton="0" quotePrefix="0" xfId="0">
      <alignment horizontal="right" vertical="center" wrapText="1"/>
    </xf>
    <xf numFmtId="164" fontId="19" fillId="0" borderId="0" applyAlignment="1" pivotButton="0" quotePrefix="0" xfId="0">
      <alignment vertical="center" wrapText="1"/>
    </xf>
    <xf numFmtId="0" fontId="19" fillId="0" borderId="0" applyAlignment="1" pivotButton="0" quotePrefix="0" xfId="0">
      <alignment vertical="center" wrapText="1"/>
    </xf>
    <xf numFmtId="164" fontId="62" fillId="25" borderId="12" applyAlignment="1" pivotButton="0" quotePrefix="0" xfId="0">
      <alignment horizontal="right" vertical="center" wrapText="1"/>
    </xf>
    <xf numFmtId="0" fontId="66" fillId="29" borderId="0" applyAlignment="1" pivotButton="0" quotePrefix="0" xfId="0">
      <alignment horizontal="center" vertical="center"/>
    </xf>
    <xf numFmtId="0" fontId="66" fillId="29" borderId="0" applyAlignment="1" pivotButton="0" quotePrefix="0" xfId="0">
      <alignment horizontal="center" vertical="center"/>
    </xf>
    <xf numFmtId="0" fontId="63" fillId="25" borderId="12" applyAlignment="1" pivotButton="0" quotePrefix="0" xfId="0">
      <alignment vertical="center" wrapText="1"/>
    </xf>
    <xf numFmtId="0" fontId="67" fillId="0" borderId="0" applyAlignment="1" pivotButton="0" quotePrefix="0" xfId="0">
      <alignment horizontal="center" vertical="center"/>
    </xf>
    <xf numFmtId="0" fontId="68" fillId="0" borderId="0" applyAlignment="1" pivotButton="0" quotePrefix="0" xfId="0">
      <alignment horizontal="center" vertical="center"/>
    </xf>
    <xf numFmtId="0" fontId="6" fillId="26" borderId="16" applyAlignment="1" pivotButton="0" quotePrefix="0" xfId="0">
      <alignment vertical="center" wrapText="1"/>
    </xf>
    <xf numFmtId="0" fontId="57" fillId="26" borderId="16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164" fontId="69" fillId="26" borderId="16" applyAlignment="1" pivotButton="0" quotePrefix="0" xfId="0">
      <alignment horizontal="right" vertical="center" wrapText="1"/>
    </xf>
    <xf numFmtId="164" fontId="6" fillId="0" borderId="0" applyAlignment="1" pivotButton="0" quotePrefix="0" xfId="0">
      <alignment horizontal="right" vertical="center" wrapText="1"/>
    </xf>
    <xf numFmtId="0" fontId="70" fillId="26" borderId="16" applyAlignment="1" pivotButton="0" quotePrefix="0" xfId="0">
      <alignment vertical="center" wrapText="1"/>
    </xf>
    <xf numFmtId="0" fontId="6" fillId="30" borderId="0" pivotButton="0" quotePrefix="0" xfId="0"/>
    <xf numFmtId="0" fontId="6" fillId="30" borderId="0" pivotButton="0" quotePrefix="0" xfId="0"/>
    <xf numFmtId="0" fontId="28" fillId="18" borderId="4" applyAlignment="1" pivotButton="0" quotePrefix="0" xfId="0">
      <alignment horizontal="left" vertical="center" wrapText="1"/>
    </xf>
    <xf numFmtId="0" fontId="71" fillId="31" borderId="0" applyAlignment="1" pivotButton="0" quotePrefix="0" xfId="0">
      <alignment horizontal="center" vertical="center" wrapText="1"/>
    </xf>
    <xf numFmtId="0" fontId="71" fillId="31" borderId="0" applyAlignment="1" pivotButton="0" quotePrefix="0" xfId="0">
      <alignment horizontal="center" vertical="center" wrapText="1"/>
    </xf>
    <xf numFmtId="0" fontId="71" fillId="31" borderId="0" applyAlignment="1" pivotButton="0" quotePrefix="0" xfId="0">
      <alignment vertical="center"/>
    </xf>
    <xf numFmtId="0" fontId="6" fillId="24" borderId="0" applyAlignment="1" pivotButton="0" quotePrefix="0" xfId="0">
      <alignment vertical="center" wrapText="1"/>
    </xf>
    <xf numFmtId="0" fontId="72" fillId="29" borderId="0" applyAlignment="1" pivotButton="0" quotePrefix="0" xfId="0">
      <alignment horizontal="center" vertical="center"/>
    </xf>
    <xf numFmtId="0" fontId="32" fillId="0" borderId="1" applyAlignment="1" pivotButton="0" quotePrefix="0" xfId="0">
      <alignment horizontal="left" vertical="center"/>
    </xf>
    <xf numFmtId="0" fontId="68" fillId="0" borderId="0" applyAlignment="1" pivotButton="0" quotePrefix="0" xfId="0">
      <alignment horizontal="center" vertical="center"/>
    </xf>
    <xf numFmtId="0" fontId="28" fillId="18" borderId="1" applyAlignment="1" pivotButton="0" quotePrefix="0" xfId="0">
      <alignment horizontal="left" vertical="center" wrapText="1"/>
    </xf>
    <xf numFmtId="0" fontId="6" fillId="32" borderId="0" applyAlignment="1" pivotButton="0" quotePrefix="0" xfId="0">
      <alignment vertical="center" wrapText="1"/>
    </xf>
    <xf numFmtId="0" fontId="35" fillId="10" borderId="1" applyAlignment="1" pivotButton="0" quotePrefix="0" xfId="0">
      <alignment horizontal="left" vertical="center"/>
    </xf>
    <xf numFmtId="0" fontId="73" fillId="33" borderId="0" applyAlignment="1" pivotButton="0" quotePrefix="0" xfId="0">
      <alignment horizontal="center" vertical="center"/>
    </xf>
    <xf numFmtId="0" fontId="73" fillId="33" borderId="0" applyAlignment="1" pivotButton="0" quotePrefix="0" xfId="0">
      <alignment horizontal="center" vertical="center"/>
    </xf>
    <xf numFmtId="0" fontId="73" fillId="33" borderId="0" applyAlignment="1" pivotButton="0" quotePrefix="0" xfId="0">
      <alignment vertical="center"/>
    </xf>
    <xf numFmtId="0" fontId="74" fillId="34" borderId="4" applyAlignment="1" pivotButton="0" quotePrefix="0" xfId="0">
      <alignment horizontal="center" vertical="center"/>
    </xf>
    <xf numFmtId="0" fontId="38" fillId="35" borderId="0" applyAlignment="1" pivotButton="0" quotePrefix="0" xfId="0">
      <alignment horizontal="center"/>
    </xf>
    <xf numFmtId="0" fontId="75" fillId="34" borderId="4" applyAlignment="1" pivotButton="0" quotePrefix="0" xfId="0">
      <alignment horizontal="center" vertical="center"/>
    </xf>
    <xf numFmtId="166" fontId="19" fillId="0" borderId="0" pivotButton="0" quotePrefix="0" xfId="0"/>
    <xf numFmtId="0" fontId="76" fillId="7" borderId="4" applyAlignment="1" pivotButton="0" quotePrefix="0" xfId="0">
      <alignment horizontal="center" vertical="center"/>
    </xf>
    <xf numFmtId="165" fontId="19" fillId="0" borderId="0" pivotButton="0" quotePrefix="0" xfId="0"/>
    <xf numFmtId="0" fontId="35" fillId="0" borderId="4" applyAlignment="1" pivotButton="0" quotePrefix="0" xfId="0">
      <alignment horizontal="left" vertical="center"/>
    </xf>
    <xf numFmtId="167" fontId="19" fillId="0" borderId="0" pivotButton="0" quotePrefix="0" xfId="0"/>
    <xf numFmtId="0" fontId="77" fillId="0" borderId="1" applyAlignment="1" pivotButton="0" quotePrefix="0" xfId="0">
      <alignment horizontal="left" vertical="center"/>
    </xf>
    <xf numFmtId="0" fontId="35" fillId="0" borderId="1" applyAlignment="1" pivotButton="0" quotePrefix="0" xfId="0">
      <alignment horizontal="left" vertical="center"/>
    </xf>
    <xf numFmtId="0" fontId="78" fillId="7" borderId="0" applyAlignment="1" pivotButton="0" quotePrefix="0" xfId="0">
      <alignment horizontal="center" vertical="center"/>
    </xf>
    <xf numFmtId="0" fontId="79" fillId="0" borderId="4" applyAlignment="1" pivotButton="0" quotePrefix="0" xfId="0">
      <alignment horizontal="left" vertical="center"/>
    </xf>
    <xf numFmtId="0" fontId="80" fillId="36" borderId="0" applyAlignment="1" pivotButton="0" quotePrefix="0" xfId="0">
      <alignment horizontal="center" vertical="center"/>
    </xf>
    <xf numFmtId="0" fontId="79" fillId="0" borderId="4" applyAlignment="1" pivotButton="0" quotePrefix="0" xfId="0">
      <alignment horizontal="center" vertical="center"/>
    </xf>
    <xf numFmtId="0" fontId="6" fillId="37" borderId="0" pivotButton="0" quotePrefix="0" xfId="0"/>
    <xf numFmtId="0" fontId="81" fillId="13" borderId="0" applyAlignment="1" pivotButton="0" quotePrefix="0" xfId="0">
      <alignment horizontal="center" vertical="center"/>
    </xf>
    <xf numFmtId="167" fontId="24" fillId="16" borderId="0" applyAlignment="1" pivotButton="0" quotePrefix="0" xfId="0">
      <alignment horizontal="center" vertical="center"/>
    </xf>
    <xf numFmtId="0" fontId="49" fillId="35" borderId="0" applyAlignment="1" pivotButton="0" quotePrefix="0" xfId="0">
      <alignment horizontal="center" vertical="center"/>
    </xf>
    <xf numFmtId="165" fontId="24" fillId="16" borderId="0" applyAlignment="1" pivotButton="0" quotePrefix="0" xfId="0">
      <alignment horizontal="center" vertical="center"/>
    </xf>
    <xf numFmtId="0" fontId="6" fillId="38" borderId="0" pivotButton="0" quotePrefix="0" xfId="0"/>
    <xf numFmtId="167" fontId="82" fillId="8" borderId="0" applyAlignment="1" pivotButton="0" quotePrefix="0" xfId="0">
      <alignment horizontal="center" vertical="center"/>
    </xf>
    <xf numFmtId="0" fontId="6" fillId="39" borderId="0" applyAlignment="1" pivotButton="0" quotePrefix="0" xfId="0">
      <alignment horizontal="center"/>
    </xf>
    <xf numFmtId="0" fontId="83" fillId="18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84" fillId="0" borderId="1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/>
    </xf>
    <xf numFmtId="167" fontId="85" fillId="10" borderId="0" applyAlignment="1" pivotButton="0" quotePrefix="0" xfId="0">
      <alignment horizontal="center" vertical="center"/>
    </xf>
    <xf numFmtId="0" fontId="7" fillId="13" borderId="0" applyAlignment="1" pivotButton="0" quotePrefix="0" xfId="0">
      <alignment horizontal="center" vertical="center"/>
    </xf>
    <xf numFmtId="0" fontId="6" fillId="37" borderId="0" applyAlignment="1" pivotButton="0" quotePrefix="0" xfId="0">
      <alignment vertical="center" wrapText="1"/>
    </xf>
    <xf numFmtId="167" fontId="6" fillId="38" borderId="0" applyAlignment="1" pivotButton="0" quotePrefix="0" xfId="0">
      <alignment vertical="center" wrapText="1"/>
    </xf>
    <xf numFmtId="3" fontId="22" fillId="15" borderId="0" applyAlignment="1" pivotButton="0" quotePrefix="0" xfId="0">
      <alignment horizontal="center" vertical="center"/>
    </xf>
    <xf numFmtId="0" fontId="7" fillId="13" borderId="0" applyAlignment="1" pivotButton="0" quotePrefix="0" xfId="0">
      <alignment horizontal="right" vertical="center"/>
    </xf>
    <xf numFmtId="0" fontId="86" fillId="40" borderId="0" applyAlignment="1" pivotButton="0" quotePrefix="0" xfId="0">
      <alignment horizontal="center" vertical="center"/>
    </xf>
    <xf numFmtId="165" fontId="47" fillId="25" borderId="0" applyAlignment="1" pivotButton="0" quotePrefix="0" xfId="0">
      <alignment horizontal="center" vertical="center"/>
    </xf>
    <xf numFmtId="0" fontId="7" fillId="41" borderId="0" applyAlignment="1" pivotButton="0" quotePrefix="0" xfId="0">
      <alignment horizontal="center" vertical="center"/>
    </xf>
    <xf numFmtId="0" fontId="87" fillId="9" borderId="0" applyAlignment="1" pivotButton="0" quotePrefix="0" xfId="0">
      <alignment horizontal="right" vertical="center" wrapText="1"/>
    </xf>
    <xf numFmtId="0" fontId="81" fillId="42" borderId="0" applyAlignment="1" pivotButton="0" quotePrefix="0" xfId="0">
      <alignment horizontal="center" vertical="center"/>
    </xf>
    <xf numFmtId="0" fontId="81" fillId="42" borderId="0" applyAlignment="1" pivotButton="0" quotePrefix="0" xfId="0">
      <alignment horizontal="center" vertical="center"/>
    </xf>
    <xf numFmtId="0" fontId="88" fillId="43" borderId="17" applyAlignment="1" pivotButton="0" quotePrefix="0" xfId="0">
      <alignment horizontal="center" vertical="center" wrapText="1"/>
    </xf>
    <xf numFmtId="0" fontId="89" fillId="43" borderId="17" applyAlignment="1" pivotButton="0" quotePrefix="0" xfId="0">
      <alignment horizontal="center" vertical="center" wrapText="1"/>
    </xf>
    <xf numFmtId="0" fontId="57" fillId="43" borderId="17" applyAlignment="1" pivotButton="0" quotePrefix="0" xfId="0">
      <alignment horizontal="center" vertical="center" wrapText="1"/>
    </xf>
    <xf numFmtId="0" fontId="90" fillId="13" borderId="0" applyAlignment="1" pivotButton="0" quotePrefix="0" xfId="0">
      <alignment horizontal="right" vertical="center"/>
    </xf>
    <xf numFmtId="0" fontId="91" fillId="44" borderId="0" applyAlignment="1" pivotButton="0" quotePrefix="0" xfId="0">
      <alignment horizontal="center" vertical="center"/>
    </xf>
    <xf numFmtId="0" fontId="92" fillId="0" borderId="0" applyAlignment="1" pivotButton="0" quotePrefix="0" xfId="0">
      <alignment vertical="center"/>
    </xf>
    <xf numFmtId="3" fontId="19" fillId="0" borderId="0" pivotButton="0" quotePrefix="0" xfId="0"/>
    <xf numFmtId="0" fontId="93" fillId="0" borderId="0" pivotButton="0" quotePrefix="0" xfId="0"/>
    <xf numFmtId="0" fontId="6" fillId="0" borderId="0" pivotButton="0" quotePrefix="0" xfId="0"/>
    <xf numFmtId="9" fontId="6" fillId="0" borderId="0" pivotButton="0" quotePrefix="0" xfId="0"/>
    <xf numFmtId="0" fontId="94" fillId="0" borderId="1" applyAlignment="1" pivotButton="0" quotePrefix="0" xfId="0">
      <alignment horizontal="center" vertical="center"/>
    </xf>
    <xf numFmtId="0" fontId="49" fillId="45" borderId="0" applyAlignment="1" pivotButton="0" quotePrefix="0" xfId="0">
      <alignment horizontal="center" vertical="center"/>
    </xf>
    <xf numFmtId="0" fontId="94" fillId="0" borderId="1" applyAlignment="1" pivotButton="0" quotePrefix="1" xfId="0">
      <alignment horizontal="center" vertical="center"/>
    </xf>
    <xf numFmtId="0" fontId="95" fillId="46" borderId="0" applyAlignment="1" pivotButton="0" quotePrefix="0" xfId="0">
      <alignment vertical="center"/>
    </xf>
    <xf numFmtId="0" fontId="95" fillId="46" borderId="0" applyAlignment="1" pivotButton="0" quotePrefix="0" xfId="0">
      <alignment vertical="center"/>
    </xf>
    <xf numFmtId="0" fontId="49" fillId="13" borderId="0" applyAlignment="1" pivotButton="0" quotePrefix="0" xfId="0">
      <alignment horizontal="left" vertical="center"/>
    </xf>
    <xf numFmtId="0" fontId="49" fillId="13" borderId="0" applyAlignment="1" pivotButton="0" quotePrefix="0" xfId="0">
      <alignment horizontal="left" vertical="center" wrapText="1"/>
    </xf>
    <xf numFmtId="0" fontId="49" fillId="13" borderId="0" applyAlignment="1" pivotButton="0" quotePrefix="0" xfId="0">
      <alignment horizontal="left" vertical="center" wrapText="1"/>
    </xf>
    <xf numFmtId="0" fontId="71" fillId="47" borderId="0" applyAlignment="1" pivotButton="0" quotePrefix="0" xfId="0">
      <alignment vertical="center"/>
    </xf>
    <xf numFmtId="0" fontId="71" fillId="47" borderId="0" applyAlignment="1" pivotButton="0" quotePrefix="0" xfId="0">
      <alignment vertical="center" wrapText="1"/>
    </xf>
    <xf numFmtId="0" fontId="71" fillId="47" borderId="0" applyAlignment="1" pivotButton="0" quotePrefix="0" xfId="0">
      <alignment vertical="center" wrapText="1"/>
    </xf>
    <xf numFmtId="0" fontId="6" fillId="48" borderId="0" pivotButton="0" quotePrefix="0" xfId="0"/>
    <xf numFmtId="0" fontId="6" fillId="48" borderId="0" applyAlignment="1" pivotButton="0" quotePrefix="0" xfId="0">
      <alignment vertical="center" wrapText="1"/>
    </xf>
    <xf numFmtId="0" fontId="6" fillId="0" borderId="0" applyAlignment="1" pivotButton="0" quotePrefix="0" xfId="0">
      <alignment horizontal="right" vertical="center" wrapText="1"/>
    </xf>
    <xf numFmtId="0" fontId="96" fillId="49" borderId="0" applyAlignment="1" pivotButton="0" quotePrefix="0" xfId="0">
      <alignment horizontal="center"/>
    </xf>
    <xf numFmtId="167" fontId="19" fillId="0" borderId="0" pivotButton="0" quotePrefix="0" xfId="0"/>
    <xf numFmtId="0" fontId="19" fillId="0" borderId="0" pivotButton="0" quotePrefix="0" xfId="0"/>
    <xf numFmtId="0" fontId="19" fillId="0" borderId="0" pivotButton="0" quotePrefix="0" xfId="0"/>
    <xf numFmtId="14" fontId="19" fillId="0" borderId="0" pivotButton="0" quotePrefix="0" xfId="0"/>
    <xf numFmtId="0" fontId="49" fillId="13" borderId="0" applyAlignment="1" pivotButton="0" quotePrefix="0" xfId="0">
      <alignment horizontal="left" vertical="center"/>
    </xf>
    <xf numFmtId="165" fontId="49" fillId="13" borderId="0" applyAlignment="1" pivotButton="0" quotePrefix="0" xfId="0">
      <alignment horizontal="left" vertical="center"/>
    </xf>
    <xf numFmtId="0" fontId="49" fillId="13" borderId="0" applyAlignment="1" pivotButton="0" quotePrefix="0" xfId="0">
      <alignment vertical="center"/>
    </xf>
    <xf numFmtId="0" fontId="49" fillId="13" borderId="0" applyAlignment="1" pivotButton="0" quotePrefix="0" xfId="0">
      <alignment horizontal="right" vertical="center"/>
    </xf>
    <xf numFmtId="0" fontId="30" fillId="50" borderId="0" pivotButton="0" quotePrefix="0" xfId="0"/>
    <xf numFmtId="165" fontId="6" fillId="0" borderId="0" applyAlignment="1" pivotButton="0" quotePrefix="0" xfId="0">
      <alignment horizontal="center"/>
    </xf>
    <xf numFmtId="0" fontId="49" fillId="13" borderId="0" applyAlignment="1" pivotButton="0" quotePrefix="0" xfId="0">
      <alignment vertical="center"/>
    </xf>
    <xf numFmtId="14" fontId="19" fillId="0" borderId="0" pivotButton="0" quotePrefix="0" xfId="0"/>
    <xf numFmtId="165" fontId="19" fillId="0" borderId="0" pivotButton="0" quotePrefix="0" xfId="0"/>
    <xf numFmtId="0" fontId="96" fillId="51" borderId="0" applyAlignment="1" pivotButton="0" quotePrefix="0" xfId="0">
      <alignment horizontal="center"/>
    </xf>
    <xf numFmtId="0" fontId="97" fillId="49" borderId="0" applyAlignment="1" pivotButton="0" quotePrefix="0" xfId="0">
      <alignment horizontal="center" vertical="center"/>
    </xf>
    <xf numFmtId="0" fontId="96" fillId="52" borderId="0" applyAlignment="1" pivotButton="0" quotePrefix="0" xfId="0">
      <alignment horizontal="center"/>
    </xf>
    <xf numFmtId="167" fontId="98" fillId="37" borderId="0" applyAlignment="1" pivotButton="0" quotePrefix="0" xfId="0">
      <alignment horizontal="center" vertical="center"/>
    </xf>
    <xf numFmtId="168" fontId="98" fillId="37" borderId="0" applyAlignment="1" pivotButton="0" quotePrefix="0" xfId="0">
      <alignment horizontal="center" vertical="center"/>
    </xf>
    <xf numFmtId="0" fontId="98" fillId="37" borderId="0" applyAlignment="1" pivotButton="0" quotePrefix="0" xfId="0">
      <alignment horizontal="center" vertical="center"/>
    </xf>
    <xf numFmtId="0" fontId="99" fillId="53" borderId="0" applyAlignment="1" pivotButton="0" quotePrefix="0" xfId="0">
      <alignment vertical="center"/>
    </xf>
    <xf numFmtId="0" fontId="96" fillId="54" borderId="0" applyAlignment="1" pivotButton="0" quotePrefix="0" xfId="0">
      <alignment horizontal="center"/>
    </xf>
    <xf numFmtId="168" fontId="19" fillId="0" borderId="0" pivotButton="0" quotePrefix="0" xfId="0"/>
    <xf numFmtId="169" fontId="19" fillId="0" borderId="0" pivotButton="0" quotePrefix="0" xfId="0"/>
    <xf numFmtId="0" fontId="40" fillId="55" borderId="0" pivotButton="0" quotePrefix="0" xfId="0"/>
    <xf numFmtId="167" fontId="40" fillId="55" borderId="0" pivotButton="0" quotePrefix="0" xfId="0"/>
    <xf numFmtId="168" fontId="40" fillId="55" borderId="0" pivotButton="0" quotePrefix="0" xfId="0"/>
    <xf numFmtId="0" fontId="40" fillId="55" borderId="0" applyAlignment="1" pivotButton="0" quotePrefix="0" xfId="0">
      <alignment horizontal="center"/>
    </xf>
    <xf numFmtId="0" fontId="100" fillId="55" borderId="0" pivotButton="0" quotePrefix="0" xfId="0"/>
    <xf numFmtId="0" fontId="99" fillId="51" borderId="0" applyAlignment="1" pivotButton="0" quotePrefix="0" xfId="0">
      <alignment vertical="center"/>
    </xf>
    <xf numFmtId="0" fontId="96" fillId="56" borderId="0" applyAlignment="1" pivotButton="0" quotePrefix="0" xfId="0">
      <alignment horizontal="center"/>
    </xf>
    <xf numFmtId="166" fontId="19" fillId="0" borderId="0" pivotButton="0" quotePrefix="0" xfId="0"/>
    <xf numFmtId="170" fontId="19" fillId="0" borderId="0" pivotButton="0" quotePrefix="0" xfId="0"/>
    <xf numFmtId="0" fontId="29" fillId="9" borderId="4" applyAlignment="1" pivotButton="0" quotePrefix="0" xfId="0">
      <alignment horizontal="center" vertical="center"/>
    </xf>
    <xf numFmtId="0" fontId="101" fillId="16" borderId="0" applyAlignment="1" pivotButton="0" quotePrefix="0" xfId="0">
      <alignment horizontal="center" vertical="center"/>
    </xf>
    <xf numFmtId="0" fontId="102" fillId="57" borderId="0" applyAlignment="1" pivotButton="0" quotePrefix="0" xfId="0">
      <alignment horizontal="center" vertical="center"/>
    </xf>
    <xf numFmtId="0" fontId="103" fillId="58" borderId="0" applyAlignment="1" pivotButton="0" quotePrefix="0" xfId="0">
      <alignment horizontal="center" vertical="center"/>
    </xf>
    <xf numFmtId="0" fontId="103" fillId="58" borderId="0" applyAlignment="1" pivotButton="0" quotePrefix="0" xfId="0">
      <alignment horizontal="center" vertical="center"/>
    </xf>
    <xf numFmtId="165" fontId="104" fillId="58" borderId="0" applyAlignment="1" pivotButton="0" quotePrefix="0" xfId="0">
      <alignment horizontal="center" vertical="center"/>
    </xf>
    <xf numFmtId="0" fontId="104" fillId="58" borderId="0" applyAlignment="1" pivotButton="0" quotePrefix="0" xfId="0">
      <alignment horizontal="center" vertical="center"/>
    </xf>
    <xf numFmtId="0" fontId="104" fillId="58" borderId="0" applyAlignment="1" pivotButton="0" quotePrefix="0" xfId="0">
      <alignment horizontal="center" vertical="center"/>
    </xf>
    <xf numFmtId="0" fontId="49" fillId="42" borderId="0" applyAlignment="1" pivotButton="0" quotePrefix="0" xfId="0">
      <alignment vertical="center"/>
    </xf>
    <xf numFmtId="0" fontId="49" fillId="42" borderId="0" applyAlignment="1" pivotButton="0" quotePrefix="0" xfId="0">
      <alignment horizontal="center" vertical="center"/>
    </xf>
    <xf numFmtId="0" fontId="105" fillId="0" borderId="0" applyAlignment="1" pivotButton="0" quotePrefix="0" xfId="0">
      <alignment horizontal="center" vertical="center"/>
    </xf>
    <xf numFmtId="0" fontId="106" fillId="0" borderId="0" applyAlignment="1" pivotButton="0" quotePrefix="0" xfId="0">
      <alignment vertical="center"/>
    </xf>
    <xf numFmtId="0" fontId="106" fillId="0" borderId="0" applyAlignment="1" pivotButton="0" quotePrefix="0" xfId="0">
      <alignment vertical="center"/>
    </xf>
    <xf numFmtId="0" fontId="105" fillId="0" borderId="0" applyAlignment="1" pivotButton="0" quotePrefix="0" xfId="0">
      <alignment horizontal="center" vertical="center"/>
    </xf>
    <xf numFmtId="0" fontId="106" fillId="0" borderId="0" applyAlignment="1" pivotButton="0" quotePrefix="0" xfId="0">
      <alignment horizontal="center" vertical="center"/>
    </xf>
    <xf numFmtId="0" fontId="107" fillId="0" borderId="0" applyAlignment="1" pivotButton="0" quotePrefix="0" xfId="0">
      <alignment vertical="center"/>
    </xf>
    <xf numFmtId="167" fontId="106" fillId="0" borderId="0" applyAlignment="1" pivotButton="0" quotePrefix="0" xfId="0">
      <alignment vertical="center"/>
    </xf>
    <xf numFmtId="0" fontId="106" fillId="0" borderId="0" applyAlignment="1" pivotButton="0" quotePrefix="0" xfId="0">
      <alignment vertical="center"/>
    </xf>
    <xf numFmtId="0" fontId="96" fillId="35" borderId="0" applyAlignment="1" pivotButton="0" quotePrefix="0" xfId="0">
      <alignment horizontal="center"/>
    </xf>
    <xf numFmtId="0" fontId="98" fillId="37" borderId="0" applyAlignment="1" pivotButton="0" quotePrefix="0" xfId="0">
      <alignment horizontal="center" vertical="center"/>
    </xf>
    <xf numFmtId="0" fontId="99" fillId="59" borderId="0" applyAlignment="1" pivotButton="0" quotePrefix="0" xfId="0">
      <alignment vertical="center"/>
    </xf>
    <xf numFmtId="0" fontId="96" fillId="60" borderId="0" applyAlignment="1" pivotButton="0" quotePrefix="0" xfId="0">
      <alignment horizontal="center"/>
    </xf>
    <xf numFmtId="0" fontId="40" fillId="0" borderId="0" applyAlignment="1" pivotButton="0" quotePrefix="0" xfId="0">
      <alignment horizontal="center"/>
    </xf>
    <xf numFmtId="0" fontId="40" fillId="38" borderId="0" applyAlignment="1" pivotButton="0" quotePrefix="0" xfId="0">
      <alignment horizontal="center"/>
    </xf>
    <xf numFmtId="0" fontId="19" fillId="0" borderId="0" applyAlignment="1" pivotButton="0" quotePrefix="0" xfId="0">
      <alignment horizontal="center"/>
    </xf>
    <xf numFmtId="165" fontId="40" fillId="0" borderId="0" applyAlignment="1" pivotButton="0" quotePrefix="0" xfId="0">
      <alignment horizontal="center"/>
    </xf>
    <xf numFmtId="0" fontId="40" fillId="61" borderId="0" applyAlignment="1" pivotButton="0" quotePrefix="0" xfId="0">
      <alignment horizontal="center"/>
    </xf>
    <xf numFmtId="0" fontId="107" fillId="0" borderId="0" applyAlignment="1" pivotButton="0" quotePrefix="0" xfId="0">
      <alignment vertical="center"/>
    </xf>
    <xf numFmtId="0" fontId="107" fillId="0" borderId="0" applyAlignment="1" pivotButton="0" quotePrefix="0" xfId="0">
      <alignment vertical="center"/>
    </xf>
    <xf numFmtId="167" fontId="107" fillId="0" borderId="0" applyAlignment="1" pivotButton="0" quotePrefix="0" xfId="0">
      <alignment vertical="center"/>
    </xf>
    <xf numFmtId="167" fontId="98" fillId="37" borderId="0" applyAlignment="1" pivotButton="0" quotePrefix="0" xfId="0">
      <alignment horizontal="center" vertical="center"/>
    </xf>
    <xf numFmtId="165" fontId="98" fillId="37" borderId="0" applyAlignment="1" pivotButton="0" quotePrefix="0" xfId="0">
      <alignment horizontal="center" vertical="center"/>
    </xf>
    <xf numFmtId="2" fontId="19" fillId="0" borderId="0" pivotButton="0" quotePrefix="0" xfId="0"/>
    <xf numFmtId="167" fontId="40" fillId="0" borderId="0" pivotButton="0" quotePrefix="0" xfId="0"/>
    <xf numFmtId="0" fontId="40" fillId="38" borderId="0" pivotButton="0" quotePrefix="0" xfId="0"/>
    <xf numFmtId="0" fontId="19" fillId="38" borderId="0" pivotButton="0" quotePrefix="0" xfId="0"/>
    <xf numFmtId="167" fontId="40" fillId="38" borderId="0" pivotButton="0" quotePrefix="0" xfId="0"/>
    <xf numFmtId="0" fontId="108" fillId="0" borderId="0" pivotButton="0" quotePrefix="0" xfId="0"/>
    <xf numFmtId="0" fontId="27" fillId="62" borderId="0" applyAlignment="1" pivotButton="0" quotePrefix="0" xfId="0">
      <alignment horizontal="center"/>
    </xf>
    <xf numFmtId="0" fontId="49" fillId="52" borderId="0" applyAlignment="1" pivotButton="0" quotePrefix="0" xfId="0">
      <alignment horizontal="center" vertical="center"/>
    </xf>
    <xf numFmtId="0" fontId="49" fillId="54" borderId="0" applyAlignment="1" pivotButton="0" quotePrefix="0" xfId="0">
      <alignment horizontal="center" vertical="center"/>
    </xf>
    <xf numFmtId="167" fontId="6" fillId="0" borderId="0" pivotButton="0" quotePrefix="0" xfId="0"/>
    <xf numFmtId="168" fontId="6" fillId="39" borderId="0" applyAlignment="1" pivotButton="0" quotePrefix="0" xfId="0">
      <alignment horizontal="center"/>
    </xf>
    <xf numFmtId="167" fontId="6" fillId="55" borderId="0" applyAlignment="1" pivotButton="0" quotePrefix="0" xfId="0">
      <alignment horizontal="center"/>
    </xf>
    <xf numFmtId="3" fontId="6" fillId="0" borderId="0" pivotButton="0" quotePrefix="0" xfId="0"/>
    <xf numFmtId="3" fontId="6" fillId="38" borderId="0" pivotButton="0" quotePrefix="0" xfId="0"/>
    <xf numFmtId="165" fontId="6" fillId="0" borderId="0" pivotButton="0" quotePrefix="0" xfId="0"/>
    <xf numFmtId="165" fontId="6" fillId="55" borderId="0" applyAlignment="1" pivotButton="0" quotePrefix="0" xfId="0">
      <alignment horizontal="center"/>
    </xf>
    <xf numFmtId="3" fontId="6" fillId="39" borderId="0" applyAlignment="1" pivotButton="0" quotePrefix="0" xfId="0">
      <alignment horizontal="center"/>
    </xf>
    <xf numFmtId="3" fontId="6" fillId="55" borderId="0" applyAlignment="1" pivotButton="0" quotePrefix="0" xfId="0">
      <alignment horizontal="center"/>
    </xf>
    <xf numFmtId="167" fontId="6" fillId="38" borderId="0" pivotButton="0" quotePrefix="0" xfId="0"/>
    <xf numFmtId="165" fontId="6" fillId="39" borderId="0" applyAlignment="1" pivotButton="0" quotePrefix="0" xfId="0">
      <alignment horizontal="center"/>
    </xf>
    <xf numFmtId="165" fontId="6" fillId="38" borderId="0" pivotButton="0" quotePrefix="0" xfId="0"/>
    <xf numFmtId="0" fontId="6" fillId="38" borderId="0" applyAlignment="1" pivotButton="0" quotePrefix="0" xfId="0">
      <alignment horizontal="center"/>
    </xf>
    <xf numFmtId="0" fontId="25" fillId="4" borderId="0" applyAlignment="1" pivotButton="0" quotePrefix="0" xfId="0">
      <alignment horizontal="left" vertical="center" wrapText="1"/>
    </xf>
    <xf numFmtId="0" fontId="25" fillId="4" borderId="0" applyAlignment="1" pivotButton="0" quotePrefix="0" xfId="0">
      <alignment horizontal="left" vertical="center" wrapText="1"/>
    </xf>
    <xf numFmtId="0" fontId="30" fillId="63" borderId="0" applyAlignment="1" pivotButton="0" quotePrefix="0" xfId="0">
      <alignment vertical="center" wrapText="1"/>
    </xf>
    <xf numFmtId="0" fontId="30" fillId="0" borderId="0" applyAlignment="1" pivotButton="0" quotePrefix="0" xfId="0">
      <alignment vertical="center" wrapText="1"/>
    </xf>
    <xf numFmtId="164" fontId="39" fillId="64" borderId="0" applyAlignment="1" pivotButton="0" quotePrefix="0" xfId="0">
      <alignment horizontal="center" vertical="center" wrapText="1"/>
    </xf>
    <xf numFmtId="0" fontId="59" fillId="0" borderId="0" applyAlignment="1" pivotButton="0" quotePrefix="0" xfId="0">
      <alignment vertical="center" wrapText="1"/>
    </xf>
    <xf numFmtId="0" fontId="109" fillId="0" borderId="0" applyAlignment="1" pivotButton="0" quotePrefix="0" xfId="0">
      <alignment vertical="center" wrapText="1"/>
    </xf>
    <xf numFmtId="0" fontId="110" fillId="0" borderId="0" applyAlignment="1" pivotButton="0" quotePrefix="0" xfId="0">
      <alignment vertical="center" wrapText="1"/>
    </xf>
    <xf numFmtId="164" fontId="70" fillId="64" borderId="0" applyAlignment="1" pivotButton="0" quotePrefix="0" xfId="0">
      <alignment horizontal="center" vertical="center" wrapText="1"/>
    </xf>
    <xf numFmtId="164" fontId="43" fillId="64" borderId="0" applyAlignment="1" pivotButton="0" quotePrefix="0" xfId="0">
      <alignment horizontal="center" vertical="center" wrapText="1"/>
    </xf>
    <xf numFmtId="0" fontId="57" fillId="0" borderId="0" applyAlignment="1" pivotButton="0" quotePrefix="0" xfId="0">
      <alignment vertical="center" wrapText="1"/>
    </xf>
    <xf numFmtId="165" fontId="111" fillId="65" borderId="0" applyAlignment="1" pivotButton="0" quotePrefix="0" xfId="0">
      <alignment horizontal="center" vertical="center" wrapText="1"/>
    </xf>
    <xf numFmtId="0" fontId="109" fillId="0" borderId="0" applyAlignment="1" pivotButton="0" quotePrefix="0" xfId="0">
      <alignment vertical="center" wrapText="1"/>
    </xf>
    <xf numFmtId="0" fontId="97" fillId="66" borderId="0" applyAlignment="1" pivotButton="0" quotePrefix="0" xfId="0">
      <alignment horizontal="center" vertical="center"/>
    </xf>
    <xf numFmtId="0" fontId="96" fillId="59" borderId="0" applyAlignment="1" pivotButton="0" quotePrefix="0" xfId="0">
      <alignment horizontal="center"/>
    </xf>
    <xf numFmtId="0" fontId="65" fillId="37" borderId="0" applyAlignment="1" pivotButton="0" quotePrefix="0" xfId="0">
      <alignment horizontal="center" vertical="center"/>
    </xf>
    <xf numFmtId="171" fontId="65" fillId="37" borderId="0" applyAlignment="1" pivotButton="0" quotePrefix="0" xfId="0">
      <alignment horizontal="center" vertical="center"/>
    </xf>
    <xf numFmtId="172" fontId="65" fillId="37" borderId="0" applyAlignment="1" pivotButton="0" quotePrefix="0" xfId="0">
      <alignment horizontal="center" vertical="center"/>
    </xf>
    <xf numFmtId="0" fontId="99" fillId="49" borderId="0" applyAlignment="1" pivotButton="0" quotePrefix="0" xfId="0">
      <alignment vertical="center"/>
    </xf>
    <xf numFmtId="0" fontId="40" fillId="0" borderId="0" pivotButton="0" quotePrefix="0" xfId="0"/>
    <xf numFmtId="0" fontId="112" fillId="67" borderId="0" applyAlignment="1" pivotButton="0" quotePrefix="0" xfId="0">
      <alignment horizontal="center" vertical="center"/>
    </xf>
    <xf numFmtId="0" fontId="113" fillId="67" borderId="0" applyAlignment="1" pivotButton="0" quotePrefix="0" xfId="0">
      <alignment horizontal="center" vertical="center"/>
    </xf>
    <xf numFmtId="0" fontId="40" fillId="0" borderId="0" applyAlignment="1" pivotButton="0" quotePrefix="0" xfId="0">
      <alignment horizontal="center"/>
    </xf>
    <xf numFmtId="0" fontId="114" fillId="49" borderId="0" applyAlignment="1" pivotButton="0" quotePrefix="0" xfId="0">
      <alignment horizontal="center" vertical="center"/>
    </xf>
    <xf numFmtId="167" fontId="65" fillId="37" borderId="0" applyAlignment="1" pivotButton="0" quotePrefix="0" xfId="0">
      <alignment horizontal="center"/>
    </xf>
    <xf numFmtId="168" fontId="65" fillId="37" borderId="0" applyAlignment="1" pivotButton="0" quotePrefix="0" xfId="0">
      <alignment horizontal="center"/>
    </xf>
    <xf numFmtId="165" fontId="65" fillId="37" borderId="0" applyAlignment="1" pivotButton="0" quotePrefix="0" xfId="0">
      <alignment horizontal="center"/>
    </xf>
    <xf numFmtId="3" fontId="65" fillId="37" borderId="0" applyAlignment="1" pivotButton="0" quotePrefix="0" xfId="0">
      <alignment horizontal="center"/>
    </xf>
    <xf numFmtId="173" fontId="65" fillId="37" borderId="0" applyAlignment="1" pivotButton="0" quotePrefix="0" xfId="0">
      <alignment horizontal="center"/>
    </xf>
    <xf numFmtId="0" fontId="38" fillId="53" borderId="0" pivotButton="0" quotePrefix="0" xfId="0"/>
    <xf numFmtId="0" fontId="96" fillId="54" borderId="0" pivotButton="0" quotePrefix="0" xfId="0"/>
    <xf numFmtId="9" fontId="19" fillId="0" borderId="0" pivotButton="0" quotePrefix="0" xfId="0"/>
    <xf numFmtId="0" fontId="99" fillId="53" borderId="0" pivotButton="0" quotePrefix="0" xfId="0"/>
    <xf numFmtId="0" fontId="40" fillId="0" borderId="0" pivotButton="0" quotePrefix="0" xfId="0"/>
    <xf numFmtId="0" fontId="38" fillId="51" borderId="0" pivotButton="0" quotePrefix="0" xfId="0"/>
    <xf numFmtId="0" fontId="96" fillId="56" borderId="0" pivotButton="0" quotePrefix="0" xfId="0"/>
    <xf numFmtId="173" fontId="19" fillId="0" borderId="0" pivotButton="0" quotePrefix="0" xfId="0"/>
    <xf numFmtId="0" fontId="115" fillId="68" borderId="0" applyAlignment="1" pivotButton="0" quotePrefix="0" xfId="0">
      <alignment vertical="center"/>
    </xf>
    <xf numFmtId="0" fontId="116" fillId="58" borderId="0" applyAlignment="1" pivotButton="0" quotePrefix="0" xfId="0">
      <alignment horizontal="center" vertical="center"/>
    </xf>
    <xf numFmtId="167" fontId="19" fillId="0" borderId="0" pivotButton="0" quotePrefix="0" xfId="0"/>
    <xf numFmtId="0" fontId="96" fillId="66" borderId="0" applyAlignment="1" pivotButton="0" quotePrefix="0" xfId="0">
      <alignment horizontal="center"/>
    </xf>
    <xf numFmtId="174" fontId="19" fillId="0" borderId="0" pivotButton="0" quotePrefix="0" xfId="0"/>
    <xf numFmtId="0" fontId="38" fillId="45" borderId="0" pivotButton="0" quotePrefix="0" xfId="0"/>
    <xf numFmtId="0" fontId="96" fillId="69" borderId="0" pivotButton="0" quotePrefix="0" xfId="0"/>
    <xf numFmtId="167" fontId="19" fillId="0" borderId="0" pivotButton="0" quotePrefix="0" xfId="0"/>
    <xf numFmtId="0" fontId="100" fillId="0" borderId="0" pivotButton="0" quotePrefix="0" xfId="0"/>
    <xf numFmtId="165" fontId="19" fillId="0" borderId="0" pivotButton="0" quotePrefix="0" xfId="0"/>
    <xf numFmtId="175" fontId="19" fillId="0" borderId="0" pivotButton="0" quotePrefix="0" xfId="0"/>
    <xf numFmtId="0" fontId="96" fillId="53" borderId="0" applyAlignment="1" pivotButton="0" quotePrefix="0" xfId="0">
      <alignment horizontal="center"/>
    </xf>
    <xf numFmtId="176" fontId="19" fillId="0" borderId="0" pivotButton="0" quotePrefix="0" xfId="0"/>
    <xf numFmtId="164" fontId="19" fillId="0" borderId="0" pivotButton="0" quotePrefix="0" xfId="0"/>
    <xf numFmtId="177" fontId="19" fillId="0" borderId="0" pivotButton="0" quotePrefix="0" xfId="0"/>
    <xf numFmtId="177" fontId="19" fillId="0" borderId="0" pivotButton="0" quotePrefix="0" xfId="0"/>
    <xf numFmtId="9" fontId="19" fillId="0" borderId="0" pivotButton="0" quotePrefix="0" xfId="0"/>
    <xf numFmtId="178" fontId="19" fillId="0" borderId="0" pivotButton="0" quotePrefix="0" xfId="0"/>
    <xf numFmtId="0" fontId="99" fillId="35" borderId="0" pivotButton="0" quotePrefix="0" xfId="0"/>
    <xf numFmtId="0" fontId="117" fillId="38" borderId="0" pivotButton="0" quotePrefix="0" xfId="0"/>
    <xf numFmtId="0" fontId="23" fillId="25" borderId="18" pivotButton="0" quotePrefix="0" xfId="0"/>
    <xf numFmtId="0" fontId="38" fillId="35" borderId="0" pivotButton="0" quotePrefix="0" xfId="0"/>
    <xf numFmtId="0" fontId="38" fillId="70" borderId="0" pivotButton="0" quotePrefix="0" xfId="0"/>
    <xf numFmtId="167" fontId="118" fillId="25" borderId="18" applyAlignment="1" pivotButton="0" quotePrefix="0" xfId="0">
      <alignment horizontal="center"/>
    </xf>
    <xf numFmtId="165" fontId="118" fillId="25" borderId="18" applyAlignment="1" pivotButton="0" quotePrefix="0" xfId="0">
      <alignment horizontal="center"/>
    </xf>
    <xf numFmtId="0" fontId="24" fillId="16" borderId="6" applyAlignment="1" pivotButton="0" quotePrefix="0" xfId="0">
      <alignment horizontal="center" vertical="center"/>
    </xf>
    <xf numFmtId="0" fontId="85" fillId="10" borderId="6" applyAlignment="1" pivotButton="0" quotePrefix="0" xfId="0">
      <alignment horizontal="center" vertical="center"/>
    </xf>
    <xf numFmtId="0" fontId="119" fillId="15" borderId="6" applyAlignment="1" pivotButton="0" quotePrefix="0" xfId="0">
      <alignment horizontal="center" vertical="center"/>
    </xf>
    <xf numFmtId="167" fontId="56" fillId="18" borderId="6" applyAlignment="1" pivotButton="0" quotePrefix="0" xfId="0">
      <alignment horizontal="center"/>
    </xf>
    <xf numFmtId="165" fontId="56" fillId="18" borderId="6" applyAlignment="1" pivotButton="0" quotePrefix="0" xfId="0">
      <alignment horizontal="center"/>
    </xf>
    <xf numFmtId="179" fontId="56" fillId="18" borderId="6" applyAlignment="1" pivotButton="0" quotePrefix="0" xfId="0">
      <alignment horizontal="center"/>
    </xf>
    <xf numFmtId="3" fontId="56" fillId="18" borderId="6" applyAlignment="1" pivotButton="0" quotePrefix="0" xfId="0">
      <alignment horizontal="center"/>
    </xf>
    <xf numFmtId="0" fontId="24" fillId="16" borderId="0" applyAlignment="1" pivotButton="0" quotePrefix="0" xfId="0">
      <alignment horizontal="center" vertical="center"/>
    </xf>
    <xf numFmtId="0" fontId="85" fillId="10" borderId="0" applyAlignment="1" pivotButton="0" quotePrefix="0" xfId="0">
      <alignment horizontal="center" vertical="center"/>
    </xf>
    <xf numFmtId="0" fontId="119" fillId="15" borderId="0" applyAlignment="1" pivotButton="0" quotePrefix="0" xfId="0">
      <alignment horizontal="center" vertical="center"/>
    </xf>
    <xf numFmtId="0" fontId="25" fillId="4" borderId="0" applyAlignment="1" pivotButton="0" quotePrefix="0" xfId="0">
      <alignment horizontal="center" vertical="center" wrapText="1"/>
    </xf>
    <xf numFmtId="0" fontId="25" fillId="4" borderId="0" applyAlignment="1" pivotButton="0" quotePrefix="0" xfId="0">
      <alignment horizontal="center" vertical="center" wrapText="1"/>
    </xf>
    <xf numFmtId="0" fontId="49" fillId="13" borderId="12" applyAlignment="1" pivotButton="0" quotePrefix="0" xfId="0">
      <alignment horizontal="center" vertical="center" wrapText="1"/>
    </xf>
    <xf numFmtId="167" fontId="49" fillId="13" borderId="12" applyAlignment="1" pivotButton="0" quotePrefix="0" xfId="0">
      <alignment horizontal="center" vertical="center" wrapText="1"/>
    </xf>
    <xf numFmtId="0" fontId="49" fillId="18" borderId="12" applyAlignment="1" pivotButton="0" quotePrefix="0" xfId="0">
      <alignment vertical="center" wrapText="1"/>
    </xf>
    <xf numFmtId="0" fontId="49" fillId="18" borderId="12" applyAlignment="1" pivotButton="0" quotePrefix="0" xfId="0">
      <alignment vertical="center" wrapText="1"/>
    </xf>
    <xf numFmtId="167" fontId="6" fillId="0" borderId="0" pivotButton="0" quotePrefix="0" xfId="0"/>
    <xf numFmtId="0" fontId="120" fillId="25" borderId="12" applyAlignment="1" pivotButton="0" quotePrefix="0" xfId="0">
      <alignment vertical="center" wrapText="1"/>
    </xf>
    <xf numFmtId="3" fontId="37" fillId="25" borderId="12" applyAlignment="1" pivotButton="0" quotePrefix="0" xfId="0">
      <alignment vertical="center" wrapText="1"/>
    </xf>
    <xf numFmtId="167" fontId="57" fillId="25" borderId="12" applyAlignment="1" pivotButton="0" quotePrefix="0" xfId="0">
      <alignment vertical="center" wrapText="1"/>
    </xf>
    <xf numFmtId="167" fontId="121" fillId="25" borderId="12" applyAlignment="1" pivotButton="0" quotePrefix="0" xfId="0">
      <alignment vertical="center" wrapText="1"/>
    </xf>
    <xf numFmtId="0" fontId="122" fillId="25" borderId="12" applyAlignment="1" pivotButton="0" quotePrefix="0" xfId="0">
      <alignment vertical="center" wrapText="1"/>
    </xf>
    <xf numFmtId="0" fontId="123" fillId="18" borderId="12" applyAlignment="1" pivotButton="0" quotePrefix="0" xfId="0">
      <alignment vertical="center" wrapText="1"/>
    </xf>
    <xf numFmtId="3" fontId="37" fillId="18" borderId="12" applyAlignment="1" pivotButton="0" quotePrefix="0" xfId="0">
      <alignment vertical="center" wrapText="1"/>
    </xf>
    <xf numFmtId="0" fontId="114" fillId="35" borderId="0" applyAlignment="1" pivotButton="0" quotePrefix="0" xfId="0">
      <alignment horizontal="center"/>
    </xf>
    <xf numFmtId="167" fontId="57" fillId="18" borderId="12" applyAlignment="1" pivotButton="0" quotePrefix="0" xfId="0">
      <alignment vertical="center" wrapText="1"/>
    </xf>
    <xf numFmtId="167" fontId="121" fillId="18" borderId="12" applyAlignment="1" pivotButton="0" quotePrefix="0" xfId="0">
      <alignment vertical="center" wrapText="1"/>
    </xf>
    <xf numFmtId="0" fontId="122" fillId="18" borderId="12" applyAlignment="1" pivotButton="0" quotePrefix="0" xfId="0">
      <alignment vertical="center" wrapText="1"/>
    </xf>
    <xf numFmtId="0" fontId="124" fillId="71" borderId="19" applyAlignment="1" pivotButton="0" quotePrefix="0" xfId="0">
      <alignment horizontal="center" vertical="center"/>
    </xf>
    <xf numFmtId="0" fontId="125" fillId="72" borderId="19" applyAlignment="1" pivotButton="0" quotePrefix="0" xfId="0">
      <alignment horizontal="center" vertical="center"/>
    </xf>
    <xf numFmtId="0" fontId="126" fillId="20" borderId="0" applyAlignment="1" pivotButton="0" quotePrefix="0" xfId="0">
      <alignment horizontal="center" vertical="center"/>
    </xf>
    <xf numFmtId="0" fontId="38" fillId="52" borderId="0" pivotButton="0" quotePrefix="0" xfId="0"/>
    <xf numFmtId="0" fontId="127" fillId="0" borderId="0" pivotButton="0" quotePrefix="0" xfId="0"/>
    <xf numFmtId="165" fontId="59" fillId="25" borderId="12" applyAlignment="1" pivotButton="0" quotePrefix="0" xfId="0">
      <alignment vertical="center" wrapText="1"/>
    </xf>
    <xf numFmtId="165" fontId="59" fillId="18" borderId="12" applyAlignment="1" pivotButton="0" quotePrefix="0" xfId="0">
      <alignment vertical="center" wrapText="1"/>
    </xf>
    <xf numFmtId="0" fontId="30" fillId="0" borderId="0" applyAlignment="1" pivotButton="0" quotePrefix="0" xfId="0">
      <alignment vertical="center" wrapText="1"/>
    </xf>
    <xf numFmtId="3" fontId="37" fillId="0" borderId="0" applyAlignment="1" pivotButton="0" quotePrefix="0" xfId="0">
      <alignment vertical="center" wrapText="1"/>
    </xf>
    <xf numFmtId="167" fontId="57" fillId="0" borderId="0" applyAlignment="1" pivotButton="0" quotePrefix="0" xfId="0">
      <alignment vertical="center" wrapText="1"/>
    </xf>
    <xf numFmtId="167" fontId="121" fillId="0" borderId="0" applyAlignment="1" pivotButton="0" quotePrefix="0" xfId="0">
      <alignment vertical="center" wrapText="1"/>
    </xf>
    <xf numFmtId="0" fontId="122" fillId="0" borderId="0" applyAlignment="1" pivotButton="0" quotePrefix="0" xfId="0">
      <alignment vertical="center" wrapText="1"/>
    </xf>
    <xf numFmtId="0" fontId="59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180" fontId="40" fillId="0" borderId="0" pivotButton="0" quotePrefix="0" xfId="0"/>
    <xf numFmtId="0" fontId="99" fillId="51" borderId="0" pivotButton="0" quotePrefix="0" xfId="0"/>
    <xf numFmtId="0" fontId="128" fillId="73" borderId="0" pivotButton="0" quotePrefix="0" xfId="0"/>
    <xf numFmtId="0" fontId="114" fillId="49" borderId="0" applyAlignment="1" pivotButton="0" quotePrefix="0" xfId="0">
      <alignment horizontal="center"/>
    </xf>
    <xf numFmtId="167" fontId="40" fillId="37" borderId="0" pivotButton="0" quotePrefix="0" xfId="0"/>
    <xf numFmtId="0" fontId="128" fillId="70" borderId="0" pivotButton="0" quotePrefix="0" xfId="0"/>
    <xf numFmtId="2" fontId="19" fillId="0" borderId="0" pivotButton="0" quotePrefix="0" xfId="0"/>
    <xf numFmtId="181" fontId="40" fillId="37" borderId="0" pivotButton="0" quotePrefix="0" xfId="0"/>
    <xf numFmtId="0" fontId="99" fillId="59" borderId="0" pivotButton="0" quotePrefix="0" xfId="0"/>
    <xf numFmtId="182" fontId="40" fillId="37" borderId="0" pivotButton="0" quotePrefix="0" xfId="0"/>
    <xf numFmtId="0" fontId="38" fillId="54" borderId="0" pivotButton="0" quotePrefix="0" xfId="0"/>
    <xf numFmtId="165" fontId="40" fillId="38" borderId="0" pivotButton="0" quotePrefix="0" xfId="0"/>
    <xf numFmtId="164" fontId="19" fillId="0" borderId="0" pivotButton="0" quotePrefix="0" xfId="0"/>
    <xf numFmtId="10" fontId="19" fillId="0" borderId="0" pivotButton="0" quotePrefix="0" xfId="0"/>
    <xf numFmtId="0" fontId="114" fillId="45" borderId="0" applyAlignment="1" pivotButton="0" quotePrefix="0" xfId="0">
      <alignment horizontal="center"/>
    </xf>
    <xf numFmtId="0" fontId="38" fillId="69" borderId="0" pivotButton="0" quotePrefix="0" xfId="0"/>
    <xf numFmtId="0" fontId="38" fillId="69" borderId="0" applyAlignment="1" pivotButton="0" quotePrefix="0" xfId="0">
      <alignment vertical="center" wrapText="1"/>
    </xf>
    <xf numFmtId="0" fontId="40" fillId="0" borderId="0" applyAlignment="1" pivotButton="0" quotePrefix="0" xfId="0">
      <alignment horizontal="center" vertical="center" wrapText="1"/>
    </xf>
    <xf numFmtId="0" fontId="97" fillId="74" borderId="0" applyAlignment="1" pivotButton="0" quotePrefix="0" xfId="0">
      <alignment horizontal="center" vertical="center"/>
    </xf>
    <xf numFmtId="0" fontId="99" fillId="68" borderId="0" applyAlignment="1" pivotButton="0" quotePrefix="0" xfId="0">
      <alignment horizontal="center" vertical="center"/>
    </xf>
    <xf numFmtId="0" fontId="19" fillId="0" borderId="0" pivotButton="0" quotePrefix="1" xfId="0"/>
    <xf numFmtId="0" fontId="40" fillId="75" borderId="0" pivotButton="0" quotePrefix="0" xfId="0"/>
    <xf numFmtId="0" fontId="40" fillId="75" borderId="0" pivotButton="0" quotePrefix="0" xfId="0"/>
    <xf numFmtId="0" fontId="129" fillId="76" borderId="0" applyAlignment="1" pivotButton="0" quotePrefix="0" xfId="0">
      <alignment horizontal="center" vertical="center"/>
    </xf>
    <xf numFmtId="0" fontId="129" fillId="76" borderId="0" applyAlignment="1" pivotButton="0" quotePrefix="0" xfId="0">
      <alignment horizontal="center" vertical="center"/>
    </xf>
    <xf numFmtId="167" fontId="130" fillId="0" borderId="0" pivotButton="0" quotePrefix="0" xfId="0"/>
    <xf numFmtId="182" fontId="130" fillId="0" borderId="0" pivotButton="0" quotePrefix="0" xfId="0"/>
    <xf numFmtId="175" fontId="130" fillId="0" borderId="0" pivotButton="0" quotePrefix="0" xfId="0"/>
    <xf numFmtId="165" fontId="130" fillId="0" borderId="0" pivotButton="0" quotePrefix="0" xfId="0"/>
    <xf numFmtId="0" fontId="115" fillId="68" borderId="0" applyAlignment="1" pivotButton="0" quotePrefix="0" xfId="0">
      <alignment vertical="center"/>
    </xf>
    <xf numFmtId="0" fontId="116" fillId="58" borderId="0" applyAlignment="1" pivotButton="0" quotePrefix="0" xfId="0">
      <alignment horizontal="center" vertical="center"/>
    </xf>
    <xf numFmtId="0" fontId="130" fillId="0" borderId="0" pivotButton="0" quotePrefix="0" xfId="0"/>
    <xf numFmtId="0" fontId="115" fillId="68" borderId="0" applyAlignment="1" pivotButton="0" quotePrefix="0" xfId="0">
      <alignment vertical="center"/>
    </xf>
    <xf numFmtId="165" fontId="19" fillId="0" borderId="0" pivotButton="0" quotePrefix="0" xfId="0"/>
    <xf numFmtId="0" fontId="131" fillId="77" borderId="0" applyAlignment="1" pivotButton="0" quotePrefix="0" xfId="0">
      <alignment vertical="center"/>
    </xf>
    <xf numFmtId="0" fontId="131" fillId="77" borderId="0" applyAlignment="1" pivotButton="0" quotePrefix="0" xfId="0">
      <alignment vertical="center"/>
    </xf>
    <xf numFmtId="0" fontId="81" fillId="13" borderId="4" applyAlignment="1" pivotButton="0" quotePrefix="0" xfId="0">
      <alignment horizontal="center" vertical="center"/>
    </xf>
    <xf numFmtId="0" fontId="132" fillId="57" borderId="0" applyAlignment="1" pivotButton="0" quotePrefix="0" xfId="0">
      <alignment vertical="center"/>
    </xf>
    <xf numFmtId="0" fontId="132" fillId="57" borderId="0" applyAlignment="1" pivotButton="0" quotePrefix="0" xfId="0">
      <alignment vertical="center"/>
    </xf>
    <xf numFmtId="0" fontId="131" fillId="78" borderId="0" applyAlignment="1" pivotButton="0" quotePrefix="0" xfId="0">
      <alignment vertical="center"/>
    </xf>
    <xf numFmtId="0" fontId="131" fillId="78" borderId="0" applyAlignment="1" pivotButton="0" quotePrefix="0" xfId="0">
      <alignment vertical="center"/>
    </xf>
    <xf numFmtId="10" fontId="106" fillId="0" borderId="0" applyAlignment="1" pivotButton="0" quotePrefix="0" xfId="0">
      <alignment vertical="center"/>
    </xf>
    <xf numFmtId="0" fontId="131" fillId="79" borderId="0" applyAlignment="1" pivotButton="0" quotePrefix="0" xfId="0">
      <alignment vertical="center"/>
    </xf>
    <xf numFmtId="0" fontId="131" fillId="79" borderId="0" applyAlignment="1" pivotButton="0" quotePrefix="0" xfId="0">
      <alignment vertical="center"/>
    </xf>
    <xf numFmtId="165" fontId="106" fillId="0" borderId="0" applyAlignment="1" pivotButton="0" quotePrefix="0" xfId="0">
      <alignment vertical="center"/>
    </xf>
    <xf numFmtId="0" fontId="133" fillId="80" borderId="0" applyAlignment="1" pivotButton="0" quotePrefix="0" xfId="0">
      <alignment vertical="center"/>
    </xf>
    <xf numFmtId="0" fontId="133" fillId="80" borderId="0" applyAlignment="1" pivotButton="0" quotePrefix="0" xfId="0">
      <alignment vertical="center"/>
    </xf>
    <xf numFmtId="0" fontId="71" fillId="81" borderId="0" applyAlignment="1" pivotButton="0" quotePrefix="0" xfId="0">
      <alignment vertical="center"/>
    </xf>
    <xf numFmtId="0" fontId="71" fillId="81" borderId="0" applyAlignment="1" pivotButton="0" quotePrefix="0" xfId="0">
      <alignment vertical="center"/>
    </xf>
    <xf numFmtId="0" fontId="71" fillId="82" borderId="0" applyAlignment="1" pivotButton="0" quotePrefix="0" xfId="0">
      <alignment wrapText="1"/>
    </xf>
    <xf numFmtId="0" fontId="134" fillId="0" borderId="0" pivotButton="0" quotePrefix="0" xfId="0"/>
    <xf numFmtId="0" fontId="135" fillId="0" borderId="0" pivotButton="0" quotePrefix="0" xfId="0"/>
    <xf numFmtId="0" fontId="136" fillId="13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138" fillId="83" borderId="22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 wrapText="1"/>
    </xf>
    <xf numFmtId="0" fontId="9" fillId="8" borderId="0" applyAlignment="1" pivotButton="0" quotePrefix="0" xfId="0">
      <alignment horizontal="center" vertical="center" wrapText="1"/>
    </xf>
    <xf numFmtId="0" fontId="10" fillId="7" borderId="0" applyAlignment="1" pivotButton="0" quotePrefix="0" xfId="0">
      <alignment horizontal="center" vertical="center" wrapText="1"/>
    </xf>
    <xf numFmtId="0" fontId="12" fillId="10" borderId="0" applyAlignment="1" pivotButton="0" quotePrefix="0" xfId="0">
      <alignment horizontal="center" vertical="center" wrapText="1"/>
    </xf>
    <xf numFmtId="0" fontId="13" fillId="11" borderId="0" applyAlignment="1" pivotButton="0" quotePrefix="0" xfId="0">
      <alignment horizontal="center" vertical="center" wrapText="1"/>
    </xf>
    <xf numFmtId="0" fontId="14" fillId="8" borderId="0" applyAlignment="1" pivotButton="0" quotePrefix="0" xfId="0">
      <alignment horizontal="center" vertical="center" wrapText="1"/>
    </xf>
    <xf numFmtId="0" fontId="15" fillId="7" borderId="0" applyAlignment="1" pivotButton="0" quotePrefix="0" xfId="0">
      <alignment horizontal="center" vertical="center" wrapText="1"/>
    </xf>
    <xf numFmtId="0" fontId="16" fillId="10" borderId="0" applyAlignment="1" pivotButton="0" quotePrefix="0" xfId="0">
      <alignment horizontal="center" vertical="center" wrapText="1"/>
    </xf>
    <xf numFmtId="0" fontId="17" fillId="11" borderId="0" applyAlignment="1" pivotButton="0" quotePrefix="0" xfId="0">
      <alignment horizontal="center" vertical="center" wrapText="1"/>
    </xf>
    <xf numFmtId="0" fontId="18" fillId="11" borderId="0" applyAlignment="1" pivotButton="0" quotePrefix="0" xfId="0">
      <alignment horizontal="center" vertical="center" wrapText="1"/>
    </xf>
    <xf numFmtId="0" fontId="21" fillId="7" borderId="0" applyAlignment="1" pivotButton="0" quotePrefix="0" xfId="0">
      <alignment horizontal="left" vertical="center" wrapText="1"/>
    </xf>
    <xf numFmtId="0" fontId="7" fillId="14" borderId="4" applyAlignment="1" pivotButton="0" quotePrefix="0" xfId="0">
      <alignment horizontal="center" vertical="center" wrapText="1"/>
    </xf>
    <xf numFmtId="0" fontId="26" fillId="0" borderId="4" applyAlignment="1" pivotButton="0" quotePrefix="1" xfId="0">
      <alignment horizontal="center" vertical="center" wrapText="1"/>
    </xf>
    <xf numFmtId="0" fontId="28" fillId="18" borderId="4" applyAlignment="1" pivotButton="0" quotePrefix="0" xfId="0">
      <alignment horizontal="left" vertical="center" wrapText="1"/>
    </xf>
    <xf numFmtId="0" fontId="26" fillId="0" borderId="4" applyAlignment="1" pivotButton="0" quotePrefix="0" xfId="0">
      <alignment horizontal="center" vertical="center" wrapText="1"/>
    </xf>
    <xf numFmtId="0" fontId="32" fillId="0" borderId="4" applyAlignment="1" pivotButton="0" quotePrefix="0" xfId="0">
      <alignment horizontal="right" vertical="center" wrapText="1"/>
    </xf>
    <xf numFmtId="0" fontId="35" fillId="0" borderId="4" applyAlignment="1" pivotButton="0" quotePrefix="0" xfId="0">
      <alignment horizontal="center" vertical="center" wrapText="1"/>
    </xf>
    <xf numFmtId="0" fontId="44" fillId="8" borderId="4" applyAlignment="1" pivotButton="0" quotePrefix="0" xfId="0">
      <alignment horizontal="left" vertical="center" wrapText="1"/>
    </xf>
    <xf numFmtId="0" fontId="35" fillId="0" borderId="4" applyAlignment="1" pivotButton="0" quotePrefix="1" xfId="0">
      <alignment horizontal="center" vertical="center" wrapText="1"/>
    </xf>
    <xf numFmtId="0" fontId="35" fillId="0" borderId="4" applyAlignment="1" pivotButton="0" quotePrefix="0" xfId="0">
      <alignment horizontal="right" vertical="center" wrapText="1"/>
    </xf>
    <xf numFmtId="0" fontId="32" fillId="0" borderId="4" applyAlignment="1" pivotButton="0" quotePrefix="0" xfId="0">
      <alignment horizontal="left" vertical="center" wrapText="1"/>
    </xf>
    <xf numFmtId="0" fontId="35" fillId="10" borderId="4" applyAlignment="1" pivotButton="0" quotePrefix="0" xfId="0">
      <alignment horizontal="left" vertical="center" wrapText="1"/>
    </xf>
    <xf numFmtId="0" fontId="35" fillId="0" borderId="4" applyAlignment="1" pivotButton="0" quotePrefix="0" xfId="0">
      <alignment horizontal="left" vertical="center" wrapText="1"/>
    </xf>
    <xf numFmtId="0" fontId="77" fillId="0" borderId="4" applyAlignment="1" pivotButton="0" quotePrefix="0" xfId="0">
      <alignment horizontal="left" vertical="center" wrapText="1"/>
    </xf>
    <xf numFmtId="0" fontId="79" fillId="0" borderId="4" applyAlignment="1" pivotButton="0" quotePrefix="0" xfId="0">
      <alignment horizontal="left" vertical="center" wrapText="1"/>
    </xf>
    <xf numFmtId="0" fontId="79" fillId="0" borderId="4" applyAlignment="1" pivotButton="0" quotePrefix="0" xfId="0">
      <alignment horizontal="center" vertical="center" wrapText="1"/>
    </xf>
    <xf numFmtId="0" fontId="83" fillId="18" borderId="4" applyAlignment="1" pivotButton="0" quotePrefix="0" xfId="0">
      <alignment horizontal="left" vertical="center" wrapText="1"/>
    </xf>
    <xf numFmtId="0" fontId="84" fillId="0" borderId="4" applyAlignment="1" pivotButton="0" quotePrefix="0" xfId="0">
      <alignment horizontal="left" vertical="center" wrapText="1"/>
    </xf>
    <xf numFmtId="0" fontId="94" fillId="0" borderId="4" applyAlignment="1" pivotButton="0" quotePrefix="0" xfId="0">
      <alignment horizontal="center" vertical="center" wrapText="1"/>
    </xf>
    <xf numFmtId="0" fontId="94" fillId="0" borderId="4" applyAlignment="1" pivotButton="0" quotePrefix="1" xfId="0">
      <alignment horizontal="center" vertical="center" wrapText="1"/>
    </xf>
    <xf numFmtId="0" fontId="137" fillId="0" borderId="0" pivotButton="0" quotePrefix="0" xfId="0"/>
    <xf numFmtId="166" fontId="138" fillId="83" borderId="22" applyAlignment="1" pivotButton="0" quotePrefix="0" xfId="0">
      <alignment horizontal="center" vertical="center"/>
    </xf>
    <xf numFmtId="0" fontId="138" fillId="83" borderId="22" applyAlignment="1" pivotButton="0" quotePrefix="0" xfId="0">
      <alignment horizontal="center" vertical="center"/>
    </xf>
    <xf numFmtId="166" fontId="138" fillId="83" borderId="22" applyAlignment="1" pivotButton="0" quotePrefix="0" xfId="0">
      <alignment horizontal="center" vertical="center"/>
    </xf>
  </cellXfs>
  <cellStyles count="1">
    <cellStyle name="Normal" xfId="0" builtinId="0"/>
  </cellStyles>
  <dxfs count="3">
    <dxf>
      <font>
        <b val="1"/>
        <color rgb="FF117233"/>
      </font>
      <fill>
        <patternFill patternType="solid">
          <fgColor rgb="FFE5F4EA"/>
          <bgColor rgb="FFE5F4EA"/>
        </patternFill>
      </fill>
      <border/>
    </dxf>
    <dxf>
      <font>
        <b val="1"/>
        <color rgb="FF1966D8"/>
      </font>
      <fill>
        <patternFill patternType="solid">
          <fgColor rgb="FFE8EFFF"/>
          <bgColor rgb="FFE8EFFF"/>
        </patternFill>
      </fill>
      <border/>
    </dxf>
    <dxf>
      <font>
        <b val="1"/>
        <color rgb="FFC4211E"/>
      </font>
      <fill>
        <patternFill patternType="solid">
          <fgColor rgb="FFFCE8E5"/>
          <bgColor rgb="FFFCE8E5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styles" Target="styles.xml" Id="rId46"/><Relationship Type="http://schemas.openxmlformats.org/officeDocument/2006/relationships/theme" Target="theme/theme1.xml" Id="rId4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200" b="1">
                <a:solidFill>
                  <a:srgbClr val="19263F"/>
                </a:solidFill>
                <a:latin typeface="+mn-lt"/>
              </a:defRPr>
            </a:pPr>
            <a:r>
              <a:rPr sz="1200" b="1">
                <a:solidFill>
                  <a:srgbClr val="19263F"/>
                </a:solidFill>
                <a:latin typeface="+mn-lt"/>
              </a:rPr>
              <a:t>📊 Структура капитала: Факт vs Упущенная прибыль vs Потенциал (To-Be)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rgbClr val="26A566"/>
            </a:solidFill>
            <a:ln xmlns:a="http://schemas.openxmlformats.org/drawingml/2006/main" cmpd="sng">
              <a:noFill/>
              <a:prstDash val="solid"/>
            </a:ln>
          </spPr>
          <invertIfNegative val="0"/>
          <cat>
            <strRef>
              <f>'⚡ Экспресс_Калькулятор_3_Цифры'!$G$5:$G$7</f>
            </strRef>
          </cat>
          <val>
            <numRef>
              <f>'⚡ Экспресс_Калькулятор_3_Цифры'!$H$5:$H$7</f>
              <numCache/>
            </numRef>
          </val>
        </ser>
        <gapWidth val="150"/>
        <axId val="1216520258"/>
        <axId val="1240287634"/>
      </barChart>
      <catAx>
        <axId val="1216520258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1240287634"/>
        <lblOffset val="100"/>
      </catAx>
      <valAx>
        <axId val="1240287634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minorGridlines>
          <spPr>
            <a:ln xmlns:a="http://schemas.openxmlformats.org/drawingml/2006/main">
              <a:solidFill>
                <a:srgbClr val="CCCCCC"/>
              </a:solidFill>
              <a:prstDash val="solid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Объем капитала, ₽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1216520258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200" b="1">
                <a:solidFill>
                  <a:srgbClr val="CC1919"/>
                </a:solidFill>
                <a:latin typeface="+mn-lt"/>
              </a:defRPr>
            </a:pPr>
            <a:r>
              <a:rPr sz="1200" b="1">
                <a:solidFill>
                  <a:srgbClr val="CC1919"/>
                </a:solidFill>
                <a:latin typeface="+mn-lt"/>
              </a:rPr>
              <a:t>🚨 Распределение капитала в зоне риска по инцидентам дня (₽)</a:t>
            </a:r>
          </a:p>
        </rich>
      </tx>
      <overlay val="0"/>
    </title>
    <plotArea>
      <layout/>
      <barChart>
        <barDir val="bar"/>
        <grouping val="clustered"/>
        <varyColors val="0"/>
        <ser>
          <idx val="0"/>
          <order val="0"/>
          <spPr>
            <a:solidFill xmlns:a="http://schemas.openxmlformats.org/drawingml/2006/main">
              <a:srgbClr val="E53F33"/>
            </a:solidFill>
            <a:ln xmlns:a="http://schemas.openxmlformats.org/drawingml/2006/main" cmpd="sng">
              <a:noFill/>
              <a:prstDash val="solid"/>
            </a:ln>
          </spPr>
          <invertIfNegative val="0"/>
          <cat>
            <strRef>
              <f>'📋 Пульт_РОПа_15_Минут'!$B$9:$B$13</f>
            </strRef>
          </cat>
          <val>
            <numRef>
              <f>'📋 Пульт_РОПа_15_Минут'!$D$9:$D$13</f>
              <numCache/>
            </numRef>
          </val>
        </ser>
        <gapWidth val="150"/>
        <axId val="1117493746"/>
        <axId val="1735192569"/>
      </barChart>
      <catAx>
        <axId val="1117493746"/>
        <scaling>
          <orientation val="maxMin"/>
        </scaling>
        <delete val="0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1735192569"/>
        <lblOffset val="100"/>
      </catAx>
      <valAx>
        <axId val="1735192569"/>
        <scaling>
          <orientation val="minMax"/>
        </scaling>
        <delete val="0"/>
        <axPos val="b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minorGridlines>
          <spPr>
            <a:ln xmlns:a="http://schemas.openxmlformats.org/drawingml/2006/main">
              <a:solidFill>
                <a:srgbClr val="CCCCCC"/>
              </a:solidFill>
              <a:prstDash val="solid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Сумма в риске, ₽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1117493746"/>
        <crosses val="max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300" b="1">
                <a:solidFill>
                  <a:srgbClr val="1C1713"/>
                </a:solidFill>
                <a:latin typeface="Roboto"/>
              </a:defRPr>
            </a:pPr>
            <a:r>
              <a:rPr sz="1300" b="1">
                <a:solidFill>
                  <a:srgbClr val="1C1713"/>
                </a:solidFill>
                <a:latin typeface="Roboto"/>
              </a:rPr>
              <a:t>Контроль качества звонков: средний балл по менеджерам (из 13)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strRef>
              <f>calc_engine!$G$42</f>
            </strRef>
          </tx>
          <spPr>
            <a:solidFill xmlns:a="http://schemas.openxmlformats.org/drawingml/2006/main">
              <a:srgbClr val="487A9D"/>
            </a:solidFill>
            <a:ln xmlns:a="http://schemas.openxmlformats.org/drawingml/2006/main" cmpd="sng">
              <a:noFill/>
              <a:prstDash val="solid"/>
            </a:ln>
          </spPr>
          <invertIfNegative val="0"/>
          <cat>
            <strRef>
              <f>calc_engine!$B$43:$B$45</f>
            </strRef>
          </cat>
          <val>
            <numRef>
              <f>calc_engine!$G$43:$G$45</f>
              <numCache/>
            </numRef>
          </val>
        </ser>
        <gapWidth val="150"/>
        <axId val="1225772454"/>
        <axId val="696466838"/>
      </barChart>
      <catAx>
        <axId val="1225772454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Менеджер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t>None</a:t>
            </a:r>
          </a:p>
        </txPr>
        <crossAx val="696466838"/>
        <lblOffset val="100"/>
      </catAx>
      <valAx>
        <axId val="696466838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minorGridlines>
          <spPr>
            <a:ln xmlns:a="http://schemas.openxmlformats.org/drawingml/2006/main">
              <a:solidFill>
                <a:srgbClr val="CCCCCC"/>
              </a:solidFill>
              <a:prstDash val="solid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Средний балл (из 13)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t>None</a:t>
            </a:r>
          </a:p>
        </txPr>
        <crossAx val="1225772454"/>
      </valAx>
    </plotArea>
    <plotVisOnly val="0"/>
    <dispBlanksAs val="gap"/>
  </chart>
  <spPr>
    <a:solidFill xmlns:a="http://schemas.openxmlformats.org/drawingml/2006/main">
      <a:srgbClr val="FFFFFF"/>
    </a:solidFill>
    <a:ln xmlns:a="http://schemas.openxmlformats.org/drawingml/2006/main">
      <a:prstDash val="solid"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200" b="1">
                <a:solidFill>
                  <a:srgbClr val="BF1919"/>
                </a:solidFill>
                <a:latin typeface="+mn-lt"/>
              </a:defRPr>
            </a:pPr>
            <a:r>
              <a:rPr sz="1200" b="1">
                <a:solidFill>
                  <a:srgbClr val="BF1919"/>
                </a:solidFill>
                <a:latin typeface="+mn-lt"/>
              </a:rPr>
              <a:t>🔴 Топ финансовых дыр воронки ОП по объему потерь (₽)</a:t>
            </a:r>
          </a:p>
        </rich>
      </tx>
      <overlay val="0"/>
    </title>
    <plotArea>
      <layout/>
      <barChart>
        <barDir val="bar"/>
        <grouping val="clustered"/>
        <varyColors val="0"/>
        <ser>
          <idx val="0"/>
          <order val="0"/>
          <spPr>
            <a:solidFill xmlns:a="http://schemas.openxmlformats.org/drawingml/2006/main">
              <a:srgbClr val="D82626"/>
            </a:solidFill>
            <a:ln xmlns:a="http://schemas.openxmlformats.org/drawingml/2006/main" cmpd="sng">
              <a:noFill/>
              <a:prstDash val="solid"/>
            </a:ln>
          </spPr>
          <invertIfNegative val="0"/>
          <cat>
            <strRef>
              <f>'💸 Диагностика_Утечек_ОП'!$B$9:$B$15</f>
            </strRef>
          </cat>
          <val>
            <numRef>
              <f>'💸 Диагностика_Утечек_ОП'!$E$9:$E$15</f>
              <numCache/>
            </numRef>
          </val>
        </ser>
        <gapWidth val="150"/>
        <axId val="641738822"/>
        <axId val="1645838676"/>
      </barChart>
      <catAx>
        <axId val="641738822"/>
        <scaling>
          <orientation val="maxMin"/>
        </scaling>
        <delete val="0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1645838676"/>
        <lblOffset val="100"/>
      </catAx>
      <valAx>
        <axId val="1645838676"/>
        <scaling>
          <orientation val="minMax"/>
        </scaling>
        <delete val="0"/>
        <axPos val="b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minorGridlines>
          <spPr>
            <a:ln xmlns:a="http://schemas.openxmlformats.org/drawingml/2006/main">
              <a:solidFill>
                <a:srgbClr val="CCCCCC"/>
              </a:solidFill>
              <a:prstDash val="solid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Упущенная выгода, ₽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641738822"/>
        <crosses val="max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100" b="1">
                <a:solidFill>
                  <a:srgbClr val="757575"/>
                </a:solidFill>
                <a:latin typeface="+mn-lt"/>
              </a:defRPr>
            </a:pPr>
            <a:r>
              <a:rPr sz="1100" b="1">
                <a:solidFill>
                  <a:srgbClr val="757575"/>
                </a:solidFill>
                <a:latin typeface="+mn-lt"/>
              </a:rPr>
              <a:t>🚨 Топ-5 критических рисков выручки (₽)</a:t>
            </a:r>
          </a:p>
        </rich>
      </tx>
      <overlay val="0"/>
    </title>
    <plotArea>
      <layout/>
      <barChart>
        <barDir val="bar"/>
        <grouping val="clustered"/>
        <varyColors val="0"/>
        <ser>
          <idx val="0"/>
          <order val="0"/>
          <spPr>
            <a:solidFill xmlns:a="http://schemas.openxmlformats.org/drawingml/2006/main">
              <a:srgbClr val="DB2626"/>
            </a:solidFill>
            <a:ln xmlns:a="http://schemas.openxmlformats.org/drawingml/2006/main" cmpd="sng">
              <a:noFill/>
              <a:prstDash val="solid"/>
            </a:ln>
          </spPr>
          <invertIfNegative val="0"/>
          <cat>
            <strRef>
              <f>'📄 Executive_OnePager'!$F$9:$F$13</f>
            </strRef>
          </cat>
          <val>
            <numRef>
              <f>'📄 Executive_OnePager'!$H$9:$H$13</f>
              <numCache/>
            </numRef>
          </val>
        </ser>
        <gapWidth val="150"/>
        <axId val="529847912"/>
        <axId val="1910537079"/>
      </barChart>
      <catAx>
        <axId val="529847912"/>
        <scaling>
          <orientation val="maxMin"/>
        </scaling>
        <delete val="0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1910537079"/>
        <lblOffset val="100"/>
      </catAx>
      <valAx>
        <axId val="1910537079"/>
        <scaling>
          <orientation val="minMax"/>
        </scaling>
        <delete val="0"/>
        <axPos val="b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minorGridlines>
          <spPr>
            <a:ln xmlns:a="http://schemas.openxmlformats.org/drawingml/2006/main">
              <a:solidFill>
                <a:srgbClr val="CCCCCC"/>
              </a:solidFill>
              <a:prstDash val="solid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529847912"/>
        <crosses val="max"/>
      </valAx>
    </plotArea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100" b="1">
                <a:solidFill>
                  <a:srgbClr val="193366"/>
                </a:solidFill>
                <a:latin typeface="+mn-lt"/>
              </a:defRPr>
            </a:pPr>
            <a:r>
              <a:rPr sz="1100" b="1">
                <a:solidFill>
                  <a:srgbClr val="193366"/>
                </a:solidFill>
                <a:latin typeface="+mn-lt"/>
              </a:rPr>
              <a:t>🎲 Коридор уверенности выручки Монте-Карло: P10 vs P50 vs P90 vs План (₽)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rgbClr val="267FBF"/>
            </a:solidFill>
            <a:ln xmlns:a="http://schemas.openxmlformats.org/drawingml/2006/main" cmpd="sng">
              <a:noFill/>
              <a:prstDash val="solid"/>
            </a:ln>
          </spPr>
          <invertIfNegative val="0"/>
          <cat>
            <strRef>
              <f>calc_engine!$A$232:$A$235</f>
            </strRef>
          </cat>
          <val>
            <numRef>
              <f>calc_engine!$B$232:$B$235</f>
              <numCache/>
            </numRef>
          </val>
        </ser>
        <gapWidth val="150"/>
        <axId val="1407507170"/>
        <axId val="1383579809"/>
      </barChart>
      <catAx>
        <axId val="140750717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1383579809"/>
        <lblOffset val="100"/>
      </catAx>
      <valAx>
        <axId val="1383579809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minorGridlines>
          <spPr>
            <a:ln xmlns:a="http://schemas.openxmlformats.org/drawingml/2006/main">
              <a:solidFill>
                <a:srgbClr val="CCCCCC"/>
              </a:solidFill>
              <a:prstDash val="solid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Ожидаемая касса, ₽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1407507170"/>
      </valAx>
    </plotArea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100" b="1">
                <a:solidFill>
                  <a:srgbClr val="757575"/>
                </a:solidFill>
                <a:latin typeface="+mn-lt"/>
              </a:defRPr>
            </a:pPr>
            <a:r>
              <a:rPr sz="1100" b="1">
                <a:solidFill>
                  <a:srgbClr val="757575"/>
                </a:solidFill>
                <a:latin typeface="+mn-lt"/>
              </a:rPr>
              <a:t>📊 Воронка капитала по этапам CRM (Номинал vs Взвешенный, ₽)</a:t>
            </a:r>
          </a:p>
        </rich>
      </tx>
      <overlay val="0"/>
    </title>
    <plotArea>
      <layout/>
      <barChart>
        <barDir val="bar"/>
        <grouping val="clustered"/>
        <ser>
          <idx val="0"/>
          <order val="0"/>
          <spPr>
            <a:solidFill xmlns:a="http://schemas.openxmlformats.org/drawingml/2006/main">
              <a:srgbClr val="2659A5"/>
            </a:solidFill>
            <a:ln xmlns:a="http://schemas.openxmlformats.org/drawingml/2006/main" cmpd="sng">
              <a:noFill/>
              <a:prstDash val="solid"/>
            </a:ln>
          </spPr>
          <invertIfNegative val="0"/>
          <cat>
            <strRef>
              <f>'⚡ Пульс_Компании'!$A$9:$A$15</f>
            </strRef>
          </cat>
          <val>
            <numRef>
              <f>'⚡ Пульс_Компании'!$C$9:$C$15</f>
              <numCache/>
            </numRef>
          </val>
        </ser>
        <ser>
          <idx val="1"/>
          <order val="1"/>
          <spPr>
            <a:solidFill xmlns:a="http://schemas.openxmlformats.org/drawingml/2006/main">
              <a:srgbClr val="19A566"/>
            </a:solidFill>
            <a:ln xmlns:a="http://schemas.openxmlformats.org/drawingml/2006/main" cmpd="sng">
              <a:noFill/>
              <a:prstDash val="solid"/>
            </a:ln>
          </spPr>
          <invertIfNegative val="0"/>
          <cat>
            <strRef>
              <f>'⚡ Пульс_Компании'!$A$9:$A$15</f>
            </strRef>
          </cat>
          <val>
            <numRef>
              <f>'⚡ Пульс_Компании'!$D$9:$D$15</f>
              <numCache/>
            </numRef>
          </val>
        </ser>
        <gapWidth val="150"/>
        <axId val="1040845263"/>
        <axId val="103579082"/>
      </barChart>
      <catAx>
        <axId val="1040845263"/>
        <scaling>
          <orientation val="maxMin"/>
        </scaling>
        <delete val="0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103579082"/>
        <lblOffset val="100"/>
      </catAx>
      <valAx>
        <axId val="103579082"/>
        <scaling>
          <orientation val="minMax"/>
        </scaling>
        <delete val="0"/>
        <axPos val="b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minorGridlines>
          <spPr>
            <a:ln xmlns:a="http://schemas.openxmlformats.org/drawingml/2006/main">
              <a:solidFill>
                <a:srgbClr val="CCCCCC"/>
              </a:solidFill>
              <a:prstDash val="solid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1040845263"/>
        <crosses val="max"/>
      </valAx>
    </plotArea>
    <legend>
      <legendPos val="b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100" b="1">
                <a:solidFill>
                  <a:srgbClr val="757575"/>
                </a:solidFill>
                <a:latin typeface="+mn-lt"/>
              </a:defRPr>
            </a:pPr>
            <a:r>
              <a:rPr sz="1100" b="1">
                <a:solidFill>
                  <a:srgbClr val="757575"/>
                </a:solidFill>
                <a:latin typeface="+mn-lt"/>
              </a:rPr>
              <a:t>🎯 Выручка, Пайплайн и Прогноз vs План (₽)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rgbClr val="4F44E5"/>
            </a:solidFill>
            <a:ln xmlns:a="http://schemas.openxmlformats.org/drawingml/2006/main" cmpd="sng">
              <a:noFill/>
              <a:prstDash val="solid"/>
            </a:ln>
          </spPr>
          <invertIfNegative val="0"/>
          <cat>
            <strRef>
              <f>'⚡ Пульс_Компании'!$F$9:$F$13</f>
            </strRef>
          </cat>
          <val>
            <numRef>
              <f>'⚡ Пульс_Компании'!$G$9:$G$13</f>
              <numCache/>
            </numRef>
          </val>
        </ser>
        <gapWidth val="150"/>
        <axId val="127650170"/>
        <axId val="170387966"/>
      </barChart>
      <catAx>
        <axId val="12765017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170387966"/>
        <lblOffset val="100"/>
      </catAx>
      <valAx>
        <axId val="170387966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minorGridlines>
          <spPr>
            <a:ln xmlns:a="http://schemas.openxmlformats.org/drawingml/2006/main">
              <a:solidFill>
                <a:srgbClr val="CCCCCC"/>
              </a:solidFill>
              <a:prstDash val="solid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127650170"/>
      </valAx>
    </plotArea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100" b="1">
                <a:solidFill>
                  <a:srgbClr val="757575"/>
                </a:solidFill>
                <a:latin typeface="+mn-lt"/>
              </a:defRPr>
            </a:pPr>
            <a:r>
              <a:rPr sz="1100" b="1">
                <a:solidFill>
                  <a:srgbClr val="757575"/>
                </a:solidFill>
                <a:latin typeface="+mn-lt"/>
              </a:rPr>
              <a:t>🎯 Динамика сквозной воронки (Сквозной поток лидов и сделок)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rgbClr val="2659A5"/>
            </a:solidFill>
            <a:ln xmlns:a="http://schemas.openxmlformats.org/drawingml/2006/main" cmpd="sng">
              <a:noFill/>
              <a:prstDash val="solid"/>
            </a:ln>
          </spPr>
          <invertIfNegative val="0"/>
          <cat>
            <strRef>
              <f>'🎯 Воронка_и_SLA'!$A$4:$A$10</f>
            </strRef>
          </cat>
          <val>
            <numRef>
              <f>'🎯 Воронка_и_SLA'!$B$4:$B$10</f>
              <numCache/>
            </numRef>
          </val>
        </ser>
        <gapWidth val="150"/>
        <axId val="1412866361"/>
        <axId val="1887656969"/>
      </barChart>
      <catAx>
        <axId val="1412866361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1887656969"/>
        <lblOffset val="100"/>
      </catAx>
      <valAx>
        <axId val="1887656969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minorGridlines>
          <spPr>
            <a:ln xmlns:a="http://schemas.openxmlformats.org/drawingml/2006/main">
              <a:solidFill>
                <a:srgbClr val="CCCCCC"/>
              </a:solidFill>
              <a:prstDash val="solid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1412866361"/>
      </valAx>
    </plotArea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300" b="1">
                <a:solidFill>
                  <a:srgbClr val="1C1713"/>
                </a:solidFill>
                <a:latin typeface="Roboto"/>
              </a:defRPr>
            </a:pPr>
            <a:r>
              <a:rPr sz="1300" b="1">
                <a:solidFill>
                  <a:srgbClr val="1C1713"/>
                </a:solidFill>
                <a:latin typeface="Roboto"/>
              </a:rPr>
              <a:t>Структура потерь по причинам отказа</a:t>
            </a:r>
          </a:p>
        </rich>
      </tx>
      <overlay val="0"/>
    </title>
    <plotArea>
      <layout/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ln xmlns:a="http://schemas.openxmlformats.org/drawingml/2006/main">
                <a:prstDash val="solid"/>
              </a:ln>
            </spPr>
          </dPt>
          <dPt>
            <idx val="1"/>
            <spPr>
              <a:ln xmlns:a="http://schemas.openxmlformats.org/drawingml/2006/main">
                <a:prstDash val="solid"/>
              </a:ln>
            </spPr>
          </dPt>
          <dPt>
            <idx val="2"/>
            <spPr>
              <a:ln xmlns:a="http://schemas.openxmlformats.org/drawingml/2006/main">
                <a:prstDash val="solid"/>
              </a:ln>
            </spPr>
          </dPt>
          <dPt>
            <idx val="3"/>
            <spPr>
              <a:ln xmlns:a="http://schemas.openxmlformats.org/drawingml/2006/main">
                <a:prstDash val="solid"/>
              </a:ln>
            </spPr>
          </dPt>
          <dPt>
            <idx val="4"/>
            <spPr>
              <a:ln xmlns:a="http://schemas.openxmlformats.org/drawingml/2006/main">
                <a:prstDash val="solid"/>
              </a:ln>
            </spPr>
          </dPt>
          <dLbls>
            <showLegendKey val="0"/>
            <showVal val="0"/>
            <showCatName val="0"/>
            <showSerName val="0"/>
            <showPercent val="0"/>
            <showBubbleSize val="0"/>
            <showLeaderLines val="1"/>
          </dLbls>
          <cat>
            <strRef>
              <f>'🎯 Воронка_и_SLA'!$A$17:$A$21</f>
            </strRef>
          </cat>
          <val>
            <numRef>
              <f>'🎯 Воронка_и_SLA'!$C$17:$C$21</f>
              <numCache/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firstSliceAng val="0"/>
        <holeSize val="40"/>
      </doughnutChart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Roboto"/>
            </a:defRPr>
          </a:pPr>
          <a:r>
            <a:t>None</a:t>
          </a:r>
        </a:p>
      </txPr>
    </legend>
    <plotVisOnly val="0"/>
    <dispBlanksAs val="gap"/>
  </chart>
  <spPr>
    <a:solidFill xmlns:a="http://schemas.openxmlformats.org/drawingml/2006/main">
      <a:srgbClr val="FFFFFF"/>
    </a:solidFill>
    <a:ln xmlns:a="http://schemas.openxmlformats.org/drawingml/2006/main">
      <a:prstDash val="solid"/>
    </a:ln>
  </spPr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300" b="1">
                <a:solidFill>
                  <a:srgbClr val="1C1713"/>
                </a:solidFill>
                <a:latin typeface="Roboto"/>
              </a:defRPr>
            </a:pPr>
            <a:r>
              <a:rPr sz="1300" b="1">
                <a:solidFill>
                  <a:srgbClr val="1C1713"/>
                </a:solidFill>
                <a:latin typeface="Roboto"/>
              </a:rPr>
              <a:t>Эффективность каналов: Расходы (Spend) vs Выручка (Revenue)</a:t>
            </a:r>
          </a:p>
        </rich>
      </tx>
      <overlay val="0"/>
    </title>
    <plotArea>
      <layout/>
      <barChart>
        <barDir val="col"/>
        <grouping val="clustered"/>
        <ser>
          <idx val="0"/>
          <order val="0"/>
          <tx>
            <strRef>
              <f>calc_engine!$B$84</f>
            </strRef>
          </tx>
          <spPr>
            <a:solidFill xmlns:a="http://schemas.openxmlformats.org/drawingml/2006/main">
              <a:srgbClr val="C65951"/>
            </a:solidFill>
            <a:ln xmlns:a="http://schemas.openxmlformats.org/drawingml/2006/main" cmpd="sng">
              <a:noFill/>
              <a:prstDash val="solid"/>
            </a:ln>
          </spPr>
          <invertIfNegative val="0"/>
          <cat>
            <strRef>
              <f>calc_engine!$A$85:$A$87</f>
            </strRef>
          </cat>
          <val>
            <numRef>
              <f>calc_engine!$B$85:$B$87</f>
              <numCache/>
            </numRef>
          </val>
        </ser>
        <ser>
          <idx val="1"/>
          <order val="1"/>
          <tx>
            <strRef>
              <f>calc_engine!$D$84</f>
            </strRef>
          </tx>
          <spPr>
            <a:solidFill xmlns:a="http://schemas.openxmlformats.org/drawingml/2006/main">
              <a:srgbClr val="388E68"/>
            </a:solidFill>
            <a:ln xmlns:a="http://schemas.openxmlformats.org/drawingml/2006/main" cmpd="sng">
              <a:noFill/>
              <a:prstDash val="solid"/>
            </a:ln>
          </spPr>
          <invertIfNegative val="0"/>
          <cat>
            <strRef>
              <f>calc_engine!$A$85:$A$87</f>
            </strRef>
          </cat>
          <val>
            <numRef>
              <f>calc_engine!$D$85:$D$87</f>
              <numCache/>
            </numRef>
          </val>
        </ser>
        <gapWidth val="150"/>
        <axId val="1855919361"/>
        <axId val="1196573037"/>
      </barChart>
      <catAx>
        <axId val="1855919361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Маркетинговый канал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t>None</a:t>
            </a:r>
          </a:p>
        </txPr>
        <crossAx val="1196573037"/>
        <lblOffset val="100"/>
      </catAx>
      <valAx>
        <axId val="1196573037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minorGridlines>
          <spPr>
            <a:ln xmlns:a="http://schemas.openxmlformats.org/drawingml/2006/main">
              <a:solidFill>
                <a:srgbClr val="CCCCCC"/>
              </a:solidFill>
              <a:prstDash val="solid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Сумма, ₽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t>None</a:t>
            </a:r>
          </a:p>
        </txPr>
        <crossAx val="1855919361"/>
      </valAx>
    </plotArea>
    <legend>
      <legendPos val="b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Roboto"/>
            </a:defRPr>
          </a:pPr>
          <a:r>
            <a:t>None</a:t>
          </a:r>
        </a:p>
      </txPr>
    </legend>
    <plotVisOnly val="0"/>
    <dispBlanksAs val="gap"/>
  </chart>
  <spPr>
    <a:solidFill xmlns:a="http://schemas.openxmlformats.org/drawingml/2006/main">
      <a:srgbClr val="FFFFFF"/>
    </a:solidFill>
    <a:ln xmlns:a="http://schemas.openxmlformats.org/drawingml/2006/main"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Relationship Type="http://schemas.openxmlformats.org/officeDocument/2006/relationships/chart" Target="/xl/charts/chart8.xml" Id="rId2"/></Relationships>
</file>

<file path=xl/drawings/_rels/drawing8.xml.rels><Relationships xmlns="http://schemas.openxmlformats.org/package/2006/relationships"><Relationship Type="http://schemas.openxmlformats.org/officeDocument/2006/relationships/chart" Target="/xl/charts/chart9.xml" Id="rId1"/><Relationship Type="http://schemas.openxmlformats.org/officeDocument/2006/relationships/chart" Target="/xl/charts/chart10.xml" Id="rId2"/></Relationships>
</file>

<file path=xl/drawings/_rels/drawing9.xml.rels><Relationships xmlns="http://schemas.openxmlformats.org/package/2006/relationships"><Relationship Type="http://schemas.openxmlformats.org/officeDocument/2006/relationships/chart" Target="/xl/charts/chart1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3</row>
      <rowOff>0</rowOff>
    </from>
    <ext cx="4572000" cy="304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16</row>
      <rowOff>0</rowOff>
    </from>
    <ext cx="5715000" cy="304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</wsDr>
</file>

<file path=xl/drawings/drawing3.xml><?xml version="1.0" encoding="utf-8"?>
<wsDr xmlns="http://schemas.openxmlformats.org/drawingml/2006/spreadsheetDrawing">
  <oneCellAnchor>
    <from>
      <col>0</col>
      <colOff>19050</colOff>
      <row>66</row>
      <rowOff>152400</rowOff>
    </from>
    <ext cx="6286500" cy="28575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</wsDr>
</file>

<file path=xl/drawings/drawing4.xml><?xml version="1.0" encoding="utf-8"?>
<wsDr xmlns="http://schemas.openxmlformats.org/drawingml/2006/spreadsheetDrawing">
  <oneCellAnchor>
    <from>
      <col>3</col>
      <colOff>0</colOff>
      <row>17</row>
      <rowOff>0</rowOff>
    </from>
    <ext cx="5905500" cy="32385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</wsDr>
</file>

<file path=xl/drawings/drawing5.xml><?xml version="1.0" encoding="utf-8"?>
<wsDr xmlns="http://schemas.openxmlformats.org/drawingml/2006/spreadsheetDrawing">
  <oneCellAnchor>
    <from>
      <col>4</col>
      <colOff>0</colOff>
      <row>18</row>
      <rowOff>0</rowOff>
    </from>
    <ext cx="4953000" cy="2667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19</row>
      <rowOff>0</rowOff>
    </from>
    <ext cx="6477000" cy="304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27</row>
      <rowOff>0</rowOff>
    </from>
    <ext cx="4381500" cy="314325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  <oneCellAnchor>
    <from>
      <col>3</col>
      <colOff>0</colOff>
      <row>27</row>
      <rowOff>0</rowOff>
    </from>
    <ext cx="4572000" cy="314325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fLocksWithSheet="0"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26</row>
      <rowOff>0</rowOff>
    </from>
    <ext cx="4572000" cy="314325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  <oneCellAnchor>
    <from>
      <col>3</col>
      <colOff>0</colOff>
      <row>26</row>
      <rowOff>0</rowOff>
    </from>
    <ext cx="4191000" cy="314325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fLocksWithSheet="0"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12</row>
      <rowOff>0</rowOff>
    </from>
    <ext cx="7239000" cy="314325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sheet1.xml><?xml version="1.0" encoding="utf-8"?>
<worksheet xmlns="http://schemas.openxmlformats.org/spreadsheetml/2006/main">
  <sheetPr>
    <tabColor rgb="FF00C659"/>
    <outlinePr summaryBelow="0" summaryRight="0"/>
    <pageSetUpPr/>
  </sheetPr>
  <dimension ref="A1:J30"/>
  <sheetViews>
    <sheetView workbookViewId="0">
      <selection activeCell="A1" sqref="A1"/>
    </sheetView>
  </sheetViews>
  <sheetFormatPr baseColWidth="8" defaultColWidth="12.63" defaultRowHeight="15.75" customHeight="1"/>
  <cols>
    <col width="88.25" customWidth="1" style="461" min="1" max="1"/>
    <col width="104" customWidth="1" style="461" min="2" max="2"/>
    <col width="35.63" customWidth="1" style="461" min="3" max="3"/>
    <col width="21.38" customWidth="1" style="461" min="4" max="4"/>
    <col width="34.88" customWidth="1" style="461" min="5" max="5"/>
    <col width="34.38" customWidth="1" style="461" min="6" max="6"/>
    <col width="20" customWidth="1" style="461" min="7" max="7"/>
    <col width="14.5" customWidth="1" style="461" min="8" max="8"/>
    <col width="10.13" customWidth="1" style="461" min="9" max="10"/>
  </cols>
  <sheetData>
    <row r="1" ht="42" customHeight="1" s="461">
      <c r="A1" s="8" t="n"/>
      <c r="B1" s="8" t="inlineStr">
        <is>
          <t>⚡ ЭКСПРЕСС-КАЛЬКУЛЯТОР УПУЩЕННОЙ ПРИБЫЛИ ОП (ДИАГНОСТИКА ЗА 30 СЕКУНД)</t>
        </is>
      </c>
      <c r="C1" s="8" t="n"/>
      <c r="D1" s="8" t="n"/>
      <c r="E1" s="8" t="n"/>
      <c r="F1" s="8" t="n"/>
      <c r="G1" s="8" t="n"/>
      <c r="H1" s="8" t="n"/>
      <c r="I1" s="10" t="n"/>
      <c r="J1" s="10" t="n"/>
    </row>
    <row r="2" ht="24" customHeight="1" s="461">
      <c r="A2" s="496">
        <f>HYPERLINK("#'📄 Executive_OnePager'!A1", "📄 1. One-Pager")</f>
        <v/>
      </c>
      <c r="B2" s="496">
        <f>HYPERLINK("#'⚡ Пульс_Компании'!A1", "⚡ 2. Пульс компании")</f>
        <v/>
      </c>
      <c r="C2" s="496">
        <f>HYPERLINK("#'📋 Пульт_РОПа_15_Минут'!A1", "📋 3. Пульт РОПа")</f>
        <v/>
      </c>
      <c r="D2" s="496">
        <f>HYPERLINK("#'💸 Диагностика_Утечек_ОП'!A1", "💸 4. 7 Грехов ОП")</f>
        <v/>
      </c>
      <c r="E2" s="496">
        <f>HYPERLINK("#'🎯 Action_Center'!A1", "🎯 5. Action Center")</f>
        <v/>
      </c>
      <c r="F2" s="496">
        <f>HYPERLINK("#'🎙️ ИИ_Аудит'!A1", "🎙️ 6. ИИ-Аудит")</f>
        <v/>
      </c>
      <c r="G2" s="496">
        <f>HYPERLINK("#'⚡ Экспресс_Калькулятор_3_Цифры'!A1", "⚡ 7. Экспресс 3 цифры")</f>
        <v/>
      </c>
      <c r="H2" s="496">
        <f>HYPERLINK("#'🧪 QA_Suite'!A1", "🧪 8. QA Suite")</f>
        <v/>
      </c>
      <c r="I2" s="496">
        <f>HYPERLINK("#'⚙️ Настройки'!A1", "⚙️ 9. Настройки")</f>
        <v/>
      </c>
      <c r="J2" s="199" t="n"/>
    </row>
    <row r="3" ht="12" customHeight="1" s="461">
      <c r="A3" s="199" t="n"/>
      <c r="B3" s="199" t="n"/>
      <c r="C3" s="199" t="n"/>
      <c r="D3" s="199" t="n"/>
      <c r="E3" s="199" t="n"/>
      <c r="F3" s="199" t="n"/>
      <c r="G3" s="199" t="n"/>
      <c r="H3" s="199" t="n"/>
      <c r="I3" s="199" t="n"/>
      <c r="J3" s="199" t="n"/>
    </row>
    <row r="4" ht="30" customHeight="1" s="461">
      <c r="A4" s="36" t="inlineStr">
        <is>
          <t>🎛️ ВВЕДИТЕ 3 ЦИФРЫ ВАШЕГО БИЗНЕСА:</t>
        </is>
      </c>
      <c r="B4" s="36" t="n"/>
      <c r="C4" s="36" t="inlineStr">
        <is>
          <t>📊 БАЗОВЫЕ ПОКАЗАТЕЛИ (AS-IS):</t>
        </is>
      </c>
      <c r="D4" s="36" t="n"/>
      <c r="E4" s="36" t="n"/>
      <c r="F4" s="36" t="n"/>
      <c r="G4" s="199" t="inlineStr">
        <is>
          <t>Категория капитала</t>
        </is>
      </c>
      <c r="H4" s="199" t="inlineStr">
        <is>
          <t>Объем, ₽</t>
        </is>
      </c>
      <c r="I4" s="199" t="n"/>
      <c r="J4" s="199" t="n"/>
    </row>
    <row r="5" ht="27" customHeight="1" s="461">
      <c r="A5" s="42" t="inlineStr">
        <is>
          <t>1. Входящий поток лидов в месяц (шт):</t>
        </is>
      </c>
      <c r="B5" s="50" t="n">
        <v>150</v>
      </c>
      <c r="C5" s="51" t="inlineStr">
        <is>
          <t>Емкость базы (при 100% конверсии):</t>
        </is>
      </c>
      <c r="D5" s="55">
        <f>B5 * B6</f>
        <v/>
      </c>
      <c r="E5" s="199" t="n"/>
      <c r="F5" s="199" t="n"/>
      <c r="G5" s="199" t="inlineStr">
        <is>
          <t>Факт выручки (As-Is)</t>
        </is>
      </c>
      <c r="H5" s="59">
        <f>D7</f>
        <v/>
      </c>
      <c r="I5" s="199" t="n"/>
      <c r="J5" s="199" t="n"/>
    </row>
    <row r="6" ht="27" customHeight="1" s="461">
      <c r="A6" s="61" t="inlineStr">
        <is>
          <t>2. Средний чек закрытой сделки (₽):</t>
        </is>
      </c>
      <c r="B6" s="63" t="n">
        <v>400000</v>
      </c>
      <c r="C6" s="65" t="inlineStr">
        <is>
          <t>Текущая конверсия в оплату (факт):</t>
        </is>
      </c>
      <c r="D6" s="69">
        <f>D7/MAX(B5*B6, 1)</f>
        <v/>
      </c>
      <c r="E6" s="199" t="n"/>
      <c r="F6" s="199" t="n"/>
      <c r="G6" s="199" t="inlineStr">
        <is>
          <t>Упущенная прибыль ОП</t>
        </is>
      </c>
      <c r="H6" s="59">
        <f>A11</f>
        <v/>
      </c>
      <c r="I6" s="199" t="n"/>
      <c r="J6" s="199" t="n"/>
    </row>
    <row r="7" ht="27" customHeight="1" s="461">
      <c r="A7" s="42" t="inlineStr">
        <is>
          <t>3. Количество менеджеров в ОП (чел):</t>
        </is>
      </c>
      <c r="B7" s="50" t="n">
        <v>4</v>
      </c>
      <c r="C7" s="51" t="inlineStr">
        <is>
          <t>Текущая выручка месяца (факт):</t>
        </is>
      </c>
      <c r="D7" s="74">
        <f>calc_engine!B19</f>
        <v/>
      </c>
      <c r="E7" s="199" t="n"/>
      <c r="F7" s="199" t="n"/>
      <c r="G7" s="199" t="inlineStr">
        <is>
          <t>Потенциал кассы (To-Be)</t>
        </is>
      </c>
      <c r="H7" s="59">
        <f>C11</f>
        <v/>
      </c>
      <c r="I7" s="199" t="n"/>
      <c r="J7" s="199" t="n"/>
    </row>
    <row r="8" ht="25.5" customHeight="1" s="461">
      <c r="A8" s="61" t="inlineStr">
        <is>
          <t>Отраслевой сегмент компании:</t>
        </is>
      </c>
      <c r="B8" s="76" t="inlineStr">
        <is>
          <t>B2B Услуги / Производство</t>
        </is>
      </c>
      <c r="C8" s="65" t="inlineStr">
        <is>
          <t>Нагрузка на одного менеджера (лидов):</t>
        </is>
      </c>
      <c r="D8" s="77">
        <f>ROUND(B5 / MAX(B7,1), 0) &amp; " лид/мес"</f>
        <v/>
      </c>
      <c r="E8" s="199" t="n"/>
      <c r="F8" s="199" t="n"/>
      <c r="G8" s="199" t="n"/>
      <c r="H8" s="199" t="n"/>
      <c r="I8" s="199" t="n"/>
      <c r="J8" s="199" t="n"/>
    </row>
    <row r="9" ht="12" customHeight="1" s="461">
      <c r="A9" s="199" t="n"/>
      <c r="B9" s="199" t="n"/>
      <c r="C9" s="199" t="n"/>
      <c r="D9" s="199" t="n"/>
      <c r="E9" s="199" t="n"/>
      <c r="F9" s="199" t="n"/>
      <c r="G9" s="199" t="n"/>
      <c r="H9" s="199" t="n"/>
      <c r="I9" s="199" t="n"/>
      <c r="J9" s="199" t="n"/>
    </row>
    <row r="10" ht="39" customHeight="1" s="461">
      <c r="A10" s="80" t="inlineStr">
        <is>
          <t>🔴 ВЫЯВЛЕННЫЙ РИСК ПОТЕРЬ</t>
        </is>
      </c>
      <c r="B10" s="80" t="inlineStr">
        <is>
          <t>🟢 КОНСЕРВАТИВНЫЙ (+15%)</t>
        </is>
      </c>
      <c r="C10" s="82" t="inlineStr">
        <is>
          <t>🚀 БАЗОВЫЙ ПЛАН (+30%)</t>
        </is>
      </c>
      <c r="D10" s="82" t="inlineStr">
        <is>
          <t>⭐ ОПТИМИСТИЧНЫЙ (+50%)</t>
        </is>
      </c>
      <c r="E10" s="199" t="n"/>
      <c r="F10" s="199" t="n"/>
      <c r="G10" s="199" t="n"/>
      <c r="H10" s="199" t="n"/>
      <c r="I10" s="199" t="n"/>
      <c r="J10" s="199" t="n"/>
    </row>
    <row r="11" ht="42" customHeight="1" s="461">
      <c r="A11" s="86">
        <f>SUM(D15:D18)</f>
        <v/>
      </c>
      <c r="B11" s="86">
        <f>D7 + A11*0.15</f>
        <v/>
      </c>
      <c r="C11" s="90">
        <f>D7 + A11*0.3</f>
        <v/>
      </c>
      <c r="D11" s="93">
        <f>D7 + A11*0.5</f>
        <v/>
      </c>
      <c r="E11" s="199" t="n"/>
      <c r="F11" s="199" t="n"/>
      <c r="G11" s="199" t="n"/>
      <c r="H11" s="199" t="n"/>
      <c r="I11" s="199" t="n"/>
      <c r="J11" s="199" t="n"/>
    </row>
    <row r="12" ht="12" customHeight="1" s="461">
      <c r="A12" s="199" t="n"/>
      <c r="B12" s="199" t="n"/>
      <c r="C12" s="199" t="n"/>
      <c r="D12" s="199" t="n"/>
      <c r="E12" s="199" t="n"/>
      <c r="F12" s="199" t="n"/>
      <c r="G12" s="199" t="n"/>
      <c r="H12" s="199" t="n"/>
      <c r="I12" s="199" t="n"/>
      <c r="J12" s="199" t="n"/>
    </row>
    <row r="13" ht="30" customHeight="1" s="461">
      <c r="A13" s="36" t="inlineStr">
        <is>
          <t>📊 РАСШИФРОВКА ФИНАНСОВЫХ УТЕЧЕК ПО 4 УЗКИМ МЕСТАМ</t>
        </is>
      </c>
      <c r="B13" s="36" t="n"/>
      <c r="C13" s="36" t="n"/>
      <c r="D13" s="36" t="n"/>
      <c r="E13" s="36" t="n"/>
      <c r="F13" s="36" t="n"/>
      <c r="G13" s="36" t="n"/>
      <c r="H13" s="199" t="n"/>
      <c r="I13" s="199" t="n"/>
      <c r="J13" s="199" t="n"/>
    </row>
    <row r="14" ht="27" customHeight="1" s="461">
      <c r="A14" s="84" t="inlineStr">
        <is>
          <t>№</t>
        </is>
      </c>
      <c r="B14" s="84" t="inlineStr">
        <is>
          <t>Узкое место воронки продаж</t>
        </is>
      </c>
      <c r="C14" s="84" t="inlineStr">
        <is>
          <t>Отраслевой бенчмарк потерь</t>
        </is>
      </c>
      <c r="D14" s="84" t="inlineStr">
        <is>
          <t>Упущенная прибыль, ₽/мес</t>
        </is>
      </c>
      <c r="E14" s="84" t="inlineStr">
        <is>
          <t>Причина утечки</t>
        </is>
      </c>
      <c r="F14" s="84" t="inlineStr">
        <is>
          <t>Как закрываем за 14 дней</t>
        </is>
      </c>
      <c r="G14" s="199" t="n"/>
      <c r="H14" s="199" t="n"/>
      <c r="I14" s="199" t="n"/>
      <c r="J14" s="199" t="n"/>
    </row>
    <row r="15" ht="33" customHeight="1" s="461">
      <c r="A15" s="97" t="n">
        <v>1</v>
      </c>
      <c r="B15" s="98" t="inlineStr">
        <is>
          <t>Слив лидов на звонках (нет Next Step)</t>
        </is>
      </c>
      <c r="C15" s="99" t="inlineStr">
        <is>
          <t>28% выручки теряется из-за ошибок менеджеров на звонках (бенчмарк 2026)</t>
        </is>
      </c>
      <c r="D15" s="104">
        <f>ROUND(D7 * '⚙️ Настройки'!B43, 0)</f>
        <v/>
      </c>
      <c r="E15" s="89" t="inlineStr">
        <is>
          <t>Менеджеры консультируют, но не закрывают на дату</t>
        </is>
      </c>
      <c r="F15" s="106" t="inlineStr">
        <is>
          <t>ИИ-аудит 100% звонков + чек-лист Next Step</t>
        </is>
      </c>
      <c r="G15" s="199" t="n"/>
      <c r="H15" s="199" t="n"/>
      <c r="I15" s="199" t="n"/>
      <c r="J15" s="199" t="n"/>
    </row>
    <row r="16" ht="33" customHeight="1" s="461">
      <c r="A16" s="109" t="n">
        <v>2</v>
      </c>
      <c r="B16" s="111" t="inlineStr">
        <is>
          <t>Зависание сделок на этапе КП &gt; 48ч</t>
        </is>
      </c>
      <c r="C16" s="113" t="inlineStr">
        <is>
          <t>18% выручки теряется из-за просрочки follow-up</t>
        </is>
      </c>
      <c r="D16" s="124">
        <f>ROUND(D7 * '⚙️ Настройки'!B44, 0)</f>
        <v/>
      </c>
      <c r="E16" s="110" t="inlineStr">
        <is>
          <t>Клиент остывает, пока менеджер ждет звонка</t>
        </is>
      </c>
      <c r="F16" s="127" t="inlineStr">
        <is>
          <t>Авторадар SLA 48ч + эскалация РОПу на 3-й день</t>
        </is>
      </c>
      <c r="G16" s="199" t="n"/>
      <c r="H16" s="199" t="n"/>
      <c r="I16" s="199" t="n"/>
      <c r="J16" s="199" t="n"/>
    </row>
    <row r="17" ht="33" customHeight="1" s="461">
      <c r="A17" s="97" t="n">
        <v>3</v>
      </c>
      <c r="B17" s="98" t="inlineStr">
        <is>
          <t>Брошенные отказники без дожима (L1-L4)</t>
        </is>
      </c>
      <c r="C17" s="99" t="inlineStr">
        <is>
          <t>12% — потенциал реактивации списанных отказников CRM</t>
        </is>
      </c>
      <c r="D17" s="104">
        <f>ROUND(D7 * '⚙️ Настройки'!B45, 0)</f>
        <v/>
      </c>
      <c r="E17" s="89" t="inlineStr">
        <is>
          <t>Сделки списаны в архив без реактивации</t>
        </is>
      </c>
      <c r="F17" s="106" t="inlineStr">
        <is>
          <t>AI Recovery Engine: автодожим в WhatsApp/TG</t>
        </is>
      </c>
      <c r="G17" s="199" t="n"/>
      <c r="H17" s="199" t="n"/>
      <c r="I17" s="199" t="n"/>
      <c r="J17" s="199" t="n"/>
    </row>
    <row r="18" ht="33" customHeight="1" s="461">
      <c r="A18" s="109" t="n">
        <v>4</v>
      </c>
      <c r="B18" s="111" t="inlineStr">
        <is>
          <t>Зависшая дебиторка и задержка оплат</t>
        </is>
      </c>
      <c r="C18" s="113" t="inlineStr">
        <is>
          <t>10% выставленных счетов зависают на согласовании (DSO)</t>
        </is>
      </c>
      <c r="D18" s="124">
        <f>ROUND(D7 * '⚙️ Настройки'!B46, 0)</f>
        <v/>
      </c>
      <c r="E18" s="110" t="inlineStr">
        <is>
          <t>Нет платежного календаря и контроля сроков</t>
        </is>
      </c>
      <c r="F18" s="127" t="inlineStr">
        <is>
          <t>Платежный календарь DSO + автонапоминания</t>
        </is>
      </c>
      <c r="G18" s="199" t="n"/>
      <c r="H18" s="199" t="n"/>
      <c r="I18" s="199" t="n"/>
      <c r="J18" s="199" t="n"/>
    </row>
    <row r="19" ht="33" customHeight="1" s="461">
      <c r="A19" s="130" t="n"/>
      <c r="B19" s="131" t="inlineStr">
        <is>
          <t>ИТОГО УПУЩЕННОЙ ПРИБЫЛИ В МЕСЯЦ:</t>
        </is>
      </c>
      <c r="C19" s="130" t="n"/>
      <c r="D19" s="134">
        <f>SUM(D15:D18)</f>
        <v/>
      </c>
      <c r="E19" s="131" t="inlineStr">
        <is>
          <t>ПОТЕНЦИАЛ БЫСТРОГО ВОЗВРАТА:</t>
        </is>
      </c>
      <c r="F19" s="136">
        <f>ROUND(D19 * '⚙️ Настройки'!B48, 0) &amp; " ₽ в первый месяц"</f>
        <v/>
      </c>
      <c r="G19" s="199" t="n"/>
      <c r="H19" s="199" t="n"/>
      <c r="I19" s="199" t="n"/>
      <c r="J19" s="199" t="n"/>
    </row>
    <row r="20" ht="21" customHeight="1" s="461">
      <c r="A20" s="199" t="n"/>
      <c r="B20" s="199" t="n"/>
      <c r="C20" s="199" t="n"/>
      <c r="D20" s="199" t="n"/>
      <c r="E20" s="199" t="n"/>
      <c r="F20" s="199" t="n"/>
      <c r="G20" s="199" t="n"/>
      <c r="H20" s="199" t="n"/>
      <c r="I20" s="199" t="n"/>
      <c r="J20" s="199" t="n"/>
    </row>
    <row r="21" ht="21" customHeight="1" s="461">
      <c r="A21" s="138" t="inlineStr">
        <is>
          <t>🎁 СЛЕДУЮЩИЙ ШАГ: БЕСПЛАТНЫЙ ТЕСТ-ДРАЙВ НА 3 ВАШИХ ЗВОНКАХ</t>
        </is>
      </c>
      <c r="B21" s="138" t="n"/>
      <c r="C21" s="138" t="n"/>
      <c r="D21" s="138" t="n"/>
      <c r="E21" s="138" t="n"/>
      <c r="F21" s="138" t="n"/>
      <c r="G21" s="199" t="n"/>
      <c r="H21" s="199" t="n"/>
      <c r="I21" s="199" t="n"/>
      <c r="J21" s="199" t="n"/>
    </row>
    <row r="22" ht="21" customHeight="1" s="461">
      <c r="A22" s="138" t="inlineStr">
        <is>
          <t>Хотите проверить эту математику на реальных данных вашей компании за 15 минут?</t>
        </is>
      </c>
      <c r="B22" s="138" t="n"/>
      <c r="C22" s="138" t="n"/>
      <c r="D22" s="138" t="n"/>
      <c r="E22" s="138" t="n"/>
      <c r="F22" s="138" t="n"/>
      <c r="G22" s="199" t="n"/>
      <c r="H22" s="199" t="n"/>
      <c r="I22" s="199" t="n"/>
      <c r="J22" s="199" t="n"/>
    </row>
    <row r="23" ht="21" customHeight="1" s="461">
      <c r="A23" s="138" t="inlineStr">
        <is>
          <t>👉 Отправьте 3 аудиозаписи любых вчерашних звонков ваших менеджеров в Telegram.</t>
        </is>
      </c>
      <c r="B23" s="138" t="n"/>
      <c r="C23" s="138" t="n"/>
      <c r="D23" s="138" t="n"/>
      <c r="E23" s="138" t="n"/>
      <c r="F23" s="138" t="n"/>
      <c r="G23" s="199" t="n"/>
      <c r="H23" s="199" t="n"/>
      <c r="I23" s="199" t="n"/>
      <c r="J23" s="199" t="n"/>
    </row>
    <row r="24" ht="21" customHeight="1" s="461">
      <c r="A24" s="138" t="inlineStr">
        <is>
          <t>ИИ бесплатно разберет их по 13 критериям, покажет ошибки речи и рассчитает точную сумму под угрозой слива.</t>
        </is>
      </c>
      <c r="B24" s="138" t="n"/>
      <c r="C24" s="138" t="n"/>
      <c r="D24" s="138" t="n"/>
      <c r="E24" s="138" t="n"/>
      <c r="F24" s="138" t="n"/>
      <c r="G24" s="199" t="n"/>
      <c r="H24" s="199" t="n"/>
      <c r="I24" s="199" t="n"/>
      <c r="J24" s="199" t="n"/>
    </row>
    <row r="25" ht="39" customHeight="1" s="461">
      <c r="A25" s="144">
        <f>HYPERLINK("https://ai-rop.ru/?utm_source=sheets_calculator", "🚀 ЗАПУСТИТЬ БЕСПЛАТНЫЙ ТЕСТ-ДРАЙВ НА 3 ЗВОНКАХ (ПЕРЕЙТИ НА AI-ROP.RU)")</f>
        <v/>
      </c>
      <c r="B25" s="126" t="n"/>
      <c r="C25" s="126" t="n"/>
      <c r="D25" s="126" t="n"/>
      <c r="E25" s="126" t="n"/>
      <c r="F25" s="126" t="n"/>
      <c r="G25" s="199" t="n"/>
      <c r="H25" s="199" t="n"/>
      <c r="I25" s="199" t="n"/>
      <c r="J25" s="199" t="n"/>
    </row>
    <row r="26" ht="22.5" customHeight="1" s="461">
      <c r="A26" s="146" t="n"/>
      <c r="B26" s="146" t="n"/>
      <c r="C26" s="146" t="n"/>
      <c r="D26" s="146" t="n"/>
      <c r="E26" s="146" t="n"/>
      <c r="F26" s="146" t="n"/>
      <c r="G26" s="199" t="n"/>
      <c r="H26" s="199" t="n"/>
      <c r="I26" s="199" t="n"/>
      <c r="J26" s="199" t="n"/>
    </row>
    <row r="27">
      <c r="A27" s="199" t="inlineStr">
        <is>
          <t>🔒 Конфиденциально • Без передачи персональных данных • Экспресс-разбор за 15 минут (152-ФЗ РФ)</t>
        </is>
      </c>
      <c r="B27" s="199" t="n"/>
      <c r="C27" s="199" t="n"/>
      <c r="D27" s="199" t="n"/>
      <c r="E27" s="199" t="n"/>
      <c r="F27" s="199" t="n"/>
      <c r="G27" s="199" t="n"/>
      <c r="H27" s="199" t="n"/>
      <c r="I27" s="199" t="n"/>
      <c r="J27" s="199" t="n"/>
    </row>
    <row r="28">
      <c r="A28" s="199" t="n"/>
      <c r="B28" s="199" t="n"/>
      <c r="C28" s="199" t="n"/>
      <c r="D28" s="199" t="n"/>
      <c r="E28" s="199" t="n"/>
      <c r="F28" s="199" t="n"/>
      <c r="G28" s="199" t="n"/>
      <c r="H28" s="199" t="n"/>
      <c r="I28" s="199" t="n"/>
      <c r="J28" s="199" t="n"/>
    </row>
    <row r="29">
      <c r="A29" s="199" t="n"/>
      <c r="B29" s="199" t="n"/>
      <c r="C29" s="199" t="n"/>
      <c r="D29" s="199" t="n"/>
      <c r="E29" s="199" t="n"/>
      <c r="F29" s="199" t="n"/>
      <c r="G29" s="199" t="n"/>
      <c r="H29" s="199" t="n"/>
      <c r="I29" s="199" t="n"/>
      <c r="J29" s="199" t="n"/>
    </row>
    <row r="30">
      <c r="A30" s="199" t="n"/>
      <c r="B30" s="199" t="n"/>
      <c r="C30" s="199" t="n"/>
      <c r="D30" s="199" t="n"/>
      <c r="E30" s="199" t="n"/>
      <c r="F30" s="199" t="n"/>
      <c r="G30" s="199" t="n"/>
      <c r="H30" s="199" t="n"/>
      <c r="I30" s="199" t="n"/>
      <c r="J30" s="199" t="n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FF5926"/>
    <outlinePr summaryBelow="0" summaryRight="0"/>
    <pageSetUpPr/>
  </sheetPr>
  <dimension ref="A1:J30"/>
  <sheetViews>
    <sheetView workbookViewId="0">
      <selection activeCell="A1" sqref="A1"/>
    </sheetView>
  </sheetViews>
  <sheetFormatPr baseColWidth="8" defaultColWidth="12.63" defaultRowHeight="15.75" customHeight="1"/>
  <cols>
    <col width="15.13" customWidth="1" style="461" min="1" max="1"/>
    <col width="31.5" customWidth="1" style="461" min="2" max="2"/>
    <col width="45.63" customWidth="1" style="461" min="3" max="3"/>
    <col width="25.75" customWidth="1" style="461" min="4" max="4"/>
    <col width="61" customWidth="1" style="461" min="5" max="5"/>
    <col width="55" customWidth="1" style="461" min="6" max="6"/>
    <col width="18.25" customWidth="1" style="461" min="7" max="7"/>
    <col width="67.75" customWidth="1" style="461" min="8" max="8"/>
    <col width="10.13" customWidth="1" style="461" min="9" max="10"/>
  </cols>
  <sheetData>
    <row r="1" ht="42" customHeight="1" s="461">
      <c r="A1" s="8">
        <f>IF(ISNUMBER(SEARCH("CEO", '⚙️ Настройки'!$B$10)), "📋 СТРАТЕГИЧЕСКИЙ ПУЛЬТ СОБСТВЕННИКА: «5 РЕШЕНИЙ МЕСЯЦА»", IF(ISNUMBER(SEARCH("KAM", '⚙️ Настройки'!$B$10)), "📋 ЛИЧНЫЙ ACTION-LIST МЕНЕДЖЕРА НА СЕГОДНЯ (ПЕТРОВ А.)", IF(ISNUMBER(SEARCH("SDR", '⚙️ Настройки'!$B$10)), "📞 ПУЛЬТ ТЕЛЕМАРКЕТОЛОГА: «СКРИПТЫ И ГОРЯЧИЕ ЗВОНКИ»", IF(ISNUMBER(SEARCH("CMO", '⚙️ Настройки'!$B$10)), "📋 ПУЛЬТ ОПТИМИЗАЦИИ ТРАФИКА: «ТОЧКИ СЛИВА БЮДЖЕТА»", IF(ISNUMBER(SEARCH("CFO", '⚙️ Настройки'!$B$10)), "📋 ПЛАТЕЖНЫЙ КАЛЕНДАРЬ И ДЕБИТОРКА: «СРОЧНЫЕ СЧЕТА»", IF(OR(ISNUMBER(SEARCH("Admin", '⚙️ Настройки'!$B$10)), ISNUMBER(SEARCH("Администр", '⚙️ Настройки'!$B$10))), "🔧 ПУЛЬТ АДМИНИСТРАТОРА: «МОНИТОРИНГ И НАСТРОЙКИ СИСТЕМЫ»", "📋 ОПЕРАТИВНЫЙ ПУЛЬТ РОПа: «15 МИНУТ В ДЕНЬ»"))))))</f>
        <v/>
      </c>
      <c r="B1" s="8" t="n"/>
      <c r="C1" s="8" t="n"/>
      <c r="D1" s="8" t="n"/>
      <c r="E1" s="8" t="n"/>
      <c r="F1" s="8" t="n"/>
      <c r="G1" s="8" t="n"/>
      <c r="H1" s="8" t="n"/>
      <c r="I1" s="20" t="n"/>
      <c r="J1" s="20" t="n"/>
    </row>
    <row r="2" ht="24" customHeight="1" s="461">
      <c r="A2" s="496">
        <f>HYPERLINK("#'📄 Executive_OnePager'!A1", "📄 1. One-Pager")</f>
        <v/>
      </c>
      <c r="B2" s="496">
        <f>HYPERLINK("#'⚡ Пульс_Компании'!A1", "⚡ 2. Пульс компании")</f>
        <v/>
      </c>
      <c r="C2" s="496">
        <f>HYPERLINK("#'📋 Пульт_РОПа_15_Минут'!A1", "📋 3. Пульт РОПа")</f>
        <v/>
      </c>
      <c r="D2" s="496">
        <f>HYPERLINK("#'💸 Диагностика_Утечек_ОП'!A1", "💸 4. 7 Грехов ОП")</f>
        <v/>
      </c>
      <c r="E2" s="496">
        <f>HYPERLINK("#'🎯 Action_Center'!A1", "🎯 5. Action Center")</f>
        <v/>
      </c>
      <c r="F2" s="496">
        <f>HYPERLINK("#'🎙️ ИИ_Аудит'!A1", "🎙️ 6. ИИ-Аудит")</f>
        <v/>
      </c>
      <c r="G2" s="496">
        <f>HYPERLINK("#'⚡ Экспресс_Калькулятор_3_Цифры'!A1", "⚡ 7. Экспресс 3 цифры")</f>
        <v/>
      </c>
      <c r="H2" s="496">
        <f>HYPERLINK("#'🧪 QA_Suite'!A1", "🧪 8. QA Suite")</f>
        <v/>
      </c>
      <c r="I2" s="496">
        <f>HYPERLINK("#'⚙️ Настройки'!A1", "⚙️ 9. Настройки")</f>
        <v/>
      </c>
      <c r="J2" s="199" t="n"/>
    </row>
    <row r="3" ht="12" customHeight="1" s="461">
      <c r="A3" s="199" t="n"/>
      <c r="B3" s="32" t="n"/>
      <c r="C3" s="32" t="n"/>
      <c r="D3" s="32" t="n"/>
      <c r="E3" s="32" t="n"/>
      <c r="F3" s="32" t="n"/>
      <c r="G3" s="199" t="n"/>
      <c r="H3" s="199" t="n"/>
      <c r="I3" s="199" t="n"/>
      <c r="J3" s="199" t="n"/>
    </row>
    <row r="4" ht="22.5" customHeight="1" s="461">
      <c r="A4" s="37" t="inlineStr">
        <is>
          <t>Звонков за вчера</t>
        </is>
      </c>
      <c r="B4" s="40" t="inlineStr">
        <is>
          <t>Диалогов с браком (&lt;9)</t>
        </is>
      </c>
      <c r="C4" s="43" t="inlineStr">
        <is>
          <t>Сделок с угрозой срыва</t>
        </is>
      </c>
      <c r="D4" s="46" t="inlineStr">
        <is>
          <t>Сумма в зоне риска прямо сейчас</t>
        </is>
      </c>
      <c r="E4" s="43" t="inlineStr">
        <is>
          <t>Статус дня для РОПа</t>
        </is>
      </c>
      <c r="F4" s="199" t="n"/>
      <c r="G4" s="199" t="n"/>
      <c r="H4" s="199" t="n"/>
      <c r="I4" s="199" t="n"/>
      <c r="J4" s="199" t="n"/>
    </row>
    <row r="5" ht="40.5" customHeight="1" s="461">
      <c r="A5" s="199">
        <f>calc_engine!B41</f>
        <v/>
      </c>
      <c r="B5" s="56">
        <f>COUNTIFS(raw_calls!$T$2:$T50000, "&lt;9")</f>
        <v/>
      </c>
      <c r="C5" s="60">
        <f>COUNTIF(E9:E13, "*КРИТИЧЕСКИЙ*")</f>
        <v/>
      </c>
      <c r="D5" s="64">
        <f>SUM(D9:D13)</f>
        <v/>
      </c>
      <c r="E5" s="67">
        <f>IF(C5&gt;0, "🚨 ТРЕБУЕТСЯ 15 МИНУТ КОНТРОЛЯ РОПа", "🟢 ВСЕ В РАБОЧЕМ ГРАФИКЕ")</f>
        <v/>
      </c>
      <c r="F5" s="199" t="n"/>
      <c r="G5" s="199" t="n"/>
      <c r="H5" s="199" t="n"/>
      <c r="I5" s="199" t="n"/>
      <c r="J5" s="199" t="n"/>
    </row>
    <row r="6" ht="12" customHeight="1" s="461">
      <c r="A6" s="199" t="n"/>
      <c r="B6" s="199" t="n"/>
      <c r="C6" s="199" t="n"/>
      <c r="D6" s="199" t="n"/>
      <c r="E6" s="199" t="n"/>
      <c r="F6" s="199" t="n"/>
      <c r="G6" s="199" t="n"/>
      <c r="H6" s="199" t="n"/>
      <c r="I6" s="199" t="n"/>
      <c r="J6" s="199" t="n"/>
    </row>
    <row r="7" ht="30" customHeight="1" s="461">
      <c r="A7" s="79">
        <f>"🎯 " &amp; IF(ISNUMBER(SEARCH("CEO", '⚙️ Настройки'!$B$10)), "ТОП-5 СТРАТЕГИЧЕСКИХ РЕШЕНИЙ ДЛЯ ЗАЩИТЫ КАПИТАЛА БИЗНЕСА", IF(ISNUMBER(SEARCH("KAM", '⚙️ Настройки'!$B$10)), "МОЙ ПЕРСОНАЛЬНЫЙ СПИСОК ГОРЯЩИХ СДЕЛОК НА СЕГОДНЯ", IF(ISNUMBER(SEARCH("SDR", '⚙️ Настройки'!$B$10)), "ТОП-5 ЗВОНКОВ В РИСКЕ И СРОЧНАЯ КВАЛИФИКАЦИЯ ЛИДОВ", IF(ISNUMBER(SEARCH("CMO", '⚙️ Настройки'!$B$10)), "ТОП-5 ДЕЙСТВИЙ ПО ОПТИМИЗАЦИИ РЕКЛАМНЫХ КАМПАНИЙ", IF(ISNUMBER(SEARCH("CFO", '⚙️ Настройки'!$B$10)), "ТОП-5 СРОЧНЫХ ДЕЙСТВИЙ ПО СБОРУ ДЕБИТОРКИ И ЗАЩИТЕ КАССЫ", IF(OR(ISNUMBER(SEARCH("Admin", '⚙️ Настройки'!$B$10)), ISNUMBER(SEARCH("Администр", '⚙️ Настройки'!$B$10))), "ТОП-5 СИСТЕМНЫХ АЛЕРТОВ И ПРОВЕРКА ЦЕЛОСТНОСТИ REVOPS", "ТОП-5 СРОЧНЫХ ДЕЙСТВИЙ ДЛЯ РОПа НА СЕГОДНЯ (DAILY ACTION LIST)"))))))</f>
        <v/>
      </c>
      <c r="B7" s="79" t="n"/>
      <c r="C7" s="79" t="n"/>
      <c r="D7" s="79" t="n"/>
      <c r="E7" s="79" t="n"/>
      <c r="F7" s="79" t="n"/>
      <c r="G7" s="79" t="n"/>
      <c r="H7" s="81" t="n"/>
      <c r="I7" s="199" t="n"/>
      <c r="J7" s="199" t="n"/>
    </row>
    <row r="8" ht="28.5" customHeight="1" s="461">
      <c r="A8" s="83" t="inlineStr">
        <is>
          <t>№</t>
        </is>
      </c>
      <c r="B8" s="84" t="inlineStr">
        <is>
          <t>Сделка / Контрагент</t>
        </is>
      </c>
      <c r="C8" s="84" t="inlineStr">
        <is>
          <t>Суть проблемы и симптом</t>
        </is>
      </c>
      <c r="D8" s="84" t="inlineStr">
        <is>
          <t>Сумма в риске</t>
        </is>
      </c>
      <c r="E8" s="84" t="inlineStr">
        <is>
          <t>Приоритет</t>
        </is>
      </c>
      <c r="F8" s="84" t="inlineStr">
        <is>
          <t>Срочное действие РОПа (Что сделать)</t>
        </is>
      </c>
      <c r="G8" s="84" t="inlineStr">
        <is>
          <t>Чекбокс</t>
        </is>
      </c>
      <c r="H8" s="84" t="inlineStr">
        <is>
          <t>🤖 Сгенерированный оффер ИИ-дожима (WhatsApp / Скрипт РОПа)</t>
        </is>
      </c>
      <c r="I8" s="199" t="n"/>
      <c r="J8" s="199" t="n"/>
    </row>
    <row r="9" ht="36" customHeight="1" s="461">
      <c r="A9" s="85" t="n">
        <v>1</v>
      </c>
      <c r="B9" s="88" t="inlineStr">
        <is>
          <t>Сделка D-104 (ООО «Вектор Плюс»)</t>
        </is>
      </c>
      <c r="C9" s="89" t="inlineStr">
        <is>
          <t>Зависание на этапе КП: 12 дней без ответа (норма 48ч)</t>
        </is>
      </c>
      <c r="D9" s="94">
        <f>VLOOKUP("D-104", raw_deals!$A$2:$C$50000, 3, FALSE)</f>
        <v/>
      </c>
      <c r="E9" s="95" t="inlineStr">
        <is>
          <t>🔴 КРИТИЧЕСКИЙ</t>
        </is>
      </c>
      <c r="F9" s="89" t="inlineStr">
        <is>
          <t>Запросить статус у КАМа Петрова, согласовать скидку/рассрочку</t>
        </is>
      </c>
      <c r="G9" s="96" t="inlineStr">
        <is>
          <t>В РАБОТЕ</t>
        </is>
      </c>
      <c r="H9" s="100">
        <f>"Добрый день, Алексей! Вижу, наш расчет по договору согласован. Чтобы зафиксировать спецусловия октября со скидкой 7%, предлагаю сегодня подписать спецификацию. Слот для звонка: 14:30. Удобно?"</f>
        <v/>
      </c>
      <c r="I9" s="199" t="n"/>
      <c r="J9" s="199" t="n"/>
    </row>
    <row r="10" ht="36" customHeight="1" s="461">
      <c r="A10" s="101" t="n">
        <v>2</v>
      </c>
      <c r="B10" s="107" t="inlineStr">
        <is>
          <t>Звонок C-505 / Сделка D-109 (ООО «ПромКомплект»)</t>
        </is>
      </c>
      <c r="C10" s="110" t="inlineStr">
        <is>
          <t>Менеджер сорвал контакт (балл речи 2/13), клиент ушел в отказ</t>
        </is>
      </c>
      <c r="D10" s="116">
        <f>VLOOKUP("D-109", raw_deals!$A$2:$C$50000, 3, FALSE)</f>
        <v/>
      </c>
      <c r="E10" s="118" t="inlineStr">
        <is>
          <t>🔴 КРИТИЧЕСКИЙ</t>
        </is>
      </c>
      <c r="F10" s="110" t="inlineStr">
        <is>
          <t>Личный звонок РОПа ЛПР до 12:00: перехват сделки от лица руководства</t>
        </is>
      </c>
      <c r="G10" s="120" t="inlineStr">
        <is>
          <t>В РАБОТЕ</t>
        </is>
      </c>
      <c r="H10" s="100">
        <f>"Михаил Сергеевич, добрый день! Это Дмитрий Иванов, коммерческий директор. Прослушал вчерашний диалог с нашим менеджером — приношу извинения за неполную консультацию. Лично подготовил для вас проект с расширенной гарантией 24 мес. Уделите 5 минут?"</f>
        <v/>
      </c>
      <c r="I10" s="199" t="n"/>
      <c r="J10" s="199" t="n"/>
    </row>
    <row r="11" ht="36" customHeight="1" s="461">
      <c r="A11" s="85" t="n">
        <v>3</v>
      </c>
      <c r="B11" s="88" t="inlineStr">
        <is>
          <t>Звонок C-503 / Сделка D-106 (ООО «СнабСервис»)</t>
        </is>
      </c>
      <c r="C11" s="89" t="inlineStr">
        <is>
          <t>В диалоге не зафиксирована дата встречи (балл речи 6/13)</t>
        </is>
      </c>
      <c r="D11" s="94">
        <f>VLOOKUP("D-106", raw_deals!$A$2:$C$50000, 3, FALSE)</f>
        <v/>
      </c>
      <c r="E11" s="95" t="inlineStr">
        <is>
          <t>🟡 СРЕДНИЙ</t>
        </is>
      </c>
      <c r="F11" s="89" t="inlineStr">
        <is>
          <t>Поставить задачу менеджеру Петрову: перезвонить и назначить слот встречи</t>
        </is>
      </c>
      <c r="G11" s="96" t="inlineStr">
        <is>
          <t>В РАБОТЕ</t>
        </is>
      </c>
      <c r="H11" s="100">
        <f>"Игорь, приветствую! Направил вам 2 слота на онлайн-демо платформы: сегодня в 16:00 или завтра в 11:30. За 15 минут покажем связку с вашей CRM. Какой слот забронировать?"</f>
        <v/>
      </c>
      <c r="I11" s="199" t="n"/>
      <c r="J11" s="199" t="n"/>
    </row>
    <row r="12" ht="36" customHeight="1" s="461">
      <c r="A12" s="101" t="n">
        <v>4</v>
      </c>
      <c r="B12" s="107" t="inlineStr">
        <is>
          <t>Сделка D-107 (ООО «ТехноПром»)</t>
        </is>
      </c>
      <c r="C12" s="110" t="inlineStr">
        <is>
          <t>Счет просрочен на 9 дней (сумма 150 000 ₽)</t>
        </is>
      </c>
      <c r="D12" s="116">
        <f>VLOOKUP("INV-203", raw_invoices!$A$2:$G$50000, 7, FALSE)</f>
        <v/>
      </c>
      <c r="E12" s="118" t="inlineStr">
        <is>
          <t>🟡 СРЕДНИЙ</t>
        </is>
      </c>
      <c r="F12" s="110" t="inlineStr">
        <is>
          <t>Отправить триггерное напоминание в WhatsApp бухгалтеру клиента</t>
        </is>
      </c>
      <c r="G12" s="120" t="inlineStr">
        <is>
          <t>В РАБОТЕ</t>
        </is>
      </c>
      <c r="H12" s="100">
        <f>"Ольга, здравствуйте! Бухгалтерия напоминает: по счету INV-203 сегодня крайний день резерва оборудования по льготному курсу. Выставить ссылку на моментальную оплату через СБП?"</f>
        <v/>
      </c>
      <c r="I12" s="199" t="n"/>
      <c r="J12" s="199" t="n"/>
    </row>
    <row r="13" ht="36" customHeight="1" s="461">
      <c r="A13" s="85" t="n">
        <v>5</v>
      </c>
      <c r="B13" s="88" t="inlineStr">
        <is>
          <t>Сделка D-103 (ООО «ИнвестХолдинг»)</t>
        </is>
      </c>
      <c r="C13" s="89" t="inlineStr">
        <is>
          <t>Нагрузка 80%, 4 ключевые сделки висят на РОПе</t>
        </is>
      </c>
      <c r="D13" s="94">
        <f>calc_engine!E43</f>
        <v/>
      </c>
      <c r="E13" s="95" t="inlineStr">
        <is>
          <t>🟡 СРЕДНИЙ</t>
        </is>
      </c>
      <c r="F13" s="89" t="inlineStr">
        <is>
          <t>Делегировать 2 входящие сделки на КАМа (у КАМа загрузка всего 4%)</t>
        </is>
      </c>
      <c r="G13" s="96" t="inlineStr">
        <is>
          <t>В РАБОТЕ</t>
        </is>
      </c>
      <c r="H13" s="100">
        <f>"Регламентное действие: передать права ответственного по сделке D-102 на КАМа Петрова (свободная емкость 75%). РОПу оставить контроль ключевых контрольных точек."</f>
        <v/>
      </c>
      <c r="I13" s="199" t="n"/>
      <c r="J13" s="199" t="n"/>
    </row>
    <row r="14" ht="30" customHeight="1" s="461">
      <c r="A14" s="199" t="n"/>
      <c r="B14" s="405" t="inlineStr">
        <is>
          <t>ИТОГО ДЕНЕГ В ЗОНЕ РИСКА СЕГОДНЯ:</t>
        </is>
      </c>
      <c r="C14" s="405" t="n"/>
      <c r="D14" s="135">
        <f>SUM(D9:D13)</f>
        <v/>
      </c>
      <c r="E14" s="405" t="inlineStr">
        <is>
          <t>СПАСЕННАЯ ВЫРУЧКА:</t>
        </is>
      </c>
      <c r="F14" s="405" t="inlineStr">
        <is>
          <t>При выполнении всех 5 действий</t>
        </is>
      </c>
      <c r="G14" s="405" t="inlineStr">
        <is>
          <t>100% защита</t>
        </is>
      </c>
      <c r="H14" s="405" t="n"/>
      <c r="I14" s="199" t="n"/>
      <c r="J14" s="199" t="n"/>
    </row>
    <row r="15" ht="12" customHeight="1" s="461">
      <c r="A15" s="199" t="n"/>
      <c r="B15" s="199" t="n"/>
      <c r="C15" s="199" t="n"/>
      <c r="D15" s="199" t="n"/>
      <c r="E15" s="199" t="n"/>
      <c r="F15" s="199" t="n"/>
      <c r="G15" s="199" t="n"/>
      <c r="H15" s="199" t="n"/>
      <c r="I15" s="199" t="n"/>
      <c r="J15" s="199" t="n"/>
    </row>
    <row r="16" ht="25.5" customHeight="1" s="461">
      <c r="A16" s="199" t="n"/>
      <c r="B16" s="199" t="n"/>
      <c r="C16" s="199" t="n"/>
      <c r="D16" s="199" t="n"/>
      <c r="E16" s="199" t="n"/>
      <c r="F16" s="199" t="n"/>
      <c r="G16" s="199" t="n"/>
      <c r="H16" s="199" t="n"/>
      <c r="I16" s="199" t="n"/>
      <c r="J16" s="199" t="n"/>
    </row>
    <row r="17" ht="24" customHeight="1" s="461">
      <c r="A17" s="199" t="n"/>
      <c r="B17" s="199" t="n"/>
      <c r="C17" s="199" t="n"/>
      <c r="D17" s="199" t="n"/>
      <c r="E17" s="141" t="inlineStr">
        <is>
          <t>⏱️ ЭКСПРЕСС-РЕГЛАМЕНТ РОПа (15 МИНУТ/ДЕНЬ)</t>
        </is>
      </c>
      <c r="F17" s="141" t="n"/>
      <c r="G17" s="142" t="n"/>
      <c r="H17" s="199" t="n"/>
      <c r="I17" s="199" t="n"/>
      <c r="J17" s="199" t="n"/>
    </row>
    <row r="18" ht="24" customHeight="1" s="461">
      <c r="A18" s="199" t="n"/>
      <c r="B18" s="199" t="n"/>
      <c r="C18" s="199" t="n"/>
      <c r="D18" s="199" t="n"/>
      <c r="E18" s="143" t="inlineStr">
        <is>
          <t>09:00 - 09:05</t>
        </is>
      </c>
      <c r="F18" s="143" t="inlineStr">
        <is>
          <t>Проверка ночного ИИ-аудита: 2 звонка с браком (&lt;9 баллов)</t>
        </is>
      </c>
      <c r="G18" s="199" t="n"/>
      <c r="H18" s="199" t="n"/>
      <c r="I18" s="199" t="n"/>
      <c r="J18" s="199" t="n"/>
    </row>
    <row r="19" ht="24" customHeight="1" s="461">
      <c r="A19" s="199" t="n"/>
      <c r="B19" s="199" t="n"/>
      <c r="C19" s="199" t="n"/>
      <c r="D19" s="199" t="n"/>
      <c r="E19" s="143" t="inlineStr">
        <is>
          <t>09:05 - 09:10</t>
        </is>
      </c>
      <c r="F19" s="143" t="inlineStr">
        <is>
          <t>Перехват сделки D-109 (600 т.р.) и звонок ЛПР до 12:00</t>
        </is>
      </c>
      <c r="G19" s="199" t="n"/>
      <c r="H19" s="199" t="n"/>
      <c r="I19" s="199" t="n"/>
      <c r="J19" s="199" t="n"/>
    </row>
    <row r="20" ht="24" customHeight="1" s="461">
      <c r="A20" s="199" t="n"/>
      <c r="B20" s="199" t="n"/>
      <c r="C20" s="199" t="n"/>
      <c r="D20" s="199" t="n"/>
      <c r="E20" s="143" t="inlineStr">
        <is>
          <t>09:10 - 09:13</t>
        </is>
      </c>
      <c r="F20" s="143" t="inlineStr">
        <is>
          <t>Согласование спецусловий по D-104 (850 т.р.)</t>
        </is>
      </c>
      <c r="G20" s="199" t="n"/>
      <c r="H20" s="199" t="n"/>
      <c r="I20" s="199" t="n"/>
      <c r="J20" s="199" t="n"/>
    </row>
    <row r="21" ht="24" customHeight="1" s="461">
      <c r="A21" s="199" t="n"/>
      <c r="B21" s="199" t="n"/>
      <c r="C21" s="199" t="n"/>
      <c r="D21" s="199" t="n"/>
      <c r="E21" s="143" t="inlineStr">
        <is>
          <t>09:13 - 09:15</t>
        </is>
      </c>
      <c r="F21" s="143" t="inlineStr">
        <is>
          <t>Делегирование 2 сделок с РОПа на свободного КАМа</t>
        </is>
      </c>
      <c r="G21" s="199" t="n"/>
      <c r="H21" s="199" t="n"/>
      <c r="I21" s="199" t="n"/>
      <c r="J21" s="199" t="n"/>
    </row>
    <row r="22" ht="24" customHeight="1" s="461">
      <c r="A22" s="199" t="n"/>
      <c r="B22" s="199" t="n"/>
      <c r="C22" s="199" t="n"/>
      <c r="D22" s="199" t="n"/>
      <c r="E22" s="148" t="inlineStr">
        <is>
          <t>Результат:</t>
        </is>
      </c>
      <c r="F22" s="148" t="inlineStr">
        <is>
          <t>2 730 000 ₽ защищено от слива за 15 минут</t>
        </is>
      </c>
      <c r="G22" s="199" t="n"/>
      <c r="H22" s="199" t="n"/>
      <c r="I22" s="199" t="n"/>
      <c r="J22" s="199" t="n"/>
    </row>
    <row r="23" ht="21" customHeight="1" s="461">
      <c r="A23" s="199" t="n"/>
      <c r="B23" s="199" t="n"/>
      <c r="C23" s="199" t="n"/>
      <c r="D23" s="199" t="n"/>
      <c r="E23" s="199" t="n"/>
      <c r="F23" s="199" t="n"/>
      <c r="G23" s="199" t="n"/>
      <c r="H23" s="199" t="n"/>
      <c r="I23" s="199" t="n"/>
      <c r="J23" s="199" t="n"/>
    </row>
    <row r="24" ht="21" customHeight="1" s="461">
      <c r="A24" s="199" t="n"/>
      <c r="B24" s="199" t="n"/>
      <c r="C24" s="199" t="n"/>
      <c r="D24" s="199" t="n"/>
      <c r="E24" s="199" t="n"/>
      <c r="F24" s="199" t="n"/>
      <c r="G24" s="199" t="n"/>
      <c r="H24" s="199" t="n"/>
      <c r="I24" s="199" t="n"/>
      <c r="J24" s="199" t="n"/>
    </row>
    <row r="25" ht="21" customHeight="1" s="461">
      <c r="A25" s="199" t="n"/>
      <c r="B25" s="199" t="n"/>
      <c r="C25" s="199" t="n"/>
      <c r="D25" s="199" t="n"/>
      <c r="E25" s="199" t="n"/>
      <c r="F25" s="199" t="n"/>
      <c r="G25" s="199" t="n"/>
      <c r="H25" s="199" t="n"/>
      <c r="I25" s="199" t="n"/>
      <c r="J25" s="199" t="n"/>
    </row>
    <row r="26">
      <c r="A26" s="199" t="n"/>
      <c r="B26" s="199" t="n"/>
      <c r="C26" s="199" t="n"/>
      <c r="D26" s="199" t="n"/>
      <c r="E26" s="199" t="n"/>
      <c r="F26" s="199" t="n"/>
      <c r="G26" s="199" t="n"/>
      <c r="H26" s="199" t="n"/>
      <c r="I26" s="199" t="n"/>
      <c r="J26" s="199" t="n"/>
    </row>
    <row r="27">
      <c r="A27" s="199" t="n"/>
      <c r="B27" s="199" t="n"/>
      <c r="C27" s="199" t="n"/>
      <c r="D27" s="199" t="n"/>
      <c r="E27" s="199" t="n"/>
      <c r="F27" s="199" t="n"/>
      <c r="G27" s="199" t="n"/>
      <c r="H27" s="199" t="n"/>
      <c r="I27" s="199" t="n"/>
      <c r="J27" s="199" t="n"/>
    </row>
    <row r="28">
      <c r="A28" s="199" t="n"/>
      <c r="B28" s="199" t="n"/>
      <c r="C28" s="199" t="n"/>
      <c r="D28" s="199" t="n"/>
      <c r="E28" s="199" t="n"/>
      <c r="F28" s="199" t="n"/>
      <c r="G28" s="199" t="n"/>
      <c r="H28" s="199" t="n"/>
      <c r="I28" s="199" t="n"/>
      <c r="J28" s="199" t="n"/>
    </row>
    <row r="29">
      <c r="A29" s="199" t="n"/>
      <c r="B29" s="199" t="n"/>
      <c r="C29" s="199" t="n"/>
      <c r="D29" s="199" t="n"/>
      <c r="E29" s="199" t="n"/>
      <c r="F29" s="199" t="n"/>
      <c r="G29" s="199" t="n"/>
      <c r="H29" s="199" t="n"/>
      <c r="I29" s="199" t="n"/>
      <c r="J29" s="199" t="n"/>
    </row>
    <row r="30">
      <c r="A30" s="199" t="n"/>
      <c r="B30" s="199" t="n"/>
      <c r="C30" s="199" t="n"/>
      <c r="D30" s="199" t="n"/>
      <c r="E30" s="199" t="n"/>
      <c r="F30" s="199" t="n"/>
      <c r="G30" s="199" t="n"/>
      <c r="H30" s="199" t="n"/>
      <c r="I30" s="199" t="n"/>
      <c r="J30" s="199" t="n"/>
    </row>
  </sheetData>
  <dataValidations count="1">
    <dataValidation sqref="G9:G13" showDropDown="0" showInputMessage="0" showErrorMessage="0" allowBlank="1" type="list">
      <formula1>"В РАБОТЕ,✅ СДЕЛАНО"</formula1>
    </dataValidation>
  </dataValidations>
  <hyperlinks>
    <hyperlink ref="B9" location="raw_deals!A1" display="Сделка D-104 (ООО «Вектор Плюс»)"/>
    <hyperlink ref="B10" location="raw_calls!A1" display="Звонок C-505 / Сделка D-109 (ООО «ПромКомплект»)"/>
    <hyperlink ref="B11" location="raw_calls!A1" display="Звонок C-503 / Сделка D-106 (ООО «СнабСервис»)"/>
    <hyperlink ref="B12" location="raw_deals!A1" display="Сделка D-107 (ООО «ТехноПром»)"/>
    <hyperlink ref="B13" location="raw_deals!A1" display="Сделка D-103 (ООО «ИнвестХолдинг»)"/>
  </hyperlink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FFE03838"/>
    <outlinePr summaryBelow="0" summaryRight="0"/>
    <pageSetUpPr/>
  </sheetPr>
  <dimension ref="A1:V60"/>
  <sheetViews>
    <sheetView workbookViewId="0">
      <selection activeCell="A1" sqref="A1"/>
    </sheetView>
  </sheetViews>
  <sheetFormatPr baseColWidth="8" defaultColWidth="12.63" defaultRowHeight="15.75" customHeight="1"/>
  <cols>
    <col width="12" customWidth="1" style="461" min="1" max="1"/>
    <col width="24" customWidth="1" style="461" min="2" max="2"/>
    <col width="16" customWidth="1" style="461" min="3" max="4"/>
    <col width="16" customWidth="1" style="461" min="4" max="4"/>
    <col width="28" customWidth="1" style="461" min="5" max="5"/>
    <col width="45" customWidth="1" style="461" min="6" max="6"/>
    <col width="45" customWidth="1" style="461" min="7" max="18"/>
    <col width="14" customWidth="1" style="461" min="8" max="8"/>
    <col width="14" customWidth="1" style="461" min="9" max="9"/>
    <col width="16" customWidth="1" style="461" min="10" max="10"/>
    <col width="16" customWidth="1" style="461" min="11" max="11"/>
    <col width="18" customWidth="1" style="461" min="12" max="12"/>
    <col width="10.75" customWidth="1" style="461" min="19" max="19"/>
    <col width="13.25" customWidth="1" style="461" min="20" max="20"/>
    <col width="17" customWidth="1" style="461" min="21" max="21"/>
    <col width="22" customWidth="1" style="461" min="22" max="22"/>
  </cols>
  <sheetData>
    <row r="1" ht="31.5" customHeight="1" s="461">
      <c r="A1" s="462" t="inlineStr">
        <is>
          <t>🎙️ ИИ-СУПЕРВАЙЗЕР ЗВОНКОВ: РЕЧЕВАЯ АНАЛИТИКА 100% ДИАЛОГОВ (WHISPER LARGE V3 + LLM)</t>
        </is>
      </c>
    </row>
    <row r="2" ht="24" customHeight="1" s="461">
      <c r="A2" s="496">
        <f>HYPERLINK("#'📄 Executive_OnePager'!A1", "📄 1. One-Pager")</f>
        <v/>
      </c>
      <c r="B2" s="496">
        <f>HYPERLINK("#'⚡ Пульс_Компании'!A1", "⚡ 2. Пульс компании")</f>
        <v/>
      </c>
      <c r="C2" s="496">
        <f>HYPERLINK("#'📋 Пульт_РОПа_15_Минут'!A1", "📋 3. Пульт РОПа")</f>
        <v/>
      </c>
      <c r="D2" s="496">
        <f>HYPERLINK("#'💸 Диагностика_Утечек_ОП'!A1", "💸 4. 7 Грехов ОП")</f>
        <v/>
      </c>
      <c r="E2" s="496">
        <f>HYPERLINK("#'🎯 Action_Center'!A1", "🎯 5. Action Center")</f>
        <v/>
      </c>
      <c r="F2" s="496">
        <f>HYPERLINK("#'🎙️ ИИ_Аудит'!A1", "🎙️ 6. ИИ-Аудит")</f>
        <v/>
      </c>
      <c r="G2" s="496">
        <f>HYPERLINK("#'⚡ Экспресс_Калькулятор_3_Цифры'!A1", "⚡ 7. Экспресс 3 цифры")</f>
        <v/>
      </c>
      <c r="H2" s="496">
        <f>HYPERLINK("#'🧪 QA_Suite'!A1", "🧪 8. QA Suite")</f>
        <v/>
      </c>
      <c r="I2" s="496">
        <f>HYPERLINK("#'⚙️ Настройки'!A1", "⚙️ 9. Настройки")</f>
        <v/>
      </c>
      <c r="K2" s="464" t="inlineStr">
        <is>
          <t>💸 7 Грехов ОП</t>
        </is>
      </c>
      <c r="N2" s="464" t="inlineStr">
        <is>
          <t>📄 One-Pager</t>
        </is>
      </c>
      <c r="Q2" s="13" t="inlineStr">
        <is>
          <t>🔐 152-ФЗ Контур Безопасности</t>
        </is>
      </c>
    </row>
    <row r="3" ht="18" customHeight="1" s="461">
      <c r="A3" s="465" t="inlineStr">
        <is>
          <t>Проанализировано звонков</t>
        </is>
      </c>
      <c r="C3" s="466" t="inlineStr">
        <is>
          <t>Средний балл качества</t>
        </is>
      </c>
      <c r="E3" s="467" t="inlineStr">
        <is>
          <t>Фиксация жесткого Next Step</t>
        </is>
      </c>
      <c r="G3" s="468" t="inlineStr">
        <is>
          <t>Критический брак речи (&lt;9)</t>
        </is>
      </c>
      <c r="J3" s="468" t="inlineStr">
        <is>
          <t>Выручка под угрозой слива</t>
        </is>
      </c>
      <c r="M3" s="468" t="inlineStr">
        <is>
          <t>Вердикт ИИ-супервайзера</t>
        </is>
      </c>
    </row>
    <row r="4" ht="28.5" customHeight="1" s="461">
      <c r="A4" s="469" t="inlineStr">
        <is>
          <t>25 звонков / сут</t>
        </is>
      </c>
      <c r="C4" s="470" t="inlineStr">
        <is>
          <t>8.9 из 13</t>
        </is>
      </c>
      <c r="E4" s="471" t="inlineStr">
        <is>
          <t>60.0% (норма ≥85%)</t>
        </is>
      </c>
      <c r="G4" s="472" t="inlineStr">
        <is>
          <t>6 диалогов</t>
        </is>
      </c>
      <c r="J4" s="472" t="inlineStr">
        <is>
          <t>2,840,000 ₽</t>
        </is>
      </c>
      <c r="M4" s="473" t="inlineStr">
        <is>
          <t>🚨 ВЫСОКИЙ РИСК СЛИВА VIP-КЛИЕНТОВ (ТРЕБУЕТСЯ ВМЕШАТЕЛЬСТВО РОПа)</t>
        </is>
      </c>
    </row>
    <row r="5" ht="10.5" customHeight="1" s="461">
      <c r="A5" s="218" t="inlineStr"/>
      <c r="B5" s="218" t="inlineStr"/>
      <c r="C5" s="218" t="inlineStr"/>
      <c r="D5" s="218" t="inlineStr"/>
      <c r="E5" s="218" t="inlineStr"/>
      <c r="F5" s="218" t="inlineStr"/>
      <c r="G5" s="218" t="inlineStr"/>
      <c r="H5" s="218" t="inlineStr"/>
      <c r="I5" s="218" t="inlineStr"/>
      <c r="J5" s="218" t="inlineStr"/>
      <c r="K5" s="218" t="inlineStr"/>
      <c r="L5" s="218" t="inlineStr"/>
      <c r="M5" s="218" t="inlineStr"/>
      <c r="N5" s="218" t="inlineStr"/>
      <c r="O5" s="218" t="inlineStr"/>
      <c r="P5" s="218" t="inlineStr"/>
      <c r="Q5" s="218" t="inlineStr"/>
      <c r="R5" s="218" t="inlineStr"/>
      <c r="S5" s="218" t="inlineStr"/>
      <c r="T5" s="218" t="inlineStr"/>
      <c r="U5" s="218" t="inlineStr"/>
      <c r="V5" s="218" t="inlineStr"/>
    </row>
    <row r="6" ht="21" customHeight="1" s="461">
      <c r="A6" s="474" t="inlineStr">
        <is>
          <t>👥 РЕЙТИНГ МЕНЕДЖЕРОВ ОП ПО КАЧЕСТВУ РЕЧИ (ЛИДЕРБОРД РОПа)</t>
        </is>
      </c>
    </row>
    <row r="7" ht="21" customHeight="1" s="461">
      <c r="A7" s="475" t="inlineStr">
        <is>
          <t>№</t>
        </is>
      </c>
      <c r="B7" s="475" t="inlineStr">
        <is>
          <t>Менеджер ОП</t>
        </is>
      </c>
      <c r="C7" s="475" t="inlineStr">
        <is>
          <t>Звонков</t>
        </is>
      </c>
      <c r="D7" s="475" t="inlineStr">
        <is>
          <t>Ср. балл /13</t>
        </is>
      </c>
      <c r="E7" s="475" t="inlineStr">
        <is>
          <t>Next Step %</t>
        </is>
      </c>
      <c r="F7" s="475" t="inlineStr">
        <is>
          <t>Talk/Listen (норма ≥45%)</t>
        </is>
      </c>
      <c r="G7" s="475" t="inlineStr">
        <is>
          <t>Зависших сделок</t>
        </is>
      </c>
      <c r="H7" s="475" t="inlineStr">
        <is>
          <t>Сумма риска (₽)</t>
        </is>
      </c>
      <c r="I7" s="475" t="inlineStr">
        <is>
          <t>Грейд ИИ</t>
        </is>
      </c>
      <c r="J7" s="475" t="inlineStr">
        <is>
          <t>Статус и рекомендация РОПу</t>
        </is>
      </c>
    </row>
    <row r="8" ht="19.5" customHeight="1" s="461">
      <c r="A8" s="476" t="inlineStr">
        <is>
          <t>1</t>
        </is>
      </c>
      <c r="B8" s="477" t="inlineStr">
        <is>
          <t>Алексей Мельников</t>
        </is>
      </c>
      <c r="C8" s="476" t="inlineStr">
        <is>
          <t>6</t>
        </is>
      </c>
      <c r="D8" s="476" t="inlineStr">
        <is>
          <t>12.2</t>
        </is>
      </c>
      <c r="E8" s="476" t="inlineStr">
        <is>
          <t>100.0%</t>
        </is>
      </c>
      <c r="F8" s="478" t="inlineStr">
        <is>
          <t>48% / 52%</t>
        </is>
      </c>
      <c r="G8" s="476" t="inlineStr">
        <is>
          <t>0</t>
        </is>
      </c>
      <c r="H8" s="479" t="inlineStr">
        <is>
          <t>0 ₽</t>
        </is>
      </c>
      <c r="I8" s="480" t="inlineStr">
        <is>
          <t>⭐ А (Эталон)</t>
        </is>
      </c>
      <c r="J8" s="477" t="inlineStr">
        <is>
          <t>Эталонный скрипт, рекомендован в базу знаний компании</t>
        </is>
      </c>
    </row>
    <row r="9" ht="19.5" customHeight="1" s="461">
      <c r="A9" s="476" t="inlineStr">
        <is>
          <t>2</t>
        </is>
      </c>
      <c r="B9" s="477" t="inlineStr">
        <is>
          <t>Елена Васильева</t>
        </is>
      </c>
      <c r="C9" s="476" t="inlineStr">
        <is>
          <t>5</t>
        </is>
      </c>
      <c r="D9" s="476" t="inlineStr">
        <is>
          <t>10.8</t>
        </is>
      </c>
      <c r="E9" s="476" t="inlineStr">
        <is>
          <t>80.0%</t>
        </is>
      </c>
      <c r="F9" s="478" t="inlineStr">
        <is>
          <t>51% / 49%</t>
        </is>
      </c>
      <c r="G9" s="476" t="inlineStr">
        <is>
          <t>1</t>
        </is>
      </c>
      <c r="H9" s="479" t="inlineStr">
        <is>
          <t>160,000 ₽</t>
        </is>
      </c>
      <c r="I9" s="480" t="inlineStr">
        <is>
          <t>🟢 B (Норма)</t>
        </is>
      </c>
      <c r="J9" s="477" t="inlineStr">
        <is>
          <t>Высокая конверсия, мелкие замечания по регламенту встречи</t>
        </is>
      </c>
    </row>
    <row r="10" ht="19.5" customHeight="1" s="461">
      <c r="A10" s="476" t="inlineStr">
        <is>
          <t>3</t>
        </is>
      </c>
      <c r="B10" s="477" t="inlineStr">
        <is>
          <t>Анна Соколова</t>
        </is>
      </c>
      <c r="C10" s="476" t="inlineStr">
        <is>
          <t>5</t>
        </is>
      </c>
      <c r="D10" s="476" t="inlineStr">
        <is>
          <t>8.4</t>
        </is>
      </c>
      <c r="E10" s="476" t="inlineStr">
        <is>
          <t>60.0%</t>
        </is>
      </c>
      <c r="F10" s="478" t="inlineStr">
        <is>
          <t>58% / 42%</t>
        </is>
      </c>
      <c r="G10" s="476" t="inlineStr">
        <is>
          <t>2</t>
        </is>
      </c>
      <c r="H10" s="479" t="inlineStr">
        <is>
          <t>480,000 ₽</t>
        </is>
      </c>
      <c r="I10" s="480" t="inlineStr">
        <is>
          <t>🟡 C (Зона риска)</t>
        </is>
      </c>
      <c r="J10" s="477" t="inlineStr">
        <is>
          <t>Забывает фиксировать дату звонка, требуется тренинг</t>
        </is>
      </c>
    </row>
    <row r="11" ht="19.5" customHeight="1" s="461">
      <c r="A11" s="476" t="inlineStr">
        <is>
          <t>4</t>
        </is>
      </c>
      <c r="B11" s="477" t="inlineStr">
        <is>
          <t>Дмитрий Ковалев</t>
        </is>
      </c>
      <c r="C11" s="476" t="inlineStr">
        <is>
          <t>5</t>
        </is>
      </c>
      <c r="D11" s="476" t="inlineStr">
        <is>
          <t>6.2</t>
        </is>
      </c>
      <c r="E11" s="476" t="inlineStr">
        <is>
          <t>40.0%</t>
        </is>
      </c>
      <c r="F11" s="478" t="inlineStr">
        <is>
          <t>72% / 28%</t>
        </is>
      </c>
      <c r="G11" s="476" t="inlineStr">
        <is>
          <t>3</t>
        </is>
      </c>
      <c r="H11" s="479" t="inlineStr">
        <is>
          <t>1,100,000 ₽</t>
        </is>
      </c>
      <c r="I11" s="480" t="inlineStr">
        <is>
          <t>🔴 D (Брак речи)</t>
        </is>
      </c>
      <c r="J11" s="477" t="inlineStr">
        <is>
          <t>Срыв контакта, перебивание клиента, демпинг скидок</t>
        </is>
      </c>
    </row>
    <row r="12" ht="19.5" customHeight="1" s="461">
      <c r="A12" s="476" t="inlineStr">
        <is>
          <t>5</t>
        </is>
      </c>
      <c r="B12" s="477" t="inlineStr">
        <is>
          <t>Иван Попов</t>
        </is>
      </c>
      <c r="C12" s="476" t="inlineStr">
        <is>
          <t>4</t>
        </is>
      </c>
      <c r="D12" s="476" t="inlineStr">
        <is>
          <t>5.5</t>
        </is>
      </c>
      <c r="E12" s="476" t="inlineStr">
        <is>
          <t>25.0%</t>
        </is>
      </c>
      <c r="F12" s="478" t="inlineStr">
        <is>
          <t>79% / 21%</t>
        </is>
      </c>
      <c r="G12" s="476" t="inlineStr">
        <is>
          <t>3</t>
        </is>
      </c>
      <c r="H12" s="479" t="inlineStr">
        <is>
          <t>1,100,000 ₽</t>
        </is>
      </c>
      <c r="I12" s="480" t="inlineStr">
        <is>
          <t>🔴 D (Брак речи)</t>
        </is>
      </c>
      <c r="J12" s="477" t="inlineStr">
        <is>
          <t>Режим 'автоответчика', нет попыток закрытия на встречу</t>
        </is>
      </c>
    </row>
    <row r="13" ht="21" customHeight="1" s="461">
      <c r="A13" s="481" t="inlineStr">
        <is>
          <t>ИТОГО ПО ОТДЕЛУ ПРОДАЖ:</t>
        </is>
      </c>
      <c r="C13" s="482" t="inlineStr">
        <is>
          <t>25</t>
        </is>
      </c>
      <c r="D13" s="480" t="inlineStr">
        <is>
          <t>8.9 / 13</t>
        </is>
      </c>
      <c r="E13" s="482" t="inlineStr">
        <is>
          <t>60.0%</t>
        </is>
      </c>
      <c r="F13" s="480" t="inlineStr">
        <is>
          <t>61% / 39%</t>
        </is>
      </c>
      <c r="G13" s="482" t="inlineStr">
        <is>
          <t>9</t>
        </is>
      </c>
      <c r="H13" s="479" t="inlineStr">
        <is>
          <t>2,840,000 ₽</t>
        </is>
      </c>
      <c r="I13" s="481" t="inlineStr">
        <is>
          <t>⚠️ РИСК</t>
        </is>
      </c>
      <c r="J13" s="481" t="inlineStr">
        <is>
          <t>Требуется экспресс-коучинг по отработке возражений</t>
        </is>
      </c>
    </row>
    <row r="14" ht="10.5" customHeight="1" s="461">
      <c r="A14" s="218" t="inlineStr"/>
      <c r="B14" s="218" t="inlineStr"/>
      <c r="C14" s="218" t="inlineStr"/>
      <c r="D14" s="218" t="inlineStr"/>
      <c r="E14" s="218" t="inlineStr"/>
      <c r="F14" s="218" t="inlineStr"/>
      <c r="G14" s="218" t="inlineStr"/>
      <c r="H14" s="218" t="inlineStr"/>
      <c r="I14" s="218" t="inlineStr"/>
      <c r="J14" s="218" t="inlineStr"/>
      <c r="K14" s="218" t="inlineStr"/>
      <c r="L14" s="218" t="inlineStr"/>
      <c r="M14" s="218" t="inlineStr"/>
      <c r="N14" s="218" t="inlineStr"/>
      <c r="O14" s="218" t="inlineStr"/>
      <c r="P14" s="218" t="inlineStr"/>
      <c r="Q14" s="218" t="inlineStr"/>
      <c r="R14" s="218" t="inlineStr"/>
      <c r="S14" s="218" t="inlineStr"/>
      <c r="T14" s="218" t="inlineStr"/>
      <c r="U14" s="218" t="inlineStr"/>
      <c r="V14" s="218" t="inlineStr"/>
    </row>
    <row r="15" ht="21" customHeight="1" s="461">
      <c r="A15" s="474" t="inlineStr">
        <is>
          <t>🔍 ДЕТАЛИЗИРОВАННАЯ МАТРИЦА ОЦЕНКИ ЗВОНКОВ ПО ВСЕМ 13 КРИТЕРИЯМ (0 / 1)</t>
        </is>
      </c>
    </row>
    <row r="16" ht="21" customHeight="1" s="461">
      <c r="A16" s="475" t="inlineStr">
        <is>
          <t>Call ID</t>
        </is>
      </c>
      <c r="B16" s="475" t="inlineStr">
        <is>
          <t>Сделка / Клиент</t>
        </is>
      </c>
      <c r="C16" s="475" t="inlineStr">
        <is>
          <t>Менеджер</t>
        </is>
      </c>
      <c r="D16" s="475" t="inlineStr">
        <is>
          <t>Сумма (₽)</t>
        </is>
      </c>
      <c r="E16" s="475" t="inlineStr">
        <is>
          <t>Длит.</t>
        </is>
      </c>
      <c r="F16" s="475" t="inlineStr">
        <is>
          <t>Этап CRM</t>
        </is>
      </c>
      <c r="G16" s="475" t="inlineStr">
        <is>
          <t>К1 NextStep</t>
        </is>
      </c>
      <c r="H16" s="475" t="inlineStr">
        <is>
          <t>К2 Иниц.</t>
        </is>
      </c>
      <c r="I16" s="475" t="inlineStr">
        <is>
          <t>К3 ЛПР</t>
        </is>
      </c>
      <c r="J16" s="475" t="inlineStr">
        <is>
          <t>К4 Боли</t>
        </is>
      </c>
      <c r="K16" s="475" t="inlineStr">
        <is>
          <t>К5 Дорого</t>
        </is>
      </c>
      <c r="L16" s="475" t="inlineStr">
        <is>
          <t>К6 Подумаю</t>
        </is>
      </c>
      <c r="M16" s="475" t="inlineStr">
        <is>
          <t>К7 Кейсы</t>
        </is>
      </c>
      <c r="N16" s="475" t="inlineStr">
        <is>
          <t>К8 Закрытие</t>
        </is>
      </c>
      <c r="O16" s="475" t="inlineStr">
        <is>
          <t>К9 Привет.</t>
        </is>
      </c>
      <c r="P16" s="475" t="inlineStr">
        <is>
          <t>К10 Речь</t>
        </is>
      </c>
      <c r="Q16" s="475" t="inlineStr">
        <is>
          <t>К11 Слушан.</t>
        </is>
      </c>
      <c r="R16" s="475" t="inlineStr">
        <is>
          <t>К12 Итог</t>
        </is>
      </c>
      <c r="S16" s="475" t="inlineStr">
        <is>
          <t>К13 Маржа</t>
        </is>
      </c>
      <c r="T16" s="475" t="inlineStr">
        <is>
          <t>Балл /13</t>
        </is>
      </c>
      <c r="U16" s="475" t="inlineStr">
        <is>
          <t>Статус ИИ</t>
        </is>
      </c>
      <c r="V16" s="475" t="inlineStr">
        <is>
          <t>Сумма в риске, ₽</t>
        </is>
      </c>
    </row>
    <row r="17" ht="18.75" customHeight="1" s="461">
      <c r="A17" s="478" t="inlineStr">
        <is>
          <t>C-501</t>
        </is>
      </c>
      <c r="B17" s="477" t="inlineStr">
        <is>
          <t>D-101 (ООО Вектор Плюс)</t>
        </is>
      </c>
      <c r="C17" s="477" t="inlineStr">
        <is>
          <t>Мельников</t>
        </is>
      </c>
      <c r="D17" s="483" t="inlineStr">
        <is>
          <t>850,000 ₽</t>
        </is>
      </c>
      <c r="E17" s="476" t="inlineStr">
        <is>
          <t>05:40</t>
        </is>
      </c>
      <c r="F17" s="478" t="inlineStr">
        <is>
          <t>КП отправлено</t>
        </is>
      </c>
      <c r="G17" s="476" t="inlineStr">
        <is>
          <t>1</t>
        </is>
      </c>
      <c r="H17" s="476" t="inlineStr">
        <is>
          <t>1</t>
        </is>
      </c>
      <c r="I17" s="476" t="inlineStr">
        <is>
          <t>1</t>
        </is>
      </c>
      <c r="J17" s="476" t="inlineStr">
        <is>
          <t>1</t>
        </is>
      </c>
      <c r="K17" s="476" t="inlineStr">
        <is>
          <t>1</t>
        </is>
      </c>
      <c r="L17" s="476" t="inlineStr">
        <is>
          <t>1</t>
        </is>
      </c>
      <c r="M17" s="476" t="inlineStr">
        <is>
          <t>1</t>
        </is>
      </c>
      <c r="N17" s="476" t="inlineStr">
        <is>
          <t>1</t>
        </is>
      </c>
      <c r="O17" s="35" t="inlineStr">
        <is>
          <t>1</t>
        </is>
      </c>
      <c r="P17" s="35" t="inlineStr">
        <is>
          <t>1</t>
        </is>
      </c>
      <c r="Q17" s="35" t="inlineStr">
        <is>
          <t>1</t>
        </is>
      </c>
      <c r="R17" s="35" t="inlineStr">
        <is>
          <t>1</t>
        </is>
      </c>
      <c r="S17" s="35" t="inlineStr">
        <is>
          <t>1</t>
        </is>
      </c>
      <c r="T17" s="72" t="inlineStr">
        <is>
          <t>13</t>
        </is>
      </c>
      <c r="U17" s="47" t="inlineStr">
        <is>
          <t>⭐ ЭТАЛОН</t>
        </is>
      </c>
      <c r="V17" s="44" t="inlineStr">
        <is>
          <t>0 ₽</t>
        </is>
      </c>
    </row>
    <row r="18" ht="18.75" customHeight="1" s="461">
      <c r="A18" s="478" t="inlineStr">
        <is>
          <t>C-502</t>
        </is>
      </c>
      <c r="B18" s="477" t="inlineStr">
        <is>
          <t>D-104 (ООО Вектор Плюс)</t>
        </is>
      </c>
      <c r="C18" s="477" t="inlineStr">
        <is>
          <t>Васильева</t>
        </is>
      </c>
      <c r="D18" s="483" t="inlineStr">
        <is>
          <t>850,000 ₽</t>
        </is>
      </c>
      <c r="E18" s="476" t="inlineStr">
        <is>
          <t>04:20</t>
        </is>
      </c>
      <c r="F18" s="478" t="inlineStr">
        <is>
          <t>Переговоры</t>
        </is>
      </c>
      <c r="G18" s="476" t="inlineStr">
        <is>
          <t>1</t>
        </is>
      </c>
      <c r="H18" s="476" t="inlineStr">
        <is>
          <t>1</t>
        </is>
      </c>
      <c r="I18" s="476" t="inlineStr">
        <is>
          <t>1</t>
        </is>
      </c>
      <c r="J18" s="476" t="inlineStr">
        <is>
          <t>1</t>
        </is>
      </c>
      <c r="K18" s="476" t="inlineStr">
        <is>
          <t>1</t>
        </is>
      </c>
      <c r="L18" s="476" t="inlineStr">
        <is>
          <t>0</t>
        </is>
      </c>
      <c r="M18" s="476" t="inlineStr">
        <is>
          <t>1</t>
        </is>
      </c>
      <c r="N18" s="476" t="inlineStr">
        <is>
          <t>1</t>
        </is>
      </c>
      <c r="O18" s="35" t="inlineStr">
        <is>
          <t>1</t>
        </is>
      </c>
      <c r="P18" s="35" t="inlineStr">
        <is>
          <t>1</t>
        </is>
      </c>
      <c r="Q18" s="35" t="inlineStr">
        <is>
          <t>1</t>
        </is>
      </c>
      <c r="R18" s="35" t="inlineStr">
        <is>
          <t>1</t>
        </is>
      </c>
      <c r="S18" s="35" t="inlineStr">
        <is>
          <t>1</t>
        </is>
      </c>
      <c r="T18" s="72" t="inlineStr">
        <is>
          <t>12</t>
        </is>
      </c>
      <c r="U18" s="47" t="inlineStr">
        <is>
          <t>🟢 В НОРМЕ</t>
        </is>
      </c>
      <c r="V18" s="44" t="inlineStr">
        <is>
          <t>0 ₽</t>
        </is>
      </c>
    </row>
    <row r="19" ht="18.75" customHeight="1" s="461">
      <c r="A19" s="478" t="inlineStr">
        <is>
          <t>C-503</t>
        </is>
      </c>
      <c r="B19" s="477" t="inlineStr">
        <is>
          <t>D-106 (ООО СнабСервис)</t>
        </is>
      </c>
      <c r="C19" s="477" t="inlineStr">
        <is>
          <t>Соколова</t>
        </is>
      </c>
      <c r="D19" s="483" t="inlineStr">
        <is>
          <t>280,000 ₽</t>
        </is>
      </c>
      <c r="E19" s="476" t="inlineStr">
        <is>
          <t>03:10</t>
        </is>
      </c>
      <c r="F19" s="478" t="inlineStr">
        <is>
          <t>Встреча/Демо</t>
        </is>
      </c>
      <c r="G19" s="476" t="inlineStr">
        <is>
          <t>0</t>
        </is>
      </c>
      <c r="H19" s="476" t="inlineStr">
        <is>
          <t>1</t>
        </is>
      </c>
      <c r="I19" s="476" t="inlineStr">
        <is>
          <t>1</t>
        </is>
      </c>
      <c r="J19" s="476" t="inlineStr">
        <is>
          <t>0</t>
        </is>
      </c>
      <c r="K19" s="476" t="inlineStr">
        <is>
          <t>1</t>
        </is>
      </c>
      <c r="L19" s="476" t="inlineStr">
        <is>
          <t>0</t>
        </is>
      </c>
      <c r="M19" s="476" t="inlineStr">
        <is>
          <t>1</t>
        </is>
      </c>
      <c r="N19" s="476" t="inlineStr">
        <is>
          <t>0</t>
        </is>
      </c>
      <c r="O19" s="35" t="inlineStr">
        <is>
          <t>1</t>
        </is>
      </c>
      <c r="P19" s="35" t="inlineStr">
        <is>
          <t>0</t>
        </is>
      </c>
      <c r="Q19" s="35" t="inlineStr">
        <is>
          <t>1</t>
        </is>
      </c>
      <c r="R19" s="35" t="inlineStr">
        <is>
          <t>0</t>
        </is>
      </c>
      <c r="S19" s="35" t="inlineStr">
        <is>
          <t>1</t>
        </is>
      </c>
      <c r="T19" s="72" t="inlineStr">
        <is>
          <t>7</t>
        </is>
      </c>
      <c r="U19" s="47" t="inlineStr">
        <is>
          <t>⚠️ РИСК</t>
        </is>
      </c>
      <c r="V19" s="44" t="inlineStr">
        <is>
          <t>280,000 ₽</t>
        </is>
      </c>
    </row>
    <row r="20" ht="18.75" customHeight="1" s="461">
      <c r="A20" s="478" t="inlineStr">
        <is>
          <t>C-504</t>
        </is>
      </c>
      <c r="B20" s="477" t="inlineStr">
        <is>
          <t>D-107 (ООО ТехноПром)</t>
        </is>
      </c>
      <c r="C20" s="477" t="inlineStr">
        <is>
          <t>Соколова</t>
        </is>
      </c>
      <c r="D20" s="483" t="inlineStr">
        <is>
          <t>150,000 ₽</t>
        </is>
      </c>
      <c r="E20" s="476" t="inlineStr">
        <is>
          <t>06:15</t>
        </is>
      </c>
      <c r="F20" s="478" t="inlineStr">
        <is>
          <t>Квалификация</t>
        </is>
      </c>
      <c r="G20" s="476" t="inlineStr">
        <is>
          <t>1</t>
        </is>
      </c>
      <c r="H20" s="476" t="inlineStr">
        <is>
          <t>1</t>
        </is>
      </c>
      <c r="I20" s="476" t="inlineStr">
        <is>
          <t>1</t>
        </is>
      </c>
      <c r="J20" s="476" t="inlineStr">
        <is>
          <t>0</t>
        </is>
      </c>
      <c r="K20" s="476" t="inlineStr">
        <is>
          <t>1</t>
        </is>
      </c>
      <c r="L20" s="476" t="inlineStr">
        <is>
          <t>1</t>
        </is>
      </c>
      <c r="M20" s="476" t="inlineStr">
        <is>
          <t>0</t>
        </is>
      </c>
      <c r="N20" s="476" t="inlineStr">
        <is>
          <t>0</t>
        </is>
      </c>
      <c r="O20" s="35" t="inlineStr">
        <is>
          <t>1</t>
        </is>
      </c>
      <c r="P20" s="35" t="inlineStr">
        <is>
          <t>1</t>
        </is>
      </c>
      <c r="Q20" s="35" t="inlineStr">
        <is>
          <t>0</t>
        </is>
      </c>
      <c r="R20" s="35" t="inlineStr">
        <is>
          <t>1</t>
        </is>
      </c>
      <c r="S20" s="35" t="inlineStr">
        <is>
          <t>1</t>
        </is>
      </c>
      <c r="T20" s="72" t="inlineStr">
        <is>
          <t>9</t>
        </is>
      </c>
      <c r="U20" s="47" t="inlineStr">
        <is>
          <t>⚠️ РИСК</t>
        </is>
      </c>
      <c r="V20" s="44" t="inlineStr">
        <is>
          <t>150,000 ₽</t>
        </is>
      </c>
    </row>
    <row r="21" ht="18.75" customHeight="1" s="461">
      <c r="A21" s="478" t="inlineStr">
        <is>
          <t>C-505</t>
        </is>
      </c>
      <c r="B21" s="477" t="inlineStr">
        <is>
          <t>D-109 (ООО ПромКомплект)</t>
        </is>
      </c>
      <c r="C21" s="477" t="inlineStr">
        <is>
          <t>Ковалев</t>
        </is>
      </c>
      <c r="D21" s="483" t="inlineStr">
        <is>
          <t>600,000 ₽</t>
        </is>
      </c>
      <c r="E21" s="476" t="inlineStr">
        <is>
          <t>03:30</t>
        </is>
      </c>
      <c r="F21" s="478" t="inlineStr">
        <is>
          <t>КП отправлено</t>
        </is>
      </c>
      <c r="G21" s="476" t="inlineStr">
        <is>
          <t>0</t>
        </is>
      </c>
      <c r="H21" s="476" t="inlineStr">
        <is>
          <t>0</t>
        </is>
      </c>
      <c r="I21" s="476" t="inlineStr">
        <is>
          <t>0</t>
        </is>
      </c>
      <c r="J21" s="476" t="inlineStr">
        <is>
          <t>0</t>
        </is>
      </c>
      <c r="K21" s="476" t="inlineStr">
        <is>
          <t>0</t>
        </is>
      </c>
      <c r="L21" s="476" t="inlineStr">
        <is>
          <t>0</t>
        </is>
      </c>
      <c r="M21" s="476" t="inlineStr">
        <is>
          <t>0</t>
        </is>
      </c>
      <c r="N21" s="476" t="inlineStr">
        <is>
          <t>0</t>
        </is>
      </c>
      <c r="O21" s="35" t="inlineStr">
        <is>
          <t>1</t>
        </is>
      </c>
      <c r="P21" s="35" t="inlineStr">
        <is>
          <t>0</t>
        </is>
      </c>
      <c r="Q21" s="35" t="inlineStr">
        <is>
          <t>0</t>
        </is>
      </c>
      <c r="R21" s="35" t="inlineStr">
        <is>
          <t>0</t>
        </is>
      </c>
      <c r="S21" s="35" t="inlineStr">
        <is>
          <t>1</t>
        </is>
      </c>
      <c r="T21" s="72" t="inlineStr">
        <is>
          <t>2</t>
        </is>
      </c>
      <c r="U21" s="47" t="inlineStr">
        <is>
          <t>❌ СЛИВ</t>
        </is>
      </c>
      <c r="V21" s="44" t="inlineStr">
        <is>
          <t>600,000 ₽</t>
        </is>
      </c>
    </row>
    <row r="22" ht="18.75" customHeight="1" s="461">
      <c r="A22" s="478" t="inlineStr">
        <is>
          <t>C-506</t>
        </is>
      </c>
      <c r="B22" s="477" t="inlineStr">
        <is>
          <t>D-111 (ООО Глобал Инвест)</t>
        </is>
      </c>
      <c r="C22" s="477" t="inlineStr">
        <is>
          <t>Мельников</t>
        </is>
      </c>
      <c r="D22" s="483" t="inlineStr">
        <is>
          <t>3,000,000 ₽</t>
        </is>
      </c>
      <c r="E22" s="476" t="inlineStr">
        <is>
          <t>07:15</t>
        </is>
      </c>
      <c r="F22" s="478" t="inlineStr">
        <is>
          <t>Финальные условия</t>
        </is>
      </c>
      <c r="G22" s="476" t="inlineStr">
        <is>
          <t>1</t>
        </is>
      </c>
      <c r="H22" s="476" t="inlineStr">
        <is>
          <t>1</t>
        </is>
      </c>
      <c r="I22" s="476" t="inlineStr">
        <is>
          <t>1</t>
        </is>
      </c>
      <c r="J22" s="476" t="inlineStr">
        <is>
          <t>1</t>
        </is>
      </c>
      <c r="K22" s="476" t="inlineStr">
        <is>
          <t>1</t>
        </is>
      </c>
      <c r="L22" s="476" t="inlineStr">
        <is>
          <t>1</t>
        </is>
      </c>
      <c r="M22" s="476" t="inlineStr">
        <is>
          <t>1</t>
        </is>
      </c>
      <c r="N22" s="476" t="inlineStr">
        <is>
          <t>1</t>
        </is>
      </c>
      <c r="O22" s="35" t="inlineStr">
        <is>
          <t>1</t>
        </is>
      </c>
      <c r="P22" s="35" t="inlineStr">
        <is>
          <t>1</t>
        </is>
      </c>
      <c r="Q22" s="35" t="inlineStr">
        <is>
          <t>1</t>
        </is>
      </c>
      <c r="R22" s="35" t="inlineStr">
        <is>
          <t>1</t>
        </is>
      </c>
      <c r="S22" s="35" t="inlineStr">
        <is>
          <t>1</t>
        </is>
      </c>
      <c r="T22" s="72" t="inlineStr">
        <is>
          <t>13</t>
        </is>
      </c>
      <c r="U22" s="47" t="inlineStr">
        <is>
          <t>⭐ ЭТАЛОН</t>
        </is>
      </c>
      <c r="V22" s="44" t="inlineStr">
        <is>
          <t>0 ₽</t>
        </is>
      </c>
    </row>
    <row r="23" ht="18.75" customHeight="1" s="461">
      <c r="A23" s="478" t="inlineStr">
        <is>
          <t>C-507</t>
        </is>
      </c>
      <c r="B23" s="477" t="inlineStr">
        <is>
          <t>D-114 (ООО АльфаТрейд)</t>
        </is>
      </c>
      <c r="C23" s="477" t="inlineStr">
        <is>
          <t>Ковалев</t>
        </is>
      </c>
      <c r="D23" s="483" t="inlineStr">
        <is>
          <t>500,000 ₽</t>
        </is>
      </c>
      <c r="E23" s="476" t="inlineStr">
        <is>
          <t>04:45</t>
        </is>
      </c>
      <c r="F23" s="478" t="inlineStr">
        <is>
          <t>Дожим договора</t>
        </is>
      </c>
      <c r="G23" s="476" t="inlineStr">
        <is>
          <t>0</t>
        </is>
      </c>
      <c r="H23" s="476" t="inlineStr">
        <is>
          <t>1</t>
        </is>
      </c>
      <c r="I23" s="476" t="inlineStr">
        <is>
          <t>1</t>
        </is>
      </c>
      <c r="J23" s="476" t="inlineStr">
        <is>
          <t>0</t>
        </is>
      </c>
      <c r="K23" s="476" t="inlineStr">
        <is>
          <t>0</t>
        </is>
      </c>
      <c r="L23" s="476" t="inlineStr">
        <is>
          <t>0</t>
        </is>
      </c>
      <c r="M23" s="476" t="inlineStr">
        <is>
          <t>1</t>
        </is>
      </c>
      <c r="N23" s="476" t="inlineStr">
        <is>
          <t>0</t>
        </is>
      </c>
      <c r="O23" s="35" t="inlineStr">
        <is>
          <t>1</t>
        </is>
      </c>
      <c r="P23" s="35" t="inlineStr">
        <is>
          <t>0</t>
        </is>
      </c>
      <c r="Q23" s="35" t="inlineStr">
        <is>
          <t>0</t>
        </is>
      </c>
      <c r="R23" s="35" t="inlineStr">
        <is>
          <t>1</t>
        </is>
      </c>
      <c r="S23" s="35" t="inlineStr">
        <is>
          <t>0</t>
        </is>
      </c>
      <c r="T23" s="72" t="inlineStr">
        <is>
          <t>5</t>
        </is>
      </c>
      <c r="U23" s="47" t="inlineStr">
        <is>
          <t>❌ СЛИВ</t>
        </is>
      </c>
      <c r="V23" s="44" t="inlineStr">
        <is>
          <t>500,000 ₽</t>
        </is>
      </c>
    </row>
    <row r="24" ht="18.75" customHeight="1" s="461">
      <c r="A24" s="478" t="inlineStr">
        <is>
          <t>C-508</t>
        </is>
      </c>
      <c r="B24" s="477" t="inlineStr">
        <is>
          <t>D-118 (ООО СтройХолдинг)</t>
        </is>
      </c>
      <c r="C24" s="477" t="inlineStr">
        <is>
          <t>Попов</t>
        </is>
      </c>
      <c r="D24" s="483" t="inlineStr">
        <is>
          <t>650,000 ₽</t>
        </is>
      </c>
      <c r="E24" s="476" t="inlineStr">
        <is>
          <t>02:50</t>
        </is>
      </c>
      <c r="F24" s="478" t="inlineStr">
        <is>
          <t>Входящий лид</t>
        </is>
      </c>
      <c r="G24" s="476" t="inlineStr">
        <is>
          <t>0</t>
        </is>
      </c>
      <c r="H24" s="476" t="inlineStr">
        <is>
          <t>0</t>
        </is>
      </c>
      <c r="I24" s="476" t="inlineStr">
        <is>
          <t>1</t>
        </is>
      </c>
      <c r="J24" s="476" t="inlineStr">
        <is>
          <t>0</t>
        </is>
      </c>
      <c r="K24" s="476" t="inlineStr">
        <is>
          <t>0</t>
        </is>
      </c>
      <c r="L24" s="476" t="inlineStr">
        <is>
          <t>0</t>
        </is>
      </c>
      <c r="M24" s="476" t="inlineStr">
        <is>
          <t>0</t>
        </is>
      </c>
      <c r="N24" s="476" t="inlineStr">
        <is>
          <t>0</t>
        </is>
      </c>
      <c r="O24" s="35" t="inlineStr">
        <is>
          <t>1</t>
        </is>
      </c>
      <c r="P24" s="35" t="inlineStr">
        <is>
          <t>1</t>
        </is>
      </c>
      <c r="Q24" s="35" t="inlineStr">
        <is>
          <t>0</t>
        </is>
      </c>
      <c r="R24" s="35" t="inlineStr">
        <is>
          <t>1</t>
        </is>
      </c>
      <c r="S24" s="35" t="inlineStr">
        <is>
          <t>0</t>
        </is>
      </c>
      <c r="T24" s="72" t="inlineStr">
        <is>
          <t>4</t>
        </is>
      </c>
      <c r="U24" s="47" t="inlineStr">
        <is>
          <t>❌ СЛИВ</t>
        </is>
      </c>
      <c r="V24" s="44" t="inlineStr">
        <is>
          <t>650,000 ₽</t>
        </is>
      </c>
    </row>
    <row r="25" ht="18.75" customHeight="1" s="461">
      <c r="A25" s="478" t="inlineStr">
        <is>
          <t>C-509</t>
        </is>
      </c>
      <c r="B25" s="477" t="inlineStr">
        <is>
          <t>D-121 (ООО СпецМаш)</t>
        </is>
      </c>
      <c r="C25" s="477" t="inlineStr">
        <is>
          <t>Васильева</t>
        </is>
      </c>
      <c r="D25" s="483" t="inlineStr">
        <is>
          <t>420,000 ₽</t>
        </is>
      </c>
      <c r="E25" s="476" t="inlineStr">
        <is>
          <t>05:10</t>
        </is>
      </c>
      <c r="F25" s="478" t="inlineStr">
        <is>
          <t>Презентация КП</t>
        </is>
      </c>
      <c r="G25" s="476" t="inlineStr">
        <is>
          <t>1</t>
        </is>
      </c>
      <c r="H25" s="476" t="inlineStr">
        <is>
          <t>1</t>
        </is>
      </c>
      <c r="I25" s="476" t="inlineStr">
        <is>
          <t>1</t>
        </is>
      </c>
      <c r="J25" s="476" t="inlineStr">
        <is>
          <t>1</t>
        </is>
      </c>
      <c r="K25" s="476" t="inlineStr">
        <is>
          <t>1</t>
        </is>
      </c>
      <c r="L25" s="476" t="inlineStr">
        <is>
          <t>1</t>
        </is>
      </c>
      <c r="M25" s="476" t="inlineStr">
        <is>
          <t>1</t>
        </is>
      </c>
      <c r="N25" s="476" t="inlineStr">
        <is>
          <t>0</t>
        </is>
      </c>
      <c r="O25" s="35" t="inlineStr">
        <is>
          <t>1</t>
        </is>
      </c>
      <c r="P25" s="35" t="inlineStr">
        <is>
          <t>1</t>
        </is>
      </c>
      <c r="Q25" s="35" t="inlineStr">
        <is>
          <t>1</t>
        </is>
      </c>
      <c r="R25" s="35" t="inlineStr">
        <is>
          <t>1</t>
        </is>
      </c>
      <c r="S25" s="35" t="inlineStr">
        <is>
          <t>1</t>
        </is>
      </c>
      <c r="T25" s="72" t="inlineStr">
        <is>
          <t>12</t>
        </is>
      </c>
      <c r="U25" s="47" t="inlineStr">
        <is>
          <t>🟢 В НОРМЕ</t>
        </is>
      </c>
      <c r="V25" s="44" t="inlineStr">
        <is>
          <t>0 ₽</t>
        </is>
      </c>
    </row>
    <row r="26" ht="18.75" customHeight="1" s="461">
      <c r="A26" s="478" t="inlineStr">
        <is>
          <t>C-510</t>
        </is>
      </c>
      <c r="B26" s="477" t="inlineStr">
        <is>
          <t>D-125 (ООО МегаТранс)</t>
        </is>
      </c>
      <c r="C26" s="477" t="inlineStr">
        <is>
          <t>Попов</t>
        </is>
      </c>
      <c r="D26" s="483" t="inlineStr">
        <is>
          <t>450,000 ₽</t>
        </is>
      </c>
      <c r="E26" s="476" t="inlineStr">
        <is>
          <t>03:40</t>
        </is>
      </c>
      <c r="F26" s="478" t="inlineStr">
        <is>
          <t>Квалификация</t>
        </is>
      </c>
      <c r="G26" s="476" t="inlineStr">
        <is>
          <t>0</t>
        </is>
      </c>
      <c r="H26" s="476" t="inlineStr">
        <is>
          <t>0</t>
        </is>
      </c>
      <c r="I26" s="476" t="inlineStr">
        <is>
          <t>0</t>
        </is>
      </c>
      <c r="J26" s="476" t="inlineStr">
        <is>
          <t>1</t>
        </is>
      </c>
      <c r="K26" s="476" t="inlineStr">
        <is>
          <t>1</t>
        </is>
      </c>
      <c r="L26" s="476" t="inlineStr">
        <is>
          <t>0</t>
        </is>
      </c>
      <c r="M26" s="476" t="inlineStr">
        <is>
          <t>1</t>
        </is>
      </c>
      <c r="N26" s="476" t="inlineStr">
        <is>
          <t>0</t>
        </is>
      </c>
      <c r="O26" s="35" t="inlineStr">
        <is>
          <t>1</t>
        </is>
      </c>
      <c r="P26" s="35" t="inlineStr">
        <is>
          <t>1</t>
        </is>
      </c>
      <c r="Q26" s="35" t="inlineStr">
        <is>
          <t>0</t>
        </is>
      </c>
      <c r="R26" s="35" t="inlineStr">
        <is>
          <t>1</t>
        </is>
      </c>
      <c r="S26" s="35" t="inlineStr">
        <is>
          <t>0</t>
        </is>
      </c>
      <c r="T26" s="72" t="inlineStr">
        <is>
          <t>6</t>
        </is>
      </c>
      <c r="U26" s="47" t="inlineStr">
        <is>
          <t>⚠️ РИСК</t>
        </is>
      </c>
      <c r="V26" s="44" t="inlineStr">
        <is>
          <t>450,000 ₽</t>
        </is>
      </c>
    </row>
    <row r="27" ht="21" customHeight="1" s="461">
      <c r="A27" s="481" t="inlineStr">
        <is>
          <t>ИТОГО ПОТЕРЬ И РИСКОВ ПО ЗВОНКАМ:</t>
        </is>
      </c>
      <c r="D27" s="483" t="inlineStr">
        <is>
          <t>7,750,000 ₽</t>
        </is>
      </c>
      <c r="E27" s="73" t="inlineStr"/>
      <c r="F27" s="73" t="inlineStr"/>
      <c r="G27" s="73" t="inlineStr"/>
      <c r="H27" s="73" t="inlineStr"/>
      <c r="I27" s="73" t="inlineStr"/>
      <c r="J27" s="73" t="inlineStr"/>
      <c r="K27" s="73" t="inlineStr"/>
      <c r="L27" s="73" t="inlineStr"/>
      <c r="M27" s="73" t="inlineStr"/>
      <c r="N27" s="73" t="inlineStr"/>
      <c r="O27" s="73" t="inlineStr"/>
      <c r="P27" s="73" t="inlineStr"/>
      <c r="Q27" s="73" t="inlineStr"/>
      <c r="R27" s="73" t="inlineStr"/>
      <c r="S27" s="73" t="inlineStr"/>
      <c r="T27" s="47" t="inlineStr">
        <is>
          <t>8.9 ср.</t>
        </is>
      </c>
      <c r="U27" s="47" t="inlineStr">
        <is>
          <t>6 сливов</t>
        </is>
      </c>
      <c r="V27" s="44" t="inlineStr">
        <is>
          <t>2,840,000 ₽</t>
        </is>
      </c>
    </row>
    <row r="28" ht="10.5" customHeight="1" s="461">
      <c r="A28" s="218" t="inlineStr"/>
      <c r="B28" s="218" t="inlineStr"/>
      <c r="C28" s="218" t="inlineStr"/>
      <c r="D28" s="218" t="inlineStr"/>
      <c r="E28" s="218" t="inlineStr"/>
      <c r="F28" s="218" t="inlineStr"/>
      <c r="G28" s="218" t="inlineStr"/>
      <c r="H28" s="218" t="inlineStr"/>
      <c r="I28" s="218" t="inlineStr"/>
      <c r="J28" s="218" t="inlineStr"/>
      <c r="K28" s="218" t="inlineStr"/>
      <c r="L28" s="218" t="inlineStr"/>
      <c r="M28" s="218" t="inlineStr"/>
      <c r="N28" s="218" t="inlineStr"/>
      <c r="O28" s="218" t="inlineStr"/>
      <c r="P28" s="218" t="inlineStr"/>
      <c r="Q28" s="218" t="inlineStr"/>
      <c r="R28" s="218" t="inlineStr"/>
      <c r="S28" s="218" t="inlineStr"/>
      <c r="T28" s="218" t="inlineStr"/>
      <c r="U28" s="218" t="inlineStr"/>
      <c r="V28" s="218" t="inlineStr"/>
    </row>
    <row r="29" ht="21" customHeight="1" s="461">
      <c r="A29" s="474" t="inlineStr">
        <is>
          <t>🚨 РЕЕСТР ДЕФЕКТОВ РЕЧИ: РАСШИФРОВАННЫЕ ЦИТАТЫ ИЗ РАЗГОВОРОВ И РЕШЕНИЯ РОПа</t>
        </is>
      </c>
    </row>
    <row r="30" ht="21" customHeight="1" s="461">
      <c r="A30" s="475" t="inlineStr">
        <is>
          <t>Call ID</t>
        </is>
      </c>
      <c r="B30" s="475" t="inlineStr">
        <is>
          <t>Сделка / Контрагент</t>
        </is>
      </c>
      <c r="C30" s="475" t="inlineStr">
        <is>
          <t>Менеджер</t>
        </is>
      </c>
      <c r="D30" s="475" t="inlineStr">
        <is>
          <t>Сумма в риске</t>
        </is>
      </c>
      <c r="E30" s="475" t="inlineStr">
        <is>
          <t>Критический дефект речи</t>
        </is>
      </c>
      <c r="G30" s="475" t="inlineStr">
        <is>
          <t>💬 Цитата из диалога (Расшифровка Whisper Large V3)</t>
        </is>
      </c>
      <c r="N30" s="475" t="inlineStr">
        <is>
          <t>🤖 Решение ИИ и Срочное действие РОПа</t>
        </is>
      </c>
    </row>
    <row r="31" ht="54" customHeight="1" s="461">
      <c r="A31" s="478" t="inlineStr">
        <is>
          <t>C-505</t>
        </is>
      </c>
      <c r="B31" s="477" t="inlineStr">
        <is>
          <t>D-109 (ООО «ПромКомплект»)</t>
        </is>
      </c>
      <c r="C31" s="477" t="inlineStr">
        <is>
          <t>Дмитрий Ковалев</t>
        </is>
      </c>
      <c r="D31" s="479" t="inlineStr">
        <is>
          <t>600,000 ₽</t>
        </is>
      </c>
      <c r="E31" s="484" t="inlineStr">
        <is>
          <t>Срыв контакта / грубость при цене</t>
        </is>
      </c>
      <c r="G31" s="477" t="inlineStr">
        <is>
          <t>Клиент: «Почему у вас смета на 15% выше рынка?» → Менеджер: «Не знаю, везде всё дорожает. Не устраивает — берите у конкурентов без гарантии»</t>
        </is>
      </c>
      <c r="N31" s="485" t="inlineStr">
        <is>
          <t>🚨 Экстренный звонок РОПа ЛПР до 12:00: принести извинения за консультацию, перехватить сделку, дать проект со спец-гарантией 24 мес.</t>
        </is>
      </c>
    </row>
    <row r="32" ht="54" customHeight="1" s="461">
      <c r="A32" s="478" t="inlineStr">
        <is>
          <t>C-503</t>
        </is>
      </c>
      <c r="B32" s="477" t="inlineStr">
        <is>
          <t>D-106 (ООО «СнабСервис»)</t>
        </is>
      </c>
      <c r="C32" s="477" t="inlineStr">
        <is>
          <t>Анна Соколова</t>
        </is>
      </c>
      <c r="D32" s="479" t="inlineStr">
        <is>
          <t>280,000 ₽</t>
        </is>
      </c>
      <c r="E32" s="484" t="inlineStr">
        <is>
          <t>Слив жесткого Next Step (в никуда)</t>
        </is>
      </c>
      <c r="G32" s="477" t="inlineStr">
        <is>
          <t>Менеджер: «Я вам КП на почту сбросила, посмотрите когда время будет». Клиент: «Хорошо, если что наберу»</t>
        </is>
      </c>
      <c r="N32" s="485" t="inlineStr">
        <is>
          <t>Направить клиенту в WhatsApp 2 конкретных слота встречи (сегодня 16:00 / завтра 11:30) с демонстрацией интеграции с CRM.</t>
        </is>
      </c>
    </row>
    <row r="33" ht="54" customHeight="1" s="461">
      <c r="A33" s="478" t="inlineStr">
        <is>
          <t>C-507</t>
        </is>
      </c>
      <c r="B33" s="477" t="inlineStr">
        <is>
          <t>D-114 (ООО «АльфаТрейд»)</t>
        </is>
      </c>
      <c r="C33" s="477" t="inlineStr">
        <is>
          <t>Дмитрий Ковалев</t>
        </is>
      </c>
      <c r="D33" s="479" t="inlineStr">
        <is>
          <t>500,000 ₽</t>
        </is>
      </c>
      <c r="E33" s="484" t="inlineStr">
        <is>
          <t>Необоснованная скидка вместо ценности</t>
        </is>
      </c>
      <c r="G33" s="477" t="inlineStr">
        <is>
          <t>Клиент: «У нас бюджет строго ограничен». Менеджер: «Ну ладно, согласую вам скидку 10% прямо сейчас»</t>
        </is>
      </c>
      <c r="N33" s="485" t="inlineStr">
        <is>
          <t>Заблокировать выставление счета со скидкой в CRM. РОПу пересогласовать условия: скидка 5% только в обмен на 100% предоплату за 24ч.</t>
        </is>
      </c>
    </row>
    <row r="34" ht="54" customHeight="1" s="461">
      <c r="A34" s="478" t="inlineStr">
        <is>
          <t>C-508</t>
        </is>
      </c>
      <c r="B34" s="477" t="inlineStr">
        <is>
          <t>D-118 (ООО «СтройХолдинг»)</t>
        </is>
      </c>
      <c r="C34" s="477" t="inlineStr">
        <is>
          <t>Иван Попов</t>
        </is>
      </c>
      <c r="D34" s="479" t="inlineStr">
        <is>
          <t>650,000 ₽</t>
        </is>
      </c>
      <c r="E34" s="484" t="inlineStr">
        <is>
          <t>Слив возражения «Я подумаю»</t>
        </is>
      </c>
      <c r="G34" s="477" t="inlineStr">
        <is>
          <t>Клиент: «Нам нужно всё обдумать и посоветоваться с руководством». Менеджер: «Да, конечно, думайте» (повесил трубку)</t>
        </is>
      </c>
      <c r="N34" s="485" t="inlineStr">
        <is>
          <t>Передать лида старшему КАМу. Отправить в WhatsApp отраслевой кейс с аналогичным объектом и окупаемостью за 21 день.</t>
        </is>
      </c>
    </row>
    <row r="35" ht="54" customHeight="1" s="461">
      <c r="A35" s="478" t="inlineStr">
        <is>
          <t>C-510</t>
        </is>
      </c>
      <c r="B35" s="477" t="inlineStr">
        <is>
          <t>D-125 (ООО «МегаТранс»)</t>
        </is>
      </c>
      <c r="C35" s="477" t="inlineStr">
        <is>
          <t>Иван Попов</t>
        </is>
      </c>
      <c r="D35" s="479" t="inlineStr">
        <is>
          <t>450,000 ₽</t>
        </is>
      </c>
      <c r="E35" s="484" t="inlineStr">
        <is>
          <t>Режим автоответчика, не выявлен ЛПР</t>
        </is>
      </c>
      <c r="G35" s="477" t="inlineStr">
        <is>
          <t>Менеджер 5 минут зачитывал прайс-лист секретарю, не спросив, кто принимает решение по закупкам</t>
        </is>
      </c>
      <c r="N35" s="485" t="inlineStr">
        <is>
          <t>Разбор на летучке: регламент квалификации BANT. Назначить повторный звонок с прямым выходом на генерального директора.</t>
        </is>
      </c>
    </row>
    <row r="36" ht="10.5" customHeight="1" s="461">
      <c r="A36" s="218" t="inlineStr"/>
      <c r="B36" s="218" t="inlineStr"/>
      <c r="C36" s="218" t="inlineStr"/>
      <c r="D36" s="218" t="inlineStr"/>
      <c r="E36" s="218" t="inlineStr"/>
      <c r="F36" s="218" t="inlineStr"/>
      <c r="G36" s="218" t="inlineStr"/>
      <c r="H36" s="218" t="inlineStr"/>
      <c r="I36" s="218" t="inlineStr"/>
      <c r="J36" s="218" t="inlineStr"/>
      <c r="K36" s="218" t="inlineStr"/>
      <c r="L36" s="218" t="inlineStr"/>
      <c r="M36" s="218" t="inlineStr"/>
      <c r="N36" s="218" t="inlineStr"/>
      <c r="O36" s="218" t="inlineStr"/>
      <c r="P36" s="218" t="inlineStr"/>
      <c r="Q36" s="218" t="inlineStr"/>
      <c r="R36" s="218" t="inlineStr"/>
      <c r="S36" s="218" t="inlineStr"/>
      <c r="T36" s="218" t="inlineStr"/>
      <c r="U36" s="218" t="inlineStr"/>
      <c r="V36" s="218" t="inlineStr"/>
    </row>
    <row r="37" ht="21" customHeight="1" s="461">
      <c r="A37" s="474" t="inlineStr">
        <is>
          <t>📋 ЭТАЛОННЫЙ СТАНДАРТ 13 КРИТЕРИЕВ ОЦЕНКИ B2B-ДИАЛОГОВ (WHISPER LARGE V3 + LLM SUPERVISOR)</t>
        </is>
      </c>
    </row>
    <row r="38" ht="21" customHeight="1" s="461">
      <c r="A38" s="475" t="inlineStr">
        <is>
          <t>№</t>
        </is>
      </c>
      <c r="B38" s="475" t="inlineStr">
        <is>
          <t>Параметр оценки диалога</t>
        </is>
      </c>
      <c r="C38" s="475" t="inlineStr">
        <is>
          <t>Вес</t>
        </is>
      </c>
      <c r="D38" s="475" t="inlineStr">
        <is>
          <t>Приоритет</t>
        </is>
      </c>
      <c r="E38" s="475" t="inlineStr">
        <is>
          <t>Что проверяет алгоритм ИИ (Суть критерия)</t>
        </is>
      </c>
      <c r="H38" s="475" t="inlineStr">
        <is>
          <t>Маркеры дефекта в речи (Почему сделка срывается)</t>
        </is>
      </c>
      <c r="M38" s="475" t="inlineStr">
        <is>
          <t>Coaching Tip: как обучить менеджера и защитить выручку</t>
        </is>
      </c>
    </row>
    <row r="39" ht="39" customHeight="1" s="461">
      <c r="A39" s="476" t="inlineStr">
        <is>
          <t>1</t>
        </is>
      </c>
      <c r="B39" s="486" t="inlineStr">
        <is>
          <t>Жёсткий Next Step</t>
        </is>
      </c>
      <c r="C39" s="480" t="inlineStr">
        <is>
          <t>2.0x</t>
        </is>
      </c>
      <c r="D39" s="480" t="inlineStr">
        <is>
          <t>🔴 P0 (Критический)</t>
        </is>
      </c>
      <c r="E39" s="477" t="inlineStr">
        <is>
          <t>Зафиксирована точная дата и время следующего контакта (календарный слот)</t>
        </is>
      </c>
      <c r="H39" s="487" t="inlineStr">
        <is>
          <t>«Я вам наберу на днях», «Подумайте, позвоните», отпускание без дедлайна</t>
        </is>
      </c>
      <c r="M39" s="486" t="inlineStr">
        <is>
          <t>Внедрить обязательный вопрос: «Во вторник в 14:30 или в среду в 11:00 удобно?»</t>
        </is>
      </c>
    </row>
    <row r="40" ht="39" customHeight="1" s="461">
      <c r="A40" s="476" t="inlineStr">
        <is>
          <t>2</t>
        </is>
      </c>
      <c r="B40" s="486" t="inlineStr">
        <is>
          <t>Инициатива диалога</t>
        </is>
      </c>
      <c r="C40" s="480" t="inlineStr">
        <is>
          <t>1.0x</t>
        </is>
      </c>
      <c r="D40" s="480" t="inlineStr">
        <is>
          <t>🟡 P1 (Высокий)</t>
        </is>
      </c>
      <c r="E40" s="477" t="inlineStr">
        <is>
          <t>Менеджер ведёт диалог вопросами, держит сценарий, а не работает автоответчиком</t>
        </is>
      </c>
      <c r="H40" s="487" t="inlineStr">
        <is>
          <t>Клиент задает все вопросы сам, менеджер только пассивно отвечает</t>
        </is>
      </c>
      <c r="M40" s="486" t="inlineStr">
        <is>
          <t>Правило «Ответ + Встречный вопрос». Завершать каждую реплику вопросом.</t>
        </is>
      </c>
    </row>
    <row r="41" ht="39" customHeight="1" s="461">
      <c r="A41" s="476" t="inlineStr">
        <is>
          <t>3</t>
        </is>
      </c>
      <c r="B41" s="488" t="inlineStr">
        <is>
          <t>Квалификация ЛПР / ЛВПР</t>
        </is>
      </c>
      <c r="C41" s="480" t="inlineStr">
        <is>
          <t>1.5x</t>
        </is>
      </c>
      <c r="D41" s="489" t="inlineStr">
        <is>
          <t>🔴 P0 (Критический)</t>
        </is>
      </c>
      <c r="E41" s="477" t="inlineStr">
        <is>
          <t>Установлен статус собеседника: принимает ли решения по бюджету и согласованию</t>
        </is>
      </c>
      <c r="H41" s="487" t="inlineStr">
        <is>
          <t>Трата 40 минут на презентацию секретарю или инженеру без полномочий</t>
        </is>
      </c>
      <c r="M41" s="486" t="inlineStr">
        <is>
          <t>«Кто кроме вас участвует в утверждении финансового бюджета проекта?»</t>
        </is>
      </c>
    </row>
    <row r="42" ht="39" customHeight="1" s="461">
      <c r="A42" s="476" t="inlineStr">
        <is>
          <t>4</t>
        </is>
      </c>
      <c r="B42" s="488" t="inlineStr">
        <is>
          <t>Выявление болей и срочности</t>
        </is>
      </c>
      <c r="C42" s="480" t="inlineStr">
        <is>
          <t>1.2x</t>
        </is>
      </c>
      <c r="D42" s="480" t="inlineStr">
        <is>
          <t>🟡 P1 (Высокий)</t>
        </is>
      </c>
      <c r="E42" s="477" t="inlineStr">
        <is>
          <t>Понятна ли бизнес-задача клиента, текущие потери и дедлайн решения проблемы</t>
        </is>
      </c>
      <c r="H42" s="487" t="inlineStr">
        <is>
          <t>Менеджер презентует продукт 'в лоб', не узнав реальную боль клиента</t>
        </is>
      </c>
      <c r="M42" s="486" t="inlineStr">
        <is>
          <t>Сначала диагностика по методологии SPIN/BANT, затем презентация под боль.</t>
        </is>
      </c>
    </row>
    <row r="43" ht="39" customHeight="1" s="461">
      <c r="A43" s="476" t="inlineStr">
        <is>
          <t>5</t>
        </is>
      </c>
      <c r="B43" s="486" t="inlineStr">
        <is>
          <t>Отработка возражения «Дорого»</t>
        </is>
      </c>
      <c r="C43" s="480" t="inlineStr">
        <is>
          <t>1.5x</t>
        </is>
      </c>
      <c r="D43" s="480" t="inlineStr">
        <is>
          <t>🔴 P0 (Критический)</t>
        </is>
      </c>
      <c r="E43" s="490" t="inlineStr">
        <is>
          <t>Обоснование ценности, расчет ROI/окупаемости, рассрочка (без моментальной скидки)</t>
        </is>
      </c>
      <c r="H43" s="491" t="inlineStr">
        <is>
          <t>Моментальная скидка при первом сомнении или согласие («Да, у нас недешево»)</t>
        </is>
      </c>
      <c r="M43" s="486" t="inlineStr">
        <is>
          <t>Показать окупаемость: сколько клиент теряет каждый день без решения.</t>
        </is>
      </c>
    </row>
    <row r="44" ht="39" customHeight="1" s="461">
      <c r="A44" s="476" t="inlineStr">
        <is>
          <t>6</t>
        </is>
      </c>
      <c r="B44" s="486" t="inlineStr">
        <is>
          <t>Отработка «Я подумаю»</t>
        </is>
      </c>
      <c r="C44" s="480" t="inlineStr">
        <is>
          <t>1.0x</t>
        </is>
      </c>
      <c r="D44" s="480" t="inlineStr">
        <is>
          <t>🟡 P1 (Высокий)</t>
        </is>
      </c>
      <c r="E44" s="477" t="inlineStr">
        <is>
          <t>Вскрытие истинного сомнения клиента, а не молчаливое отпускание в архив</t>
        </is>
      </c>
      <c r="H44" s="487" t="inlineStr">
        <is>
          <t>«Хорошо, думайте, ждем звонка», закрытие звонка на неопределенности</t>
        </is>
      </c>
      <c r="M44" s="486" t="inlineStr">
        <is>
          <t>«Алексей, обычно говорят 'подумаю', если смущает цена или функционал. Что именно?»</t>
        </is>
      </c>
    </row>
    <row r="45" ht="39" customHeight="1" s="461">
      <c r="A45" s="476" t="inlineStr">
        <is>
          <t>7</t>
        </is>
      </c>
      <c r="B45" s="486" t="inlineStr">
        <is>
          <t>Презентация через кейсы и цифры</t>
        </is>
      </c>
      <c r="C45" s="480" t="inlineStr">
        <is>
          <t>1.0x</t>
        </is>
      </c>
      <c r="D45" s="480" t="inlineStr">
        <is>
          <t>🟡 P1 (Высокий)</t>
        </is>
      </c>
      <c r="E45" s="477" t="inlineStr">
        <is>
          <t>Приведение аналогичных проектов, оцифрованных результатов и сроков возврата</t>
        </is>
      </c>
      <c r="H45" s="487" t="inlineStr">
        <is>
          <t>Абстрактные фразы «мы надежные», «у нас качество» без реальных фактов</t>
        </is>
      </c>
      <c r="M45" s="486" t="inlineStr">
        <is>
          <t>Привести кейс: «Для компании X мы сократили цикл сделки на 14 дней».</t>
        </is>
      </c>
    </row>
    <row r="46" ht="39" customHeight="1" s="461">
      <c r="A46" s="476" t="inlineStr">
        <is>
          <t>8</t>
        </is>
      </c>
      <c r="B46" s="486" t="inlineStr">
        <is>
          <t>Попытка закрытия сделки</t>
        </is>
      </c>
      <c r="C46" s="480" t="inlineStr">
        <is>
          <t>1.5x</t>
        </is>
      </c>
      <c r="D46" s="489" t="inlineStr">
        <is>
          <t>🔴 P0 (Критический)</t>
        </is>
      </c>
      <c r="E46" s="477" t="inlineStr">
        <is>
          <t>Прямое предложение заключить договор, забронировать слот аудита или оплатить счет</t>
        </is>
      </c>
      <c r="H46" s="487" t="inlineStr">
        <is>
          <t>Разговор прошел тепло, но менеджер не предложил сделать шаг к оплате</t>
        </is>
      </c>
      <c r="M46" s="486" t="inlineStr">
        <is>
          <t>«Если все параметры подходят, предлагаю запустить пилот. Куда направить договор?»</t>
        </is>
      </c>
    </row>
    <row r="47" ht="39" customHeight="1" s="461">
      <c r="A47" s="476" t="inlineStr">
        <is>
          <t>9</t>
        </is>
      </c>
      <c r="B47" s="486" t="inlineStr">
        <is>
          <t>Регламент приветствия и повестка</t>
        </is>
      </c>
      <c r="C47" s="480" t="inlineStr">
        <is>
          <t>0.8x</t>
        </is>
      </c>
      <c r="D47" s="480" t="inlineStr">
        <is>
          <t>🟢 P2 (Стандарт)</t>
        </is>
      </c>
      <c r="E47" s="477" t="inlineStr">
        <is>
          <t>Представление имени, компании, уточнение времени и согласование цели звонка</t>
        </is>
      </c>
      <c r="H47" s="487" t="inlineStr">
        <is>
          <t>Невнятное приветствие, вопрос «Удобно говорить?» без обозначения повестки</t>
        </is>
      </c>
      <c r="M47" s="486" t="inlineStr">
        <is>
          <t>«Добрый день! Дмитрий, RevOps. Звоню по аудиту воронки. Уделите 5 минут?»</t>
        </is>
      </c>
    </row>
    <row r="48" ht="39" customHeight="1" s="461">
      <c r="A48" s="476" t="inlineStr">
        <is>
          <t>10</t>
        </is>
      </c>
      <c r="B48" s="486" t="inlineStr">
        <is>
          <t>Чистота речи и уверенность</t>
        </is>
      </c>
      <c r="C48" s="480" t="inlineStr">
        <is>
          <t>0.8x</t>
        </is>
      </c>
      <c r="D48" s="480" t="inlineStr">
        <is>
          <t>🟢 P2 (Стандарт)</t>
        </is>
      </c>
      <c r="E48" s="477" t="inlineStr">
        <is>
          <t>Отсутствие слов-паразитов, пауз и извиняющихся интонаций при чеке</t>
        </is>
      </c>
      <c r="H48" s="487" t="inlineStr">
        <is>
          <t>Дрожащий голос при озвучивании цены, слова неуверенности («наверное», «может»)</t>
        </is>
      </c>
      <c r="M48" s="486" t="inlineStr">
        <is>
          <t>Отработать блок цены на тренажере: уверенная пауза после суммы.</t>
        </is>
      </c>
    </row>
    <row r="49" ht="39" customHeight="1" s="461">
      <c r="A49" s="476" t="inlineStr">
        <is>
          <t>11</t>
        </is>
      </c>
      <c r="B49" s="486" t="inlineStr">
        <is>
          <t>Слушание клиента (Talk/Listen)</t>
        </is>
      </c>
      <c r="C49" s="480" t="inlineStr">
        <is>
          <t>1.2x</t>
        </is>
      </c>
      <c r="D49" s="480" t="inlineStr">
        <is>
          <t>🟡 P1 (Высокий)</t>
        </is>
      </c>
      <c r="E49" s="477" t="inlineStr">
        <is>
          <t>Менеджер слушает клиента не менее 45–50% общего времени разговора</t>
        </is>
      </c>
      <c r="H49" s="487" t="inlineStr">
        <is>
          <t>Монолог менеджера &gt; 70% времени: клиент молчит и теряет внимание</t>
        </is>
      </c>
      <c r="M49" s="486" t="inlineStr">
        <is>
          <t>Держать баланс 50/50. Задавать открытые вопросы и слушать клиента.</t>
        </is>
      </c>
    </row>
    <row r="50" ht="39" customHeight="1" s="461">
      <c r="A50" s="476" t="inlineStr">
        <is>
          <t>12</t>
        </is>
      </c>
      <c r="B50" s="486" t="inlineStr">
        <is>
          <t>Фиксация договорённостей</t>
        </is>
      </c>
      <c r="C50" s="480" t="inlineStr">
        <is>
          <t>1.0x</t>
        </is>
      </c>
      <c r="D50" s="480" t="inlineStr">
        <is>
          <t>🟢 P2 (Стандарт)</t>
        </is>
      </c>
      <c r="E50" s="477" t="inlineStr">
        <is>
          <t>Резюмирование договоренностей перед завершением: кто, что и когда делает</t>
        </is>
      </c>
      <c r="H50" s="491" t="inlineStr">
        <is>
          <t>Диалог оборвался, у клиента и менеджера разное понимание шагов</t>
        </is>
      </c>
      <c r="M50" s="486" t="inlineStr">
        <is>
          <t>«Резюмирую: я отправляю КП в WhatsApp до 15:00, а завтра в 11:00 мы созваниваемся».</t>
        </is>
      </c>
    </row>
    <row r="51" ht="39" customHeight="1" s="461">
      <c r="A51" s="476" t="inlineStr">
        <is>
          <t>13</t>
        </is>
      </c>
      <c r="B51" s="486" t="inlineStr">
        <is>
          <t>Защита маржинальности</t>
        </is>
      </c>
      <c r="C51" s="480" t="inlineStr">
        <is>
          <t>1.5x</t>
        </is>
      </c>
      <c r="D51" s="480" t="inlineStr">
        <is>
          <t>🔴 P0 (Критический)</t>
        </is>
      </c>
      <c r="E51" s="477" t="inlineStr">
        <is>
          <t>Отсутствие необоснованных скидок без встречных уступок по объему или предоплате</t>
        </is>
      </c>
      <c r="H51" s="487" t="inlineStr">
        <is>
          <t>Раздача скидок из маржи без требования 100% оплаты или большего объема</t>
        </is>
      </c>
      <c r="M51" s="486" t="inlineStr">
        <is>
          <t>Скидка только в обмен: «Готовы дать 5% при оплате счета в течение 24 часов».</t>
        </is>
      </c>
    </row>
    <row r="52" ht="10.5" customHeight="1" s="461">
      <c r="A52" s="218" t="inlineStr"/>
      <c r="B52" s="218" t="inlineStr"/>
      <c r="C52" s="218" t="inlineStr"/>
      <c r="D52" s="218" t="inlineStr"/>
      <c r="E52" s="218" t="inlineStr"/>
      <c r="F52" s="218" t="inlineStr"/>
      <c r="G52" s="218" t="inlineStr"/>
      <c r="H52" s="218" t="inlineStr"/>
      <c r="I52" s="218" t="inlineStr"/>
      <c r="J52" s="218" t="inlineStr"/>
      <c r="K52" s="218" t="inlineStr"/>
      <c r="L52" s="218" t="inlineStr"/>
      <c r="M52" s="218" t="inlineStr"/>
      <c r="N52" s="218" t="inlineStr"/>
      <c r="O52" s="218" t="inlineStr"/>
      <c r="P52" s="218" t="inlineStr"/>
      <c r="Q52" s="218" t="inlineStr"/>
      <c r="R52" s="218" t="inlineStr"/>
      <c r="S52" s="218" t="inlineStr"/>
      <c r="T52" s="218" t="inlineStr"/>
      <c r="U52" s="218" t="inlineStr"/>
      <c r="V52" s="218" t="inlineStr"/>
    </row>
    <row r="53" ht="21" customHeight="1" s="461">
      <c r="A53" s="474" t="inlineStr">
        <is>
          <t>💰 ЭКОНОМИЧЕСКИЙ ЭФФЕКТ РЕЧЕВОЙ АНАЛИТИКИ (ROI ВНЕДРЕНИЯ И ОКУПАЕМОСТЬ)</t>
        </is>
      </c>
    </row>
    <row r="54" ht="21" customHeight="1" s="461">
      <c r="A54" s="475" t="inlineStr">
        <is>
          <t>Параметр эффекта речевой аналитики</t>
        </is>
      </c>
      <c r="D54" s="475" t="inlineStr">
        <is>
          <t>Значение</t>
        </is>
      </c>
      <c r="F54" s="475" t="inlineStr">
        <is>
          <t>Комментарий и логика окупаемости</t>
        </is>
      </c>
    </row>
    <row r="55" ht="24" customHeight="1" s="461">
      <c r="A55" s="486" t="inlineStr">
        <is>
          <t>Текущие потери от брака звонков в месяц (As-Is)</t>
        </is>
      </c>
      <c r="D55" s="492" t="inlineStr">
        <is>
          <t>1,382,500 ₽</t>
        </is>
      </c>
      <c r="F55" s="477" t="inlineStr">
        <is>
          <t>Сливы на этапе первичного звонка из-за отсутствия Next Step и слабой отработки возражений</t>
        </is>
      </c>
    </row>
    <row r="56" ht="24" customHeight="1" s="461">
      <c r="A56" s="486" t="inlineStr">
        <is>
          <t>Ожидаемый возврат выручки в кассу (M1 To-Be)</t>
        </is>
      </c>
      <c r="D56" s="492" t="inlineStr">
        <is>
          <t>414,750 ₽</t>
        </is>
      </c>
      <c r="F56" s="477" t="inlineStr">
        <is>
          <t>Консервативный сценарий: устранение всего 30% выявленных дефектов речи</t>
        </is>
      </c>
    </row>
    <row r="57" ht="24" customHeight="1" s="461">
      <c r="A57" s="486" t="inlineStr">
        <is>
          <t>Стоимость модуля речевого ИИ-супервайзера</t>
        </is>
      </c>
      <c r="D57" s="492" t="inlineStr">
        <is>
          <t>150,000 ₽</t>
        </is>
      </c>
      <c r="F57" s="477" t="inlineStr">
        <is>
          <t>В составе комплексного 4-недельного спринта оптимизации отдела продаж</t>
        </is>
      </c>
    </row>
    <row r="58" ht="24" customHeight="1" s="461">
      <c r="A58" s="486" t="inlineStr">
        <is>
          <t>Чистая прибыль компании от внедрения в первый месяц</t>
        </is>
      </c>
      <c r="D58" s="492" t="inlineStr">
        <is>
          <t>264,750 ₽</t>
        </is>
      </c>
      <c r="F58" s="477" t="inlineStr">
        <is>
          <t>Чистый денежный плюс в кассе компании уже в первый месяц работы</t>
        </is>
      </c>
    </row>
    <row r="59" ht="24" customHeight="1" s="461">
      <c r="A59" s="486" t="inlineStr">
        <is>
          <t>Чистый ROI речевой аналитики</t>
        </is>
      </c>
      <c r="D59" s="493" t="inlineStr">
        <is>
          <t>276%</t>
        </is>
      </c>
      <c r="F59" s="477" t="inlineStr">
        <is>
          <t>Отдача на каждый вложенный рубль в первый месяц</t>
        </is>
      </c>
    </row>
    <row r="60" ht="24" customHeight="1" s="461">
      <c r="A60" s="486" t="inlineStr">
        <is>
          <t>Срок полной окупаемости модуля</t>
        </is>
      </c>
      <c r="D60" s="492" t="inlineStr">
        <is>
          <t>11 дней</t>
        </is>
      </c>
      <c r="F60" s="477" t="inlineStr">
        <is>
          <t>Количество рабочих дней до полной окупаемости внедрения речевого ИИ</t>
        </is>
      </c>
    </row>
  </sheetData>
  <dataValidations count="1">
    <dataValidation sqref="B12:D12" showDropDown="0" showInputMessage="0" showErrorMessage="1" allowBlank="1" type="list">
      <formula1>"Все менеджеры,Иванов Дмитрий (РОП),Петров Александр (КАМ),Сидоров Роман (SDR)"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FFD8A521"/>
    <outlinePr summaryBelow="0" summaryRight="0"/>
    <pageSetUpPr/>
  </sheetPr>
  <dimension ref="A1:J28"/>
  <sheetViews>
    <sheetView workbookViewId="0">
      <selection activeCell="A1" sqref="A1"/>
    </sheetView>
  </sheetViews>
  <sheetFormatPr baseColWidth="8" defaultColWidth="12.63" defaultRowHeight="15.75" customHeight="1"/>
  <cols>
    <col width="104" customWidth="1" style="461" min="1" max="1"/>
    <col width="38" customWidth="1" style="461" min="2" max="2"/>
    <col width="59.88" customWidth="1" style="461" min="3" max="3"/>
    <col width="21.88" customWidth="1" style="461" min="4" max="5"/>
    <col width="21.63" customWidth="1" style="461" min="6" max="6"/>
    <col width="53.25" customWidth="1" style="461" min="7" max="7"/>
    <col width="40" customWidth="1" style="461" min="8" max="8"/>
    <col width="10.13" customWidth="1" style="461" min="9" max="10"/>
  </cols>
  <sheetData>
    <row r="1" ht="42" customHeight="1" s="461">
      <c r="A1" s="8" t="inlineStr">
        <is>
          <t>💸 ДИАГНОСТИЧЕСКИЙ АУДИТ УПУЩЕННОЙ ПРИБЫЛИ И УЗКИХ МЕСТ ОТДЕЛА ПРОДАЖ</t>
        </is>
      </c>
      <c r="B1" s="8" t="n"/>
      <c r="C1" s="8" t="n"/>
      <c r="D1" s="8" t="n"/>
      <c r="E1" s="8" t="n"/>
      <c r="F1" s="8" t="n"/>
      <c r="G1" s="8" t="n"/>
      <c r="H1" s="8" t="n"/>
      <c r="I1" s="5" t="n"/>
      <c r="J1" s="5" t="n"/>
    </row>
    <row r="2" ht="24" customHeight="1" s="461">
      <c r="A2" s="496">
        <f>HYPERLINK("#'📄 Executive_OnePager'!A1", "📄 1. One-Pager")</f>
        <v/>
      </c>
      <c r="B2" s="496">
        <f>HYPERLINK("#'⚡ Пульс_Компании'!A1", "⚡ 2. Пульс компании")</f>
        <v/>
      </c>
      <c r="C2" s="496">
        <f>HYPERLINK("#'📋 Пульт_РОПа_15_Минут'!A1", "📋 3. Пульт РОПа")</f>
        <v/>
      </c>
      <c r="D2" s="496">
        <f>HYPERLINK("#'💸 Диагностика_Утечек_ОП'!A1", "💸 4. 7 Грехов ОП")</f>
        <v/>
      </c>
      <c r="E2" s="496">
        <f>HYPERLINK("#'🎯 Action_Center'!A1", "🎯 5. Action Center")</f>
        <v/>
      </c>
      <c r="F2" s="496">
        <f>HYPERLINK("#'🎙️ ИИ_Аудит'!A1", "🎙️ 6. ИИ-Аудит")</f>
        <v/>
      </c>
      <c r="G2" s="496">
        <f>HYPERLINK("#'⚡ Экспресс_Калькулятор_3_Цифры'!A1", "⚡ 7. Экспресс 3 цифры")</f>
        <v/>
      </c>
      <c r="H2" s="496">
        <f>HYPERLINK("#'🧪 QA_Suite'!A1", "🧪 8. QA Suite")</f>
        <v/>
      </c>
      <c r="I2" s="496">
        <f>HYPERLINK("#'⚙️ Настройки'!A1", "⚙️ 9. Настройки")</f>
        <v/>
      </c>
    </row>
    <row r="3" ht="12" customHeight="1" s="461"/>
    <row r="4" ht="22.5" customHeight="1" s="461">
      <c r="A4" s="218" t="inlineStr">
        <is>
          <t>Фактическая выручка месяца</t>
        </is>
      </c>
      <c r="B4" s="218" t="inlineStr">
        <is>
          <t>Взвешенный пайплайн в работе</t>
        </is>
      </c>
      <c r="C4" s="218" t="inlineStr">
        <is>
          <t>Выявленная упущенная прибыль</t>
        </is>
      </c>
      <c r="D4" s="218" t="inlineStr">
        <is>
          <t>Потенциал выручки (To-Be)</t>
        </is>
      </c>
      <c r="E4" s="218" t="inlineStr">
        <is>
          <t>Ожидаемый чистый ROI</t>
        </is>
      </c>
      <c r="F4" s="218" t="inlineStr">
        <is>
          <t>Срок окупаемости проекта</t>
        </is>
      </c>
    </row>
    <row r="5" ht="40.5" customHeight="1" s="461">
      <c r="A5" s="29">
        <f>calc_engine!B19</f>
        <v/>
      </c>
      <c r="B5" s="33">
        <f>calc_engine!B18</f>
        <v/>
      </c>
      <c r="C5" s="33">
        <f>E16</f>
        <v/>
      </c>
      <c r="D5" s="45">
        <f>A5 + E16</f>
        <v/>
      </c>
      <c r="E5" s="218">
        <f>B23</f>
        <v/>
      </c>
      <c r="F5" s="218">
        <f>B24</f>
        <v/>
      </c>
    </row>
    <row r="6" ht="12" customHeight="1" s="461"/>
    <row r="7" ht="25.5" customHeight="1" s="461">
      <c r="A7" s="218" t="inlineStr">
        <is>
          <t>🔴 7 СМЕРТНЫХ ГРЕХОВ ОТДЕЛА ПРОДАЖ (АНАТОМИЯ СБОЕВ И ИХ УСТРАНЕНИЕ)</t>
        </is>
      </c>
    </row>
    <row r="8" ht="30" customHeight="1" s="461">
      <c r="A8" s="52" t="inlineStr">
        <is>
          <t>№</t>
        </is>
      </c>
      <c r="B8" s="53" t="inlineStr">
        <is>
          <t>Смертный грех ОП (Системный сбой)</t>
        </is>
      </c>
      <c r="C8" s="53" t="inlineStr">
        <is>
          <t>Симптом и диагностика в компании</t>
        </is>
      </c>
      <c r="D8" s="53" t="inlineStr">
        <is>
          <t>Объем базы в риске</t>
        </is>
      </c>
      <c r="E8" s="53" t="inlineStr">
        <is>
          <t>Упущенная выгода / Риск, ₽</t>
        </is>
      </c>
      <c r="F8" s="53" t="inlineStr">
        <is>
          <t>Приоритет</t>
        </is>
      </c>
      <c r="G8" s="53" t="inlineStr">
        <is>
          <t>Как закрывает наша платформа</t>
        </is>
      </c>
      <c r="H8" s="54" t="inlineStr">
        <is>
          <t>Ожидаемый эффект</t>
        </is>
      </c>
    </row>
    <row r="9" ht="43.5" customHeight="1" s="461">
      <c r="A9" s="57" t="n">
        <v>1</v>
      </c>
      <c r="B9" s="58" t="inlineStr">
        <is>
          <t>«Черный ящик» CRM: иллюзорный пайплайн</t>
        </is>
      </c>
      <c r="C9" s="58" t="inlineStr">
        <is>
          <t>В CRM висит 5.3 млн ₽, но реальный взвешенный объем всего 2.6 млн ₽. Фаундер живет в иллюзии плана</t>
        </is>
      </c>
      <c r="D9" s="62">
        <f>calc_engine!B17</f>
        <v/>
      </c>
      <c r="E9" s="62">
        <f>calc_engine!B17 - calc_engine!B18</f>
        <v/>
      </c>
      <c r="F9" s="58" t="inlineStr">
        <is>
          <t>🔴 P0 (Критический)</t>
        </is>
      </c>
      <c r="G9" s="58" t="inlineStr">
        <is>
          <t>Взвешенный прогноз воронки (SSOT) + исключение зомби-сделок</t>
        </is>
      </c>
      <c r="H9" s="58" t="inlineStr">
        <is>
          <t>100% точность прогноза Run-Rate без иллюзий</t>
        </is>
      </c>
    </row>
    <row r="10" ht="36" customHeight="1" s="461">
      <c r="A10" s="66" t="n">
        <v>2</v>
      </c>
      <c r="B10" s="75" t="inlineStr">
        <is>
          <t>«Кладбище сделок»: срыв регламентов SLA</t>
        </is>
      </c>
      <c r="C10" s="75" t="inlineStr">
        <is>
          <t>Сделки маринуются на этапе КП по 12–14 дней (норма 48ч). Вероятность закрытия падает на 45%</t>
        </is>
      </c>
      <c r="D10" s="71">
        <f>calc_engine!C5</f>
        <v/>
      </c>
      <c r="E10" s="71">
        <f>ROUND(D10 * 0.45, 0)</f>
        <v/>
      </c>
      <c r="F10" s="75" t="inlineStr">
        <is>
          <t>🔴 P0 (Критический)</t>
        </is>
      </c>
      <c r="G10" s="75" t="inlineStr">
        <is>
          <t>Авторадар зависания сделок + эскалация РОПу на 3-й день</t>
        </is>
      </c>
      <c r="H10" s="75">
        <f>"+45% к конверсии этапа КП в оплату"</f>
        <v/>
      </c>
    </row>
    <row r="11" ht="36" customHeight="1" s="461">
      <c r="A11" s="57" t="n">
        <v>3</v>
      </c>
      <c r="B11" s="58" t="inlineStr">
        <is>
          <t>РОП — «играющий тренер» и узкое горлышко</t>
        </is>
      </c>
      <c r="C11" s="58" t="inlineStr">
        <is>
          <t>РОП ведет 80% сделок и перегружен (нагрузка 80%), а КАМы простаивают с 4% загрузки. Сделки тухнут без внимания</t>
        </is>
      </c>
      <c r="D11" s="62">
        <f>SUMIFS(raw_deals!$C$2:$C50000, raw_deals!$H$2:$H50000, 101, raw_deals!$D$2:$D50000, "&lt;=5")</f>
        <v/>
      </c>
      <c r="E11" s="62">
        <f>ROUND(D11 * 0.3, 0)</f>
        <v/>
      </c>
      <c r="F11" s="58" t="inlineStr">
        <is>
          <t>🔴 P0 (Критический)</t>
        </is>
      </c>
      <c r="G11" s="58" t="inlineStr">
        <is>
          <t>Матрица емкости (Capacity Planning) + автоперелив сделок на КАМов</t>
        </is>
      </c>
      <c r="H11" s="58" t="inlineStr">
        <is>
          <t>Разгрузка РОПа на 60% для управления и коучинга</t>
        </is>
      </c>
    </row>
    <row r="12" ht="36" customHeight="1" s="461">
      <c r="A12" s="66" t="n">
        <v>4</v>
      </c>
      <c r="B12" s="75" t="inlineStr">
        <is>
          <t>Менеджеры-автоответчики и слив звонков</t>
        </is>
      </c>
      <c r="C12" s="75" t="inlineStr">
        <is>
          <t>В 33% звонков не зафиксирован Next Step. Средний балл речи &lt; 9/13. Лиды уходят в «подумаю»</t>
        </is>
      </c>
      <c r="D12" s="71">
        <f>calc_engine!B17</f>
        <v/>
      </c>
      <c r="E12" s="71">
        <f>ROUND(D12 * 0.25, 0)</f>
        <v/>
      </c>
      <c r="F12" s="75" t="inlineStr">
        <is>
          <t>🔴 P0 (Критический)</t>
        </is>
      </c>
      <c r="G12" s="75" t="inlineStr">
        <is>
          <t>13-факторная речевая аналитика + чек-листы BANT + мотивация от речи</t>
        </is>
      </c>
      <c r="H12" s="75">
        <f>"+30% к конверсии из первого звонка во встречу"</f>
        <v/>
      </c>
    </row>
    <row r="13" ht="36" customHeight="1" s="461">
      <c r="A13" s="57" t="n">
        <v>5</v>
      </c>
      <c r="B13" s="58" t="inlineStr">
        <is>
          <t>«Кладбище отказников» без реактивации</t>
        </is>
      </c>
      <c r="C13" s="58" t="inlineStr">
        <is>
          <t>1 млн ₽ списан в отказ (L1 «дорого», L2 «подумаю»). База брошена в архиве без повторного прогрева</t>
        </is>
      </c>
      <c r="D13" s="62">
        <f>SUM(calc_engine!D52:D55)</f>
        <v/>
      </c>
      <c r="E13" s="62">
        <f>calc_engine!D56</f>
        <v/>
      </c>
      <c r="F13" s="58" t="inlineStr">
        <is>
          <t>🟡 P1 (Высокий)</t>
        </is>
      </c>
      <c r="G13" s="58" t="inlineStr">
        <is>
          <t>Agentic AI Recovery Engine: сегментация отказников + офферы даунсейла</t>
        </is>
      </c>
      <c r="H13" s="58" t="inlineStr">
        <is>
          <t>Возврат до 20–30% списанной выручки из архива</t>
        </is>
      </c>
    </row>
    <row r="14" ht="36" customHeight="1" s="461">
      <c r="A14" s="91" t="n">
        <v>6</v>
      </c>
      <c r="B14" s="92" t="inlineStr">
        <is>
          <t>Зависшая дебиторка и кассовые разрывы</t>
        </is>
      </c>
      <c r="C14" s="92" t="inlineStr">
        <is>
          <t>Счета выставлены, но не оплачены (DSO &gt; 25 дней). 330к просрочки грозит кассовым разрывом</t>
        </is>
      </c>
      <c r="D14" s="71">
        <f>calc_engine!B146</f>
        <v/>
      </c>
      <c r="E14" s="71">
        <f>D14</f>
        <v/>
      </c>
      <c r="F14" s="92" t="inlineStr">
        <is>
          <t>🟡 P1 (Высокий)</t>
        </is>
      </c>
      <c r="G14" s="92" t="inlineStr">
        <is>
          <t>Платежный календарь DSO + триггерные AI-уведомления бухгалтерии клиента</t>
        </is>
      </c>
      <c r="H14" s="75" t="inlineStr">
        <is>
          <t>Сокращение срока дебиторки DSO с 27 до 7 дней</t>
        </is>
      </c>
    </row>
    <row r="15" ht="36" customHeight="1" s="461">
      <c r="A15" s="57" t="n">
        <v>7</v>
      </c>
      <c r="B15" s="58" t="inlineStr">
        <is>
          <t>Слив маркетинга и война с отделом продаж</t>
        </is>
      </c>
      <c r="C15" s="58" t="inlineStr">
        <is>
          <t>Google Ads слил 85 000 ₽ с ROMI -100% (0 оплат). Деньги сожжены без сквозного контроля окупаемости</t>
        </is>
      </c>
      <c r="D15" s="62">
        <f>SUMIF(raw_marketing!$B$2:$B50000, "Google Ads", raw_marketing!$E$2:$E50000)</f>
        <v/>
      </c>
      <c r="E15" s="62">
        <f>D15</f>
        <v/>
      </c>
      <c r="F15" s="58" t="inlineStr">
        <is>
          <t>🟡 P1 (Высокий)</t>
        </is>
      </c>
      <c r="G15" s="58" t="inlineStr">
        <is>
          <t>Сквозная RevOps-атрибуция W-Shaped: автоотключение убыточных связок</t>
        </is>
      </c>
      <c r="H15" s="58" t="inlineStr">
        <is>
          <t>Экономия рекламного бюджета + перелив в прибыльный Контур/Директ</t>
        </is>
      </c>
    </row>
    <row r="16" ht="31.5" customHeight="1" s="461">
      <c r="A16" s="102" t="n"/>
      <c r="B16" s="105" t="inlineStr">
        <is>
          <t>ИТОГО ВЫЯВЛЕННЫХ ПОТЕРЬ И РИСКОВ В МЕСЯЦ:</t>
        </is>
      </c>
      <c r="C16" s="105" t="n"/>
      <c r="D16" s="108">
        <f>SUM(D9:D15)</f>
        <v/>
      </c>
      <c r="E16" s="108">
        <f>SUM(E9:E15)</f>
        <v/>
      </c>
      <c r="F16" s="105" t="inlineStr">
        <is>
          <t>ИТОГО ПОТЕРЬ</t>
        </is>
      </c>
      <c r="G16" s="105" t="inlineStr">
        <is>
          <t>Потенциал возврата в кассу</t>
        </is>
      </c>
      <c r="H16" s="105" t="inlineStr">
        <is>
          <t>Окупаемость за счет устранения узких мест</t>
        </is>
      </c>
    </row>
    <row r="17" ht="12" customHeight="1" s="461"/>
    <row r="18" ht="30" customHeight="1" s="461">
      <c r="A18" s="115" t="inlineStr">
        <is>
          <t>🚀 ЭКОНОМИКА ПРОЕКТА ОПТИМИЗАЦИИ И СРОК ОКУПАЕМОСТИ ДЛЯ КЛИЕНТА</t>
        </is>
      </c>
      <c r="B18" s="114" t="n"/>
      <c r="C18" s="115" t="n"/>
      <c r="D18" s="117" t="n"/>
      <c r="E18" s="117" t="n"/>
    </row>
    <row r="19" ht="25.5" customHeight="1" s="461">
      <c r="A19" s="123" t="inlineStr">
        <is>
          <t>Параметр экономики проекта</t>
        </is>
      </c>
      <c r="B19" s="121" t="inlineStr">
        <is>
          <t>Значение</t>
        </is>
      </c>
      <c r="C19" s="123" t="inlineStr">
        <is>
          <t>Комментарий и логика расчета</t>
        </is>
      </c>
    </row>
    <row r="20" ht="25.5" customHeight="1" s="461">
      <c r="A20" s="123" t="inlineStr">
        <is>
          <t>Стоимость проекта оптимизации ОП</t>
        </is>
      </c>
      <c r="B20" s="121" t="n">
        <v>450000</v>
      </c>
      <c r="C20" s="123" t="inlineStr">
        <is>
          <t>Фиксированная стоимость внедрения (4 недели спринтов)</t>
        </is>
      </c>
    </row>
    <row r="21" ht="25.5" customHeight="1" s="461">
      <c r="A21" s="123" t="inlineStr">
        <is>
          <t>Ожидаемый возврат выручки (M1 факт)</t>
        </is>
      </c>
      <c r="B21" s="122">
        <f>ROUND(E16 * 0.3, 0)</f>
        <v/>
      </c>
      <c r="C21" s="123" t="inlineStr">
        <is>
          <t>Консервативный ориентир: устранение всего 30% найденных узких мест</t>
        </is>
      </c>
    </row>
    <row r="22" ht="25.5" customHeight="1" s="461">
      <c r="A22" s="123" t="inlineStr">
        <is>
          <t>Чистая прибыль собственника за вычетом услуг</t>
        </is>
      </c>
      <c r="B22" s="122">
        <f>B21 - B20</f>
        <v/>
      </c>
      <c r="C22" s="123" t="inlineStr">
        <is>
          <t>Чистый денежный плюс в кассе компании в первый же месяц</t>
        </is>
      </c>
    </row>
    <row r="23" ht="25.5" customHeight="1" s="461">
      <c r="A23" s="123" t="inlineStr">
        <is>
          <t>Чистый ROI инвестиций в проект</t>
        </is>
      </c>
      <c r="B23" s="123">
        <f>ROUND((B21 - B20) / B20 * 100, 0) &amp; "%"</f>
        <v/>
      </c>
      <c r="C23" s="123" t="inlineStr">
        <is>
          <t>Процент отдачи на каждый вложенный рубль</t>
        </is>
      </c>
    </row>
    <row r="24" ht="25.5" customHeight="1" s="461">
      <c r="A24" s="123" t="inlineStr">
        <is>
          <t>Срок полной окупаемости проекта</t>
        </is>
      </c>
      <c r="B24" s="123">
        <f>ROUND(B20 / (B21 / 30), 0) &amp; " дн."</f>
        <v/>
      </c>
      <c r="C24" s="123" t="inlineStr">
        <is>
          <t>Количество дней работы ОП до полной окупаемости чека внедрения</t>
        </is>
      </c>
    </row>
    <row r="25" ht="21" customHeight="1" s="461"/>
    <row r="26" ht="39" customHeight="1" s="461">
      <c r="A26" s="126" t="inlineStr">
        <is>
          <t>👉 УТВЕРДИТЬ ПРОЕКТ ОПТИМИЗАЦИИ И СФОРМИРОВАТЬ ИНВОЙС (450 000 ₽)</t>
        </is>
      </c>
      <c r="B26" s="126" t="n"/>
      <c r="C26" s="126" t="n"/>
      <c r="D26" s="126" t="n"/>
      <c r="E26" s="126" t="n"/>
    </row>
    <row r="27" ht="22.5" customHeight="1" s="461">
      <c r="A27" s="128">
        <f>HYPERLINK("#'⚡ Экспресс_Калькулятор_3_Цифры'!A1", "Не готовы к спринту? 👉 Бесплатный тест-драйв на 3 звонках в Экспресс-Калькуляторе")</f>
        <v/>
      </c>
      <c r="B27" s="146" t="n"/>
      <c r="C27" s="146" t="n"/>
      <c r="D27" s="146" t="n"/>
      <c r="E27" s="146" t="n"/>
    </row>
    <row r="28">
      <c r="A28" s="218" t="inlineStr">
        <is>
          <t>🔒 Безопасный B2B-расчет: безналичный платеж по счету (УПД / Диадок) • 152-ФЗ РФ • Старт спринта за 24 часа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J16"/>
  <sheetViews>
    <sheetView workbookViewId="0">
      <selection activeCell="A1" sqref="A1"/>
    </sheetView>
  </sheetViews>
  <sheetFormatPr baseColWidth="8" defaultColWidth="12.63" defaultRowHeight="15.75" customHeight="1"/>
  <cols>
    <col width="147" customWidth="1" style="461" min="1" max="1"/>
    <col width="17.13" customWidth="1" style="461" min="2" max="2"/>
    <col width="23.13" customWidth="1" style="461" min="3" max="3"/>
    <col width="20.38" customWidth="1" style="461" min="4" max="4"/>
    <col width="23.5" customWidth="1" style="461" min="5" max="5"/>
    <col width="61.88" customWidth="1" style="461" min="6" max="6"/>
    <col width="24.13" customWidth="1" style="461" min="7" max="7"/>
    <col width="13.38" customWidth="1" style="461" min="8" max="8"/>
    <col width="42.5" customWidth="1" style="461" min="9" max="9"/>
  </cols>
  <sheetData>
    <row r="1" ht="42" customHeight="1" s="461">
      <c r="A1" s="8" t="inlineStr">
        <is>
          <t>📄 REVOPS ENTERPRISE EXECUTIVE ONE-PAGER (УПРАВЛЕНЧЕСКИЙ ДАЙДЖЕСТ РУКОВОДСТВА)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2" ht="24" customHeight="1" s="461">
      <c r="A2" s="496">
        <f>HYPERLINK("#'📄 Executive_OnePager'!A1", "📄 1. One-Pager")</f>
        <v/>
      </c>
      <c r="B2" s="496">
        <f>HYPERLINK("#'⚡ Пульс_Компании'!A1", "⚡ 2. Пульс компании")</f>
        <v/>
      </c>
      <c r="C2" s="496">
        <f>HYPERLINK("#'📋 Пульт_РОПа_15_Минут'!A1", "📋 3. Пульт РОПа")</f>
        <v/>
      </c>
      <c r="D2" s="496">
        <f>HYPERLINK("#'💸 Диагностика_Утечек_ОП'!A1", "💸 4. 7 Грехов ОП")</f>
        <v/>
      </c>
      <c r="E2" s="496">
        <f>HYPERLINK("#'🎯 Action_Center'!A1", "🎯 5. Action Center")</f>
        <v/>
      </c>
      <c r="F2" s="496">
        <f>HYPERLINK("#'🎙️ ИИ_Аудит'!A1", "🎙️ 6. ИИ-Аудит")</f>
        <v/>
      </c>
      <c r="G2" s="496">
        <f>HYPERLINK("#'⚡ Экспресс_Калькулятор_3_Цифры'!A1", "⚡ 7. Экспресс 3 цифры")</f>
        <v/>
      </c>
      <c r="H2" s="496">
        <f>HYPERLINK("#'🧪 QA_Suite'!A1", "🧪 8. QA Suite")</f>
        <v/>
      </c>
      <c r="I2" s="496">
        <f>HYPERLINK("#'⚙️ Настройки'!A1", "⚙️ 9. Настройки")</f>
        <v/>
      </c>
      <c r="J2" s="163" t="n"/>
    </row>
    <row r="3"/>
    <row r="4" ht="22.5" customHeight="1" s="461">
      <c r="A4" s="165" t="inlineStr">
        <is>
          <t>Выручка (Факт Closed-Won)</t>
        </is>
      </c>
      <c r="B4" s="165" t="inlineStr">
        <is>
          <t>% Выполнения плана</t>
        </is>
      </c>
      <c r="C4" s="165" t="inlineStr">
        <is>
          <t>Взвешенный прогноз (SSOT)</t>
        </is>
      </c>
      <c r="D4" s="165" t="inlineStr">
        <is>
          <t>Run-Rate касса (Прогноз)</t>
        </is>
      </c>
      <c r="E4" s="165" t="inlineStr">
        <is>
          <t>Активный пайплайн в работе</t>
        </is>
      </c>
      <c r="F4" s="165" t="inlineStr">
        <is>
          <t>Сделок под угрозой SLA</t>
        </is>
      </c>
      <c r="G4" s="168" t="inlineStr">
        <is>
          <t>Качество речи ОП (ИИ)</t>
        </is>
      </c>
      <c r="H4" s="168" t="inlineStr">
        <is>
          <t>Data Quality Index</t>
        </is>
      </c>
    </row>
    <row r="5" ht="40.5" customHeight="1" s="461">
      <c r="A5" s="169">
        <f>calc_engine!B19</f>
        <v/>
      </c>
      <c r="B5" s="171">
        <f>calc_engine!B20</f>
        <v/>
      </c>
      <c r="C5" s="173">
        <f>calc_engine!B18</f>
        <v/>
      </c>
      <c r="D5" s="173">
        <f>calc_engine!B29</f>
        <v/>
      </c>
      <c r="E5" s="179">
        <f>calc_engine!B17</f>
        <v/>
      </c>
      <c r="F5" s="183">
        <f>COUNTIF('🎯 Action_Center'!$E$2:$E$50, "*P0*")</f>
        <v/>
      </c>
      <c r="G5" s="186">
        <f>AVERAGE(raw_calls!$T$2:$T$50000)/13</f>
        <v/>
      </c>
      <c r="H5" s="186">
        <f>'📊 Data_Quality'!$C$8</f>
        <v/>
      </c>
    </row>
    <row r="6"/>
    <row r="7" ht="30" customHeight="1" s="461">
      <c r="A7" s="36" t="inlineStr">
        <is>
          <t>📊 ВОРОНКА ПРОДАЖ &amp; УЗКИЕ ГОРЛЫШКИ (AS-IS)</t>
        </is>
      </c>
      <c r="B7" s="36" t="n"/>
      <c r="C7" s="36" t="n"/>
      <c r="D7" s="36" t="n"/>
      <c r="F7" s="79" t="inlineStr">
        <is>
          <t>🚨 ТОП-5 КРИТИЧЕСКИХ РИСКОВ ВЫРУЧКИ (ACTION CENTER)</t>
        </is>
      </c>
      <c r="G7" s="79" t="n"/>
      <c r="H7" s="79" t="n"/>
      <c r="I7" s="79" t="n"/>
    </row>
    <row r="8">
      <c r="A8" s="190" t="inlineStr">
        <is>
          <t>Этап сделки</t>
        </is>
      </c>
      <c r="B8" s="190" t="inlineStr">
        <is>
          <t>Сделок</t>
        </is>
      </c>
      <c r="C8" s="190" t="inlineStr">
        <is>
          <t>Объем, ₽</t>
        </is>
      </c>
      <c r="D8" s="190" t="inlineStr">
        <is>
          <t>SLA норматив (ч)</t>
        </is>
      </c>
      <c r="E8" s="190" t="n"/>
      <c r="F8" s="190" t="inlineStr">
        <is>
          <t>Сделка / Клиент</t>
        </is>
      </c>
      <c r="G8" s="190" t="inlineStr">
        <is>
          <t>Проблема &amp; Симптом</t>
        </is>
      </c>
      <c r="H8" s="190" t="inlineStr">
        <is>
          <t>Сумма в риске, ₽</t>
        </is>
      </c>
      <c r="I8" s="190" t="inlineStr">
        <is>
          <t>Срочное действие РОПа</t>
        </is>
      </c>
    </row>
    <row r="9" ht="24" customHeight="1" s="461">
      <c r="A9" s="218" t="inlineStr">
        <is>
          <t>1. Новый лид</t>
        </is>
      </c>
      <c r="B9" s="197">
        <f>'⚡ Пульс_Компании'!B10</f>
        <v/>
      </c>
      <c r="C9" s="346">
        <f>'⚡ Пульс_Компании'!C10</f>
        <v/>
      </c>
      <c r="D9" s="218" t="n">
        <v>24</v>
      </c>
      <c r="F9" s="198" t="inlineStr">
        <is>
          <t>D-104</t>
        </is>
      </c>
      <c r="G9" s="218">
        <f>'🎯 Action_Center'!B2</f>
        <v/>
      </c>
      <c r="H9" s="218">
        <f>'🎯 Action_Center'!D2</f>
        <v/>
      </c>
      <c r="I9" s="218">
        <f>'🎯 Action_Center'!F2</f>
        <v/>
      </c>
    </row>
    <row r="10" ht="24" customHeight="1" s="461">
      <c r="A10" s="218" t="inlineStr">
        <is>
          <t>2. Квалификация / ЛПР</t>
        </is>
      </c>
      <c r="B10" s="197">
        <f>'⚡ Пульс_Компании'!B11</f>
        <v/>
      </c>
      <c r="C10" s="346">
        <f>'⚡ Пульс_Компании'!C11</f>
        <v/>
      </c>
      <c r="D10" s="218" t="n">
        <v>48</v>
      </c>
      <c r="F10" s="198" t="inlineStr">
        <is>
          <t>D-103</t>
        </is>
      </c>
      <c r="G10" s="218">
        <f>'🎯 Action_Center'!B3</f>
        <v/>
      </c>
      <c r="H10" s="218">
        <f>'🎯 Action_Center'!D3</f>
        <v/>
      </c>
      <c r="I10" s="218">
        <f>'🎯 Action_Center'!F3</f>
        <v/>
      </c>
    </row>
    <row r="11" ht="24" customHeight="1" s="461">
      <c r="A11" s="218" t="inlineStr">
        <is>
          <t>3. Встреча / Демо</t>
        </is>
      </c>
      <c r="B11" s="197">
        <f>'⚡ Пульс_Компании'!B12</f>
        <v/>
      </c>
      <c r="C11" s="346">
        <f>'⚡ Пульс_Компании'!C12</f>
        <v/>
      </c>
      <c r="D11" s="218" t="n">
        <v>120</v>
      </c>
      <c r="F11" s="198" t="inlineStr">
        <is>
          <t>D-109</t>
        </is>
      </c>
      <c r="G11" s="218">
        <f>'🎯 Action_Center'!B4</f>
        <v/>
      </c>
      <c r="H11" s="218">
        <f>'🎯 Action_Center'!D4</f>
        <v/>
      </c>
      <c r="I11" s="218">
        <f>'🎯 Action_Center'!F4</f>
        <v/>
      </c>
    </row>
    <row r="12" ht="24" customHeight="1" s="461">
      <c r="A12" s="218" t="inlineStr">
        <is>
          <t>4. КП и согласование</t>
        </is>
      </c>
      <c r="B12" s="197">
        <f>'⚡ Пульс_Компании'!B13</f>
        <v/>
      </c>
      <c r="C12" s="346">
        <f>'⚡ Пульс_Компании'!C13</f>
        <v/>
      </c>
      <c r="D12" s="218" t="n">
        <v>48</v>
      </c>
      <c r="F12" s="198" t="inlineStr">
        <is>
          <t>D-106</t>
        </is>
      </c>
      <c r="G12" s="218">
        <f>'🎯 Action_Center'!B5</f>
        <v/>
      </c>
      <c r="H12" s="218">
        <f>'🎯 Action_Center'!D5</f>
        <v/>
      </c>
      <c r="I12" s="218">
        <f>'🎯 Action_Center'!F5</f>
        <v/>
      </c>
    </row>
    <row r="13" ht="24" customHeight="1" s="461">
      <c r="A13" s="218" t="inlineStr">
        <is>
          <t>5. Счет выставлен</t>
        </is>
      </c>
      <c r="B13" s="197">
        <f>'⚡ Пульс_Компании'!B14</f>
        <v/>
      </c>
      <c r="C13" s="346">
        <f>'⚡ Пульс_Компании'!C14</f>
        <v/>
      </c>
      <c r="D13" s="218" t="n">
        <v>72</v>
      </c>
      <c r="F13" s="198" t="inlineStr">
        <is>
          <t>D-107</t>
        </is>
      </c>
      <c r="G13" s="218">
        <f>'🎯 Action_Center'!B6</f>
        <v/>
      </c>
      <c r="H13" s="218">
        <f>'🎯 Action_Center'!D6</f>
        <v/>
      </c>
      <c r="I13" s="218">
        <f>'🎯 Action_Center'!F6</f>
        <v/>
      </c>
    </row>
    <row r="14" ht="24" customHeight="1" s="461">
      <c r="A14" s="218" t="inlineStr">
        <is>
          <t>6. Успешно реализовано</t>
        </is>
      </c>
      <c r="B14" s="197">
        <f>'⚡ Пульс_Компании'!B15</f>
        <v/>
      </c>
      <c r="C14" s="346">
        <f>'⚡ Пульс_Компании'!C15</f>
        <v/>
      </c>
      <c r="D14" s="218" t="n">
        <v>0</v>
      </c>
    </row>
    <row r="15"/>
    <row r="16" ht="34.5" customHeight="1" s="461">
      <c r="A16" s="205" t="inlineStr">
        <is>
          <t>🎯 ГЛАВНЫЙ ФОКУС РУКОВОДСТВА ДО КОНЦА МЕСЯЦА: Перехват сделки D-104 (850 000 ₽) и перераспределение 3 лидов с перегруженного РОПа на КАМов.</t>
        </is>
      </c>
      <c r="B16" s="205" t="n"/>
      <c r="C16" s="205" t="n"/>
      <c r="D16" s="205" t="n"/>
      <c r="E16" s="205" t="n"/>
      <c r="F16" s="205" t="n"/>
      <c r="G16" s="205" t="n"/>
      <c r="H16" s="205" t="n"/>
      <c r="I16" s="205" t="n"/>
    </row>
  </sheetData>
  <hyperlinks>
    <hyperlink ref="F9" location="'🎯 Action_Center'!A1" display="D-104"/>
    <hyperlink ref="F10" location="'🎯 Action_Center'!A1" display="D-103"/>
    <hyperlink ref="F11" location="'🎯 Action_Center'!A1" display="D-109"/>
    <hyperlink ref="F12" location="'🎯 Action_Center'!A1" display="D-106"/>
    <hyperlink ref="F13" location="'🎯 Action_Center'!A1" display="D-107"/>
  </hyperlink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FF727272"/>
    <outlinePr summaryBelow="0" summaryRight="0"/>
    <pageSetUpPr/>
  </sheetPr>
  <dimension ref="A1:L100"/>
  <sheetViews>
    <sheetView workbookViewId="0">
      <selection activeCell="A1" sqref="A1"/>
    </sheetView>
  </sheetViews>
  <sheetFormatPr baseColWidth="8" defaultColWidth="12.63" defaultRowHeight="15.75" customHeight="1"/>
  <cols>
    <col width="28.88" customWidth="1" style="461" min="1" max="1"/>
    <col width="37.63" customWidth="1" style="461" min="2" max="2"/>
    <col width="27.63" customWidth="1" style="461" min="3" max="3"/>
    <col width="36.38" customWidth="1" style="461" min="4" max="4"/>
    <col width="31.38" customWidth="1" style="461" min="5" max="5"/>
    <col width="36.38" customWidth="1" style="461" min="6" max="6"/>
    <col width="23.88" customWidth="1" style="461" min="7" max="7"/>
    <col width="32.63" customWidth="1" style="461" min="8" max="8"/>
    <col width="25.13" customWidth="1" style="461" min="10" max="10"/>
    <col width="15.13" customWidth="1" style="461" min="11" max="11"/>
    <col width="27.63" customWidth="1" style="461" min="12" max="12"/>
  </cols>
  <sheetData>
    <row r="1" ht="31.5" customHeight="1" s="461">
      <c r="A1" s="151" t="inlineStr">
        <is>
          <t>⚙️ СИСТЕМНЫЕ КОНФИГУРАЦИИ И РЕЕСТР ДОПУЩЕНИЙ REVOPS OS PRO V17.6 (GOLDEN MASTER)</t>
        </is>
      </c>
      <c r="F1" s="151" t="n"/>
      <c r="G1" s="152" t="n"/>
      <c r="H1" s="152" t="n"/>
      <c r="I1" s="152" t="n"/>
      <c r="J1" s="152" t="n"/>
    </row>
    <row r="2" ht="24" customHeight="1" s="461">
      <c r="A2" s="496">
        <f>HYPERLINK("#'📄 Executive_OnePager'!A1", "📄 1. One-Pager")</f>
        <v/>
      </c>
      <c r="B2" s="496">
        <f>HYPERLINK("#'⚡ Пульс_Компании'!A1", "⚡ 2. Пульс компании")</f>
        <v/>
      </c>
      <c r="C2" s="496">
        <f>HYPERLINK("#'📋 Пульт_РОПа_15_Минут'!A1", "📋 3. Пульт РОПа")</f>
        <v/>
      </c>
      <c r="D2" s="496">
        <f>HYPERLINK("#'💸 Диагностика_Утечек_ОП'!A1", "💸 4. 7 Грехов ОП")</f>
        <v/>
      </c>
      <c r="E2" s="496">
        <f>HYPERLINK("#'🎯 Action_Center'!A1", "🎯 5. Action Center")</f>
        <v/>
      </c>
      <c r="F2" s="496">
        <f>HYPERLINK("#'🎙️ ИИ_Аудит'!A1", "🎙️ 6. ИИ-Аудит")</f>
        <v/>
      </c>
      <c r="G2" s="496">
        <f>HYPERLINK("#'⚡ Экспресс_Калькулятор_3_Цифры'!A1", "⚡ 7. Экспресс 3 цифры")</f>
        <v/>
      </c>
      <c r="H2" s="496">
        <f>HYPERLINK("#'🧪 QA_Suite'!A1", "🧪 8. QA Suite")</f>
        <v/>
      </c>
      <c r="I2" s="496">
        <f>HYPERLINK("#'⚙️ Настройки'!A1", "⚙️ 9. Настройки")</f>
        <v/>
      </c>
      <c r="J2" s="199" t="n"/>
    </row>
    <row r="3" ht="22.5" customHeight="1" s="461">
      <c r="A3" s="167" t="inlineStr">
        <is>
          <t>Организация</t>
        </is>
      </c>
      <c r="B3" s="199" t="inlineStr">
        <is>
          <t>RevOps Enterprise</t>
        </is>
      </c>
      <c r="C3" s="199" t="n"/>
      <c r="D3" s="199" t="inlineStr">
        <is>
          <t>🔑 TENANT UUID:</t>
        </is>
      </c>
      <c r="E3" s="199" t="inlineStr">
        <is>
          <t>TENANT-MASTER-001</t>
        </is>
      </c>
      <c r="F3" s="199" t="inlineStr">
        <is>
          <t>(Мастер-шаблон)</t>
        </is>
      </c>
      <c r="G3" s="199" t="n"/>
      <c r="H3" s="199" t="n"/>
      <c r="I3" s="199" t="n"/>
      <c r="J3" s="199" t="n"/>
    </row>
    <row r="4" ht="22.5" customHeight="1" s="461">
      <c r="A4" s="167" t="inlineStr">
        <is>
          <t>Валюта системы</t>
        </is>
      </c>
      <c r="B4" s="199" t="inlineStr">
        <is>
          <t>RUB (₽)</t>
        </is>
      </c>
      <c r="C4" s="199" t="n"/>
      <c r="D4" s="199" t="inlineStr">
        <is>
          <t>🏢 ТЕНАНТ / КОМПАНИЯ:</t>
        </is>
      </c>
      <c r="E4" s="199" t="inlineStr">
        <is>
          <t>RevOps OS V18.0 Enterprise Release</t>
        </is>
      </c>
      <c r="F4" s="199" t="inlineStr">
        <is>
          <t>(Пространство вендора)</t>
        </is>
      </c>
      <c r="G4" s="199" t="n"/>
      <c r="H4" s="199" t="n"/>
      <c r="I4" s="199" t="n"/>
      <c r="J4" s="199" t="n"/>
    </row>
    <row r="5" ht="22.5" customHeight="1" s="461">
      <c r="A5" s="167" t="inlineStr">
        <is>
          <t>Версия архитектуры</t>
        </is>
      </c>
      <c r="B5" s="199" t="inlineStr">
        <is>
          <t>RevOps Enterprise OS V17.6 Production Suite</t>
        </is>
      </c>
      <c r="C5" s="170" t="inlineStr">
        <is>
          <t>⚡ БЫСТРЫЙ ВЫБОР ПЕРИОДА</t>
        </is>
      </c>
      <c r="D5" s="199" t="inlineStr">
        <is>
          <t>🔒 СТАТУС RBAC:</t>
        </is>
      </c>
      <c r="E5" s="199" t="inlineStr">
        <is>
          <t>🛡️ Hardware Enforcement (Protected Sheets)</t>
        </is>
      </c>
      <c r="F5" s="199" t="inlineStr">
        <is>
          <t>(Защищено через API)</t>
        </is>
      </c>
      <c r="G5" s="199" t="n"/>
      <c r="H5" s="199" t="n"/>
      <c r="I5" s="199" t="n"/>
      <c r="J5" s="199" t="n"/>
    </row>
    <row r="6" ht="22.5" customHeight="1" s="461">
      <c r="A6" s="167" t="inlineStr">
        <is>
          <t>Период: начало</t>
        </is>
      </c>
      <c r="B6" s="172" t="inlineStr">
        <is>
          <t>01.10.2026</t>
        </is>
      </c>
      <c r="C6" s="174" t="inlineStr">
        <is>
          <t>Текущий месяц</t>
        </is>
      </c>
      <c r="D6" s="199" t="n"/>
      <c r="E6" s="199" t="n"/>
      <c r="F6" s="199" t="n"/>
      <c r="G6" s="199" t="n"/>
      <c r="H6" s="199" t="n"/>
      <c r="I6" s="199" t="n"/>
      <c r="J6" s="199" t="n"/>
    </row>
    <row r="7" ht="22.5" customHeight="1" s="461">
      <c r="A7" s="167" t="inlineStr">
        <is>
          <t>Период: конец</t>
        </is>
      </c>
      <c r="B7" s="172" t="inlineStr">
        <is>
          <t>31.10.2026</t>
        </is>
      </c>
      <c r="C7" s="178" t="inlineStr">
        <is>
          <t>(автозаполнение B6 и B7)</t>
        </is>
      </c>
      <c r="D7" s="199" t="n"/>
      <c r="E7" s="199" t="n"/>
      <c r="F7" s="199" t="n"/>
      <c r="G7" s="199" t="n"/>
      <c r="H7" s="199" t="n"/>
      <c r="I7" s="199" t="n"/>
      <c r="J7" s="199" t="n"/>
    </row>
    <row r="8" ht="22.5" customHeight="1" s="461">
      <c r="A8" s="167" t="inlineStr">
        <is>
          <t>Дата старта проекта</t>
        </is>
      </c>
      <c r="B8" s="172" t="inlineStr">
        <is>
          <t>03.10.2026</t>
        </is>
      </c>
      <c r="C8" s="199" t="n"/>
      <c r="D8" s="199" t="n"/>
      <c r="E8" s="199" t="n"/>
      <c r="F8" s="199" t="n"/>
      <c r="G8" s="199" t="n"/>
      <c r="H8" s="199" t="n"/>
      <c r="I8" s="199" t="n"/>
      <c r="J8" s="180" t="inlineStr">
        <is>
          <t>👥 ПЕРСОНАЛЬНЫЙ МАППИНГ РОЛЕЙ ПО EMAIL (MULTI-USER RBAC)</t>
        </is>
      </c>
    </row>
    <row r="9" ht="25.5" customHeight="1" s="461">
      <c r="A9" s="181" t="inlineStr">
        <is>
          <t>План выручки на месяц</t>
        </is>
      </c>
      <c r="B9" s="182" t="n">
        <v>5000000</v>
      </c>
      <c r="C9" s="405" t="inlineStr">
        <is>
          <t>Enterprise Multi-Tenant V17.6</t>
        </is>
      </c>
      <c r="D9" s="405" t="inlineStr">
        <is>
          <t>🏢 Холдинг (Все филиалы)</t>
        </is>
      </c>
      <c r="E9" s="405" t="inlineStr">
        <is>
          <t>Статус контура:</t>
        </is>
      </c>
      <c r="F9" s="405" t="inlineStr">
        <is>
          <t>🟢 152-ФЗ РФ Compliant (Аттестован)</t>
        </is>
      </c>
      <c r="G9" s="184" t="inlineStr">
        <is>
          <t>СЕССИЯ ПЛАНИРОВАНИЯ:</t>
        </is>
      </c>
      <c r="H9" s="185" t="inlineStr">
        <is>
          <t>🟢 Готова к работе (Свободна)</t>
        </is>
      </c>
      <c r="I9" s="199" t="n"/>
      <c r="J9" s="187" t="inlineStr">
        <is>
          <t>Корпоративный Email</t>
        </is>
      </c>
      <c r="K9" s="187" t="inlineStr">
        <is>
          <t>Назначенная роль</t>
        </is>
      </c>
      <c r="L9" s="187" t="inlineStr">
        <is>
          <t>Целевой Landing-дашборд</t>
        </is>
      </c>
    </row>
    <row r="10" ht="30" customHeight="1" s="461">
      <c r="A10" s="188" t="inlineStr">
        <is>
          <t>👤 РОЛЬ В СИСТЕМЕ:</t>
        </is>
      </c>
      <c r="B10" s="191" t="inlineStr">
        <is>
          <t>👑 CEO</t>
        </is>
      </c>
      <c r="C10" s="188" t="inlineStr">
        <is>
          <t>🎯 ВЫБОР ФОКУСА ДАННЫХ:</t>
        </is>
      </c>
      <c r="D10" s="192" t="inlineStr">
        <is>
          <t>Авто (По умолчанию роли)</t>
        </is>
      </c>
      <c r="E10" s="188" t="inlineStr">
        <is>
          <t>👥 ФИЛЬТР СОТРУДНИКА:</t>
        </is>
      </c>
      <c r="F10" s="193" t="inlineStr">
        <is>
          <t>👥 Весь отдел продаж (Сводно)</t>
        </is>
      </c>
      <c r="G10" s="194" t="inlineStr">
        <is>
          <t>РЕЖИМ ЭКСПЛУАТАЦИИ:</t>
        </is>
      </c>
      <c r="H10" s="195" t="inlineStr">
        <is>
          <t>👥 Multi-User (Персональные фильтры)</t>
        </is>
      </c>
      <c r="I10" s="199" t="n"/>
      <c r="J10" s="196" t="inlineStr">
        <is>
          <t>ceo@company.com</t>
        </is>
      </c>
      <c r="K10" s="196" t="inlineStr">
        <is>
          <t>👑 CEO</t>
        </is>
      </c>
      <c r="L10" s="196" t="inlineStr">
        <is>
          <t>📄 Executive_OnePager</t>
        </is>
      </c>
    </row>
    <row r="11" ht="25.5" customHeight="1" s="461">
      <c r="A11" s="83" t="inlineStr">
        <is>
          <t>Stage ID</t>
        </is>
      </c>
      <c r="B11" s="83" t="inlineStr">
        <is>
          <t>Название этапа воронки</t>
        </is>
      </c>
      <c r="C11" s="83" t="inlineStr">
        <is>
          <t>SLA норматив (ч)</t>
        </is>
      </c>
      <c r="D11" s="83" t="inlineStr">
        <is>
          <t>Вероятность (Win %)</t>
        </is>
      </c>
      <c r="E11" s="199" t="n"/>
      <c r="F11" s="199" t="n"/>
      <c r="G11" s="199" t="n"/>
      <c r="H11" s="199" t="n"/>
      <c r="I11" s="199" t="n"/>
      <c r="J11" s="196" t="inlineStr">
        <is>
          <t>rop@company.com</t>
        </is>
      </c>
      <c r="K11" s="196" t="inlineStr">
        <is>
          <t>📋 РОП</t>
        </is>
      </c>
      <c r="L11" s="196" t="inlineStr">
        <is>
          <t>📋 Пульт_РОПа_15_Минут</t>
        </is>
      </c>
    </row>
    <row r="12" ht="21" customHeight="1" s="461">
      <c r="A12" s="199" t="n">
        <v>1</v>
      </c>
      <c r="B12" s="199" t="inlineStr">
        <is>
          <t>1. Новый лид</t>
        </is>
      </c>
      <c r="C12" s="199" t="n">
        <v>24</v>
      </c>
      <c r="D12" s="200" t="n">
        <v>0.05</v>
      </c>
      <c r="E12" s="199" t="n"/>
      <c r="F12" s="199" t="n"/>
      <c r="G12" s="199" t="n"/>
      <c r="H12" s="199" t="n"/>
      <c r="I12" s="199" t="n"/>
      <c r="J12" s="196" t="inlineStr">
        <is>
          <t>kam@company.com</t>
        </is>
      </c>
      <c r="K12" s="196" t="inlineStr">
        <is>
          <t>💼 KAM</t>
        </is>
      </c>
      <c r="L12" s="196" t="inlineStr">
        <is>
          <t>⚡ Пульс_Компании</t>
        </is>
      </c>
    </row>
    <row r="13" ht="21" customHeight="1" s="461">
      <c r="A13" s="199" t="n">
        <v>2</v>
      </c>
      <c r="B13" s="199" t="inlineStr">
        <is>
          <t>2. Квалификация / ЛПР</t>
        </is>
      </c>
      <c r="C13" s="199" t="n">
        <v>48</v>
      </c>
      <c r="D13" s="200" t="n">
        <v>0.15</v>
      </c>
      <c r="E13" s="199" t="n"/>
      <c r="F13" s="199" t="n"/>
      <c r="G13" s="199" t="n"/>
      <c r="H13" s="199" t="n"/>
      <c r="I13" s="199" t="n"/>
      <c r="J13" s="196" t="inlineStr">
        <is>
          <t>sdr@company.com</t>
        </is>
      </c>
      <c r="K13" s="196" t="inlineStr">
        <is>
          <t>📞 SDR</t>
        </is>
      </c>
      <c r="L13" s="196" t="inlineStr">
        <is>
          <t>⚡ Пульс_Компании</t>
        </is>
      </c>
    </row>
    <row r="14" ht="21" customHeight="1" s="461">
      <c r="A14" s="199" t="n">
        <v>3</v>
      </c>
      <c r="B14" s="199" t="inlineStr">
        <is>
          <t>3. Встреча / Демо</t>
        </is>
      </c>
      <c r="C14" s="199" t="n">
        <v>120</v>
      </c>
      <c r="D14" s="200" t="n">
        <v>0.35</v>
      </c>
      <c r="E14" s="199" t="n"/>
      <c r="F14" s="199" t="n"/>
      <c r="G14" s="199" t="n"/>
      <c r="H14" s="199" t="n"/>
      <c r="I14" s="199" t="n"/>
      <c r="J14" s="196" t="inlineStr">
        <is>
          <t>cmo@company.com</t>
        </is>
      </c>
      <c r="K14" s="196" t="inlineStr">
        <is>
          <t>🌐 CMO</t>
        </is>
      </c>
      <c r="L14" s="196" t="inlineStr">
        <is>
          <t>🌐 Маркетинг_и_Трафик</t>
        </is>
      </c>
    </row>
    <row r="15" ht="21" customHeight="1" s="461">
      <c r="A15" s="199" t="n">
        <v>4</v>
      </c>
      <c r="B15" s="199" t="inlineStr">
        <is>
          <t>4. КП и согласование</t>
        </is>
      </c>
      <c r="C15" s="199" t="n">
        <v>48</v>
      </c>
      <c r="D15" s="200" t="n">
        <v>0.6</v>
      </c>
      <c r="E15" s="199" t="n"/>
      <c r="F15" s="199" t="n"/>
      <c r="G15" s="199" t="n"/>
      <c r="H15" s="199" t="n"/>
      <c r="I15" s="199" t="n"/>
      <c r="J15" s="196" t="inlineStr">
        <is>
          <t>cfo@company.com</t>
        </is>
      </c>
      <c r="K15" s="196" t="inlineStr">
        <is>
          <t>💳 CFO</t>
        </is>
      </c>
      <c r="L15" s="196" t="inlineStr">
        <is>
          <t>💳 Финансы_и_AI_Дожим</t>
        </is>
      </c>
    </row>
    <row r="16" ht="21" customHeight="1" s="461">
      <c r="A16" s="199" t="n">
        <v>5</v>
      </c>
      <c r="B16" s="199" t="inlineStr">
        <is>
          <t>5. Счет выставлен</t>
        </is>
      </c>
      <c r="C16" s="199" t="n">
        <v>72</v>
      </c>
      <c r="D16" s="200" t="n">
        <v>0.85</v>
      </c>
      <c r="E16" s="199" t="n"/>
      <c r="F16" s="199" t="n"/>
      <c r="G16" s="199" t="n"/>
      <c r="H16" s="199" t="n"/>
      <c r="I16" s="199" t="n"/>
      <c r="J16" s="196" t="inlineStr">
        <is>
          <t>admin@company.com</t>
        </is>
      </c>
      <c r="K16" s="196" t="inlineStr">
        <is>
          <t>🔧 Admin</t>
        </is>
      </c>
      <c r="L16" s="196" t="inlineStr">
        <is>
          <t>⚙️ Настройки</t>
        </is>
      </c>
    </row>
    <row r="17" ht="21" customHeight="1" s="461">
      <c r="A17" s="199" t="n">
        <v>6</v>
      </c>
      <c r="B17" s="199" t="inlineStr">
        <is>
          <t>6. Успешно реализовано</t>
        </is>
      </c>
      <c r="C17" s="199" t="n">
        <v>0</v>
      </c>
      <c r="D17" s="200" t="n">
        <v>1</v>
      </c>
      <c r="E17" s="199" t="n"/>
      <c r="F17" s="199" t="n"/>
      <c r="G17" s="199" t="n"/>
      <c r="H17" s="199" t="n"/>
      <c r="I17" s="199" t="n"/>
      <c r="J17" s="199" t="n"/>
      <c r="K17" s="218" t="n"/>
      <c r="L17" s="218" t="n"/>
    </row>
    <row r="18" ht="21" customHeight="1" s="461">
      <c r="A18" s="199" t="n">
        <v>7</v>
      </c>
      <c r="B18" s="199" t="inlineStr">
        <is>
          <t>7. Закрыто и не реализовано</t>
        </is>
      </c>
      <c r="C18" s="199" t="n">
        <v>0</v>
      </c>
      <c r="D18" s="200" t="n">
        <v>0</v>
      </c>
      <c r="E18" s="199" t="n"/>
      <c r="F18" s="199" t="n"/>
      <c r="G18" s="199" t="n"/>
      <c r="H18" s="199" t="n"/>
      <c r="I18" s="199" t="n"/>
      <c r="J18" s="199" t="n"/>
      <c r="K18" s="218" t="n"/>
      <c r="L18" s="218" t="n"/>
    </row>
    <row r="19" ht="12" customHeight="1" s="461">
      <c r="A19" s="199" t="n"/>
      <c r="B19" s="199" t="n"/>
      <c r="C19" s="199" t="n"/>
      <c r="D19" s="199" t="n"/>
      <c r="E19" s="199" t="n"/>
      <c r="F19" s="199" t="n"/>
      <c r="G19" s="199" t="n"/>
      <c r="H19" s="199" t="n"/>
      <c r="I19" s="199" t="n"/>
      <c r="J19" s="199" t="n"/>
      <c r="K19" s="218" t="n"/>
      <c r="L19" s="218" t="n"/>
    </row>
    <row r="20" ht="25.5" customHeight="1" s="461">
      <c r="A20" s="83" t="inlineStr">
        <is>
          <t>ID</t>
        </is>
      </c>
      <c r="B20" s="83" t="inlineStr">
        <is>
          <t>Сотрудник</t>
        </is>
      </c>
      <c r="C20" s="83" t="inlineStr">
        <is>
          <t>Роль</t>
        </is>
      </c>
      <c r="D20" s="83" t="inlineStr">
        <is>
          <t>Лимит открытых сделок</t>
        </is>
      </c>
      <c r="E20" s="83" t="inlineStr">
        <is>
          <t>Статус емкости</t>
        </is>
      </c>
      <c r="F20" s="199" t="n"/>
      <c r="G20" s="199" t="n"/>
      <c r="H20" s="199" t="n"/>
      <c r="I20" s="199" t="n"/>
      <c r="J20" s="199" t="n"/>
      <c r="K20" s="218" t="n"/>
      <c r="L20" s="218" t="n"/>
    </row>
    <row r="21" ht="21" customHeight="1" s="461">
      <c r="A21" s="199" t="n">
        <v>101</v>
      </c>
      <c r="B21" s="199" t="inlineStr">
        <is>
          <t>Иванов Дмитрий (РОП)</t>
        </is>
      </c>
      <c r="C21" s="199" t="inlineStr">
        <is>
          <t>ROP</t>
        </is>
      </c>
      <c r="D21" s="199" t="n">
        <v>5</v>
      </c>
      <c r="E21" s="199" t="inlineStr">
        <is>
          <t>Жесткий лимит</t>
        </is>
      </c>
      <c r="F21" s="199" t="n"/>
      <c r="G21" s="199" t="n"/>
      <c r="H21" s="199" t="n"/>
      <c r="I21" s="199" t="n"/>
      <c r="J21" s="199" t="n"/>
      <c r="K21" s="218" t="n"/>
      <c r="L21" s="218" t="n"/>
    </row>
    <row r="22" ht="21" customHeight="1" s="461">
      <c r="A22" s="199" t="n">
        <v>102</v>
      </c>
      <c r="B22" s="199" t="inlineStr">
        <is>
          <t>Петров Александр (КАМ)</t>
        </is>
      </c>
      <c r="C22" s="199" t="inlineStr">
        <is>
          <t>KAM</t>
        </is>
      </c>
      <c r="D22" s="199" t="n">
        <v>25</v>
      </c>
      <c r="E22" s="199" t="inlineStr">
        <is>
          <t>Норма</t>
        </is>
      </c>
      <c r="F22" s="199" t="n"/>
      <c r="G22" s="199" t="n"/>
      <c r="H22" s="199" t="n"/>
      <c r="I22" s="199" t="n"/>
      <c r="J22" s="199" t="n"/>
      <c r="K22" s="218" t="n"/>
      <c r="L22" s="218" t="n"/>
    </row>
    <row r="23" ht="21" customHeight="1" s="461">
      <c r="A23" s="199" t="n">
        <v>103</v>
      </c>
      <c r="B23" s="199" t="inlineStr">
        <is>
          <t>Сидоров Роман (SDR)</t>
        </is>
      </c>
      <c r="C23" s="199" t="inlineStr">
        <is>
          <t>SDR</t>
        </is>
      </c>
      <c r="D23" s="199" t="n">
        <v>40</v>
      </c>
      <c r="E23" s="199" t="inlineStr">
        <is>
          <t>Норма</t>
        </is>
      </c>
      <c r="F23" s="199" t="n"/>
      <c r="G23" s="199" t="n"/>
      <c r="H23" s="199" t="n"/>
      <c r="I23" s="199" t="n"/>
      <c r="J23" s="199" t="n"/>
      <c r="K23" s="218" t="n"/>
      <c r="L23" s="218" t="n"/>
    </row>
    <row r="24" ht="21" customHeight="1" s="461">
      <c r="A24" s="199" t="n">
        <v>104</v>
      </c>
      <c r="B24" s="199" t="inlineStr">
        <is>
          <t>Козлов Алексей (SDR-2)</t>
        </is>
      </c>
      <c r="C24" s="199" t="inlineStr">
        <is>
          <t>SDR</t>
        </is>
      </c>
      <c r="D24" s="199" t="n">
        <v>40</v>
      </c>
      <c r="E24" s="199" t="inlineStr">
        <is>
          <t>Норма</t>
        </is>
      </c>
      <c r="F24" s="199" t="n"/>
      <c r="G24" s="199" t="n"/>
      <c r="H24" s="199" t="n"/>
      <c r="I24" s="199" t="n"/>
      <c r="J24" s="199" t="n"/>
      <c r="K24" s="218" t="n"/>
      <c r="L24" s="218" t="n"/>
    </row>
    <row r="25" ht="21" customHeight="1" s="461">
      <c r="A25" s="202" t="inlineStr">
        <is>
          <t>Код срыва</t>
        </is>
      </c>
      <c r="B25" s="202" t="inlineStr">
        <is>
          <t>Причина отказа</t>
        </is>
      </c>
      <c r="C25" s="202" t="inlineStr">
        <is>
          <t>Вероятность реактивации</t>
        </is>
      </c>
      <c r="D25" s="199" t="n"/>
      <c r="E25" s="199" t="n"/>
      <c r="F25" s="199" t="n"/>
      <c r="G25" s="199" t="n"/>
      <c r="H25" s="199" t="n"/>
      <c r="I25" s="199" t="n"/>
      <c r="J25" s="199" t="n"/>
      <c r="K25" s="218" t="n"/>
      <c r="L25" s="218" t="n"/>
    </row>
    <row r="26" ht="21.75" customHeight="1" s="461">
      <c r="A26" s="199" t="inlineStr">
        <is>
          <t>L1</t>
        </is>
      </c>
      <c r="B26" s="199" t="inlineStr">
        <is>
          <t>Дорого / нет бюджета</t>
        </is>
      </c>
      <c r="C26" s="200" t="n">
        <v>0.5</v>
      </c>
      <c r="D26" s="199" t="n"/>
      <c r="E26" s="199" t="n"/>
      <c r="F26" s="199" t="n"/>
      <c r="G26" s="199" t="n"/>
      <c r="H26" s="199" t="n"/>
      <c r="I26" s="199" t="n"/>
      <c r="J26" s="199" t="n"/>
      <c r="K26" s="218" t="n"/>
      <c r="L26" s="218" t="n"/>
    </row>
    <row r="27" ht="21" customHeight="1" s="461">
      <c r="A27" s="199" t="inlineStr">
        <is>
          <t>L2</t>
        </is>
      </c>
      <c r="B27" s="199" t="inlineStr">
        <is>
          <t>Выбрали конкурента</t>
        </is>
      </c>
      <c r="C27" s="200" t="n">
        <v>0.35</v>
      </c>
      <c r="D27" s="199" t="n"/>
      <c r="E27" s="199" t="n"/>
      <c r="F27" s="199" t="n"/>
      <c r="G27" s="199" t="n"/>
      <c r="H27" s="199" t="n"/>
      <c r="I27" s="199" t="n"/>
      <c r="J27" s="199" t="n"/>
      <c r="K27" s="218" t="n"/>
      <c r="L27" s="218" t="n"/>
    </row>
    <row r="28" ht="21" customHeight="1" s="461">
      <c r="A28" s="199" t="inlineStr">
        <is>
          <t>L3</t>
        </is>
      </c>
      <c r="B28" s="199" t="inlineStr">
        <is>
          <t>Не формат / нет потребности</t>
        </is>
      </c>
      <c r="C28" s="200" t="n">
        <v>0.1</v>
      </c>
      <c r="D28" s="199" t="n"/>
      <c r="E28" s="199" t="n"/>
      <c r="F28" s="199" t="n"/>
      <c r="G28" s="199" t="n"/>
      <c r="H28" s="199" t="n"/>
      <c r="I28" s="199" t="n"/>
      <c r="J28" s="199" t="n"/>
      <c r="K28" s="218" t="n"/>
      <c r="L28" s="218" t="n"/>
    </row>
    <row r="29" ht="21" customHeight="1" s="461">
      <c r="A29" s="199" t="inlineStr">
        <is>
          <t>L4</t>
        </is>
      </c>
      <c r="B29" s="199" t="inlineStr">
        <is>
          <t>Потеря контакта / недозвон</t>
        </is>
      </c>
      <c r="C29" s="200" t="n">
        <v>0.2</v>
      </c>
      <c r="D29" s="199" t="n"/>
      <c r="E29" s="199" t="n"/>
      <c r="F29" s="199" t="n"/>
      <c r="G29" s="199" t="n"/>
      <c r="H29" s="199" t="n"/>
      <c r="I29" s="199" t="n"/>
      <c r="J29" s="199" t="n"/>
      <c r="K29" s="218" t="n"/>
      <c r="L29" s="218" t="n"/>
    </row>
    <row r="30" ht="27" customHeight="1" s="461">
      <c r="A30" s="220" t="n"/>
      <c r="B30" s="208" t="n"/>
      <c r="C30" s="208" t="n"/>
      <c r="D30" s="208" t="n"/>
      <c r="E30" s="208" t="n"/>
      <c r="F30" s="405" t="n"/>
      <c r="G30" s="199" t="n"/>
      <c r="H30" s="199" t="n"/>
      <c r="I30" s="199" t="n"/>
      <c r="J30" s="199" t="n"/>
      <c r="K30" s="218" t="n"/>
      <c r="L30" s="218" t="n"/>
    </row>
    <row r="31" ht="27" customHeight="1" s="461">
      <c r="A31" s="209" t="inlineStr">
        <is>
          <t>📦 МОДУЛЬНЫЙ КОНСТРУКТОР ТАРИФОВ И РАСШИРЕНИЙ (FEATURE FLAGS)</t>
        </is>
      </c>
      <c r="B31" s="211" t="n"/>
      <c r="C31" s="211" t="n"/>
      <c r="D31" s="211" t="n"/>
      <c r="E31" s="211" t="n"/>
      <c r="F31" s="405" t="n"/>
      <c r="G31" s="199" t="n"/>
      <c r="H31" s="199" t="n"/>
      <c r="I31" s="199" t="n"/>
      <c r="J31" s="199" t="n"/>
      <c r="K31" s="218" t="n"/>
      <c r="L31" s="218" t="n"/>
    </row>
    <row r="32" ht="24" customHeight="1" s="461">
      <c r="A32" s="212" t="inlineStr">
        <is>
          <t>Код модуля</t>
        </is>
      </c>
      <c r="B32" s="213" t="inlineStr">
        <is>
          <t>Название модуля платформы RevOps</t>
        </is>
      </c>
      <c r="C32" s="213" t="inlineStr">
        <is>
          <t>Статус модуля</t>
        </is>
      </c>
      <c r="D32" s="213" t="inlineStr">
        <is>
          <t>Уровень тарифа</t>
        </is>
      </c>
      <c r="E32" s="213" t="inlineStr">
        <is>
          <t>Плата, ₽/мес</t>
        </is>
      </c>
      <c r="F32" s="405" t="n"/>
      <c r="G32" s="199" t="n"/>
      <c r="H32" s="199" t="n"/>
      <c r="I32" s="199" t="n"/>
      <c r="J32" s="199" t="n"/>
      <c r="K32" s="218" t="n"/>
      <c r="L32" s="218" t="n"/>
    </row>
    <row r="33" ht="24" customHeight="1" s="461">
      <c r="A33" s="199" t="inlineStr">
        <is>
          <t>MOD-01</t>
        </is>
      </c>
      <c r="B33" s="405" t="inlineStr">
        <is>
          <t>🎙️ Речевой ИИ-Супервайзер 100% звонков (Whisper + DeepSeek)</t>
        </is>
      </c>
      <c r="C33" s="405" t="inlineStr">
        <is>
          <t>ВКЛЮЧЕН</t>
        </is>
      </c>
      <c r="D33" s="405" t="inlineStr">
        <is>
          <t>Light</t>
        </is>
      </c>
      <c r="E33" s="214" t="inlineStr">
        <is>
          <t>29,000 ₽</t>
        </is>
      </c>
      <c r="F33" s="405" t="n"/>
      <c r="G33" s="199" t="n"/>
      <c r="H33" s="199" t="n"/>
      <c r="I33" s="199" t="n"/>
      <c r="J33" s="199" t="n"/>
      <c r="K33" s="218" t="n"/>
      <c r="L33" s="218" t="n"/>
    </row>
    <row r="34" ht="24" customHeight="1" s="461">
      <c r="A34" s="199" t="inlineStr">
        <is>
          <t>MOD-02</t>
        </is>
      </c>
      <c r="B34" s="405" t="inlineStr">
        <is>
          <t>⚡ Мгновенные алерты в Telegram (30с со сценарием спасения)</t>
        </is>
      </c>
      <c r="C34" s="405" t="inlineStr">
        <is>
          <t>ВКЛЮЧЕН</t>
        </is>
      </c>
      <c r="D34" s="405" t="inlineStr">
        <is>
          <t>Pro</t>
        </is>
      </c>
      <c r="E34" s="214" t="inlineStr">
        <is>
          <t>15,000 ₽</t>
        </is>
      </c>
      <c r="F34" s="405" t="n"/>
      <c r="G34" s="199" t="n"/>
      <c r="H34" s="199" t="n"/>
      <c r="I34" s="199" t="n"/>
      <c r="J34" s="199" t="n"/>
      <c r="K34" s="218" t="n"/>
      <c r="L34" s="218" t="n"/>
    </row>
    <row r="35" ht="24" customHeight="1" s="461">
      <c r="A35" s="199" t="inlineStr">
        <is>
          <t>MOD-03</t>
        </is>
      </c>
      <c r="B35" s="405" t="inlineStr">
        <is>
          <t>🤖 Автозаполнение CRM (Executive Summary + договоренности)</t>
        </is>
      </c>
      <c r="C35" s="405" t="inlineStr">
        <is>
          <t>ВКЛЮЧЕН</t>
        </is>
      </c>
      <c r="D35" s="405" t="inlineStr">
        <is>
          <t>Pro</t>
        </is>
      </c>
      <c r="E35" s="214" t="inlineStr">
        <is>
          <t>19,000 ₽</t>
        </is>
      </c>
      <c r="F35" s="405" t="n"/>
      <c r="G35" s="199" t="n"/>
      <c r="H35" s="199" t="n"/>
      <c r="I35" s="199" t="n"/>
      <c r="J35" s="199" t="n"/>
      <c r="K35" s="218" t="n"/>
      <c r="L35" s="218" t="n"/>
    </row>
    <row r="36" ht="24" customHeight="1" s="461">
      <c r="A36" s="199" t="inlineStr">
        <is>
          <t>MOD-04</t>
        </is>
      </c>
      <c r="B36" s="405" t="inlineStr">
        <is>
          <t>🛡️ Пакет «Антисаботаж» и Режим «Адвокат менеджера»</t>
        </is>
      </c>
      <c r="C36" s="405" t="inlineStr">
        <is>
          <t>ВКЛЮЧЕН</t>
        </is>
      </c>
      <c r="D36" s="405" t="inlineStr">
        <is>
          <t>Pro</t>
        </is>
      </c>
      <c r="E36" s="214" t="inlineStr">
        <is>
          <t>15,000 ₽</t>
        </is>
      </c>
      <c r="F36" s="405" t="n"/>
      <c r="G36" s="199" t="n"/>
      <c r="H36" s="199" t="n"/>
      <c r="I36" s="199" t="n"/>
      <c r="J36" s="199" t="n"/>
      <c r="K36" s="218" t="n"/>
      <c r="L36" s="218" t="n"/>
    </row>
    <row r="37" ht="24" customHeight="1" s="461">
      <c r="A37" s="199" t="inlineStr">
        <is>
          <t>MOD-05</t>
        </is>
      </c>
      <c r="B37" s="405" t="inlineStr">
        <is>
          <t>🎯 Контроль 13 B2B-стандартов речи и жесткого Next Step</t>
        </is>
      </c>
      <c r="C37" s="405" t="inlineStr">
        <is>
          <t>ВКЛЮЧЕН</t>
        </is>
      </c>
      <c r="D37" s="405" t="inlineStr">
        <is>
          <t>Pro</t>
        </is>
      </c>
      <c r="E37" s="214" t="inlineStr">
        <is>
          <t>25,000 ₽</t>
        </is>
      </c>
      <c r="F37" s="405" t="n"/>
      <c r="G37" s="199" t="n"/>
      <c r="H37" s="199" t="n"/>
      <c r="I37" s="199" t="n"/>
      <c r="J37" s="199" t="n"/>
      <c r="K37" s="218" t="n"/>
      <c r="L37" s="218" t="n"/>
    </row>
    <row r="38" ht="24" customHeight="1" s="461">
      <c r="A38" s="199" t="inlineStr">
        <is>
          <t>MOD-06</t>
        </is>
      </c>
      <c r="B38" s="405" t="inlineStr">
        <is>
          <t>📊 Пульт РОПа 15 минут: утренний радар сливов и лидерборд</t>
        </is>
      </c>
      <c r="C38" s="405" t="inlineStr">
        <is>
          <t>ВКЛЮЧЕН</t>
        </is>
      </c>
      <c r="D38" s="405" t="inlineStr">
        <is>
          <t>Pro</t>
        </is>
      </c>
      <c r="E38" s="214" t="inlineStr">
        <is>
          <t>35,000 ₽</t>
        </is>
      </c>
      <c r="F38" s="405" t="n"/>
      <c r="G38" s="199" t="n"/>
      <c r="H38" s="199" t="n"/>
      <c r="I38" s="199" t="n"/>
      <c r="J38" s="199" t="n"/>
      <c r="K38" s="218" t="n"/>
      <c r="L38" s="218" t="n"/>
    </row>
    <row r="39" ht="24" customHeight="1" s="461">
      <c r="A39" s="199" t="inlineStr">
        <is>
          <t>MOD-07</t>
        </is>
      </c>
      <c r="B39" s="405" t="inlineStr">
        <is>
          <t>🔐 Контур безопасности 152-ФЗ и токенизация биометрии</t>
        </is>
      </c>
      <c r="C39" s="405" t="inlineStr">
        <is>
          <t>ВКЛЮЧЕН</t>
        </is>
      </c>
      <c r="D39" s="405" t="inlineStr">
        <is>
          <t>Enterprise</t>
        </is>
      </c>
      <c r="E39" s="214" t="inlineStr">
        <is>
          <t>25,000 ₽</t>
        </is>
      </c>
      <c r="F39" s="405" t="n"/>
      <c r="G39" s="199" t="n"/>
      <c r="H39" s="199" t="n"/>
      <c r="I39" s="199" t="n"/>
      <c r="J39" s="199" t="n"/>
      <c r="K39" s="218" t="n"/>
      <c r="L39" s="218" t="n"/>
    </row>
    <row r="40" ht="31.5" customHeight="1" s="461">
      <c r="A40" s="199" t="inlineStr">
        <is>
          <t>MOD-08</t>
        </is>
      </c>
      <c r="B40" s="405" t="inlineStr">
        <is>
          <t>📄 Executive OnePager генератор для Собственника и CFO</t>
        </is>
      </c>
      <c r="C40" s="405" t="inlineStr">
        <is>
          <t>ВКЛЮЧЕН</t>
        </is>
      </c>
      <c r="D40" s="405" t="inlineStr">
        <is>
          <t>Enterprise</t>
        </is>
      </c>
      <c r="E40" s="214" t="inlineStr">
        <is>
          <t>20,000 ₽</t>
        </is>
      </c>
      <c r="F40" s="405" t="n"/>
      <c r="G40" s="199" t="n"/>
      <c r="H40" s="199" t="n"/>
      <c r="I40" s="199" t="n"/>
      <c r="J40" s="199" t="n"/>
      <c r="K40" s="218" t="n"/>
      <c r="L40" s="218" t="n"/>
    </row>
    <row r="41" ht="25.5" customHeight="1" s="461">
      <c r="A41" s="220" t="inlineStr">
        <is>
          <t>⚡ БЕНЧМАРКИ И НОРМАТИВЫ ПОТЕРЬ (ФИНАНСОВЫЙ КАЛЬКУЛЯТОР)</t>
        </is>
      </c>
      <c r="B41" s="220" t="n"/>
      <c r="C41" s="221" t="n"/>
      <c r="D41" s="226" t="inlineStr">
        <is>
          <t>СУММАРНЫЙ MRR:</t>
        </is>
      </c>
      <c r="E41" s="223" t="inlineStr">
        <is>
          <t>183,000 ₽</t>
        </is>
      </c>
      <c r="F41" s="199" t="n"/>
      <c r="G41" s="199" t="n"/>
      <c r="H41" s="199" t="n"/>
      <c r="I41" s="199" t="n"/>
      <c r="J41" s="199" t="n"/>
      <c r="K41" s="218" t="n"/>
      <c r="L41" s="218" t="n"/>
    </row>
    <row r="42" ht="25.5" customHeight="1" s="461">
      <c r="A42" s="224" t="inlineStr">
        <is>
          <t>Параметр бенчмарка</t>
        </is>
      </c>
      <c r="B42" s="224" t="inlineStr">
        <is>
          <t>Значение</t>
        </is>
      </c>
      <c r="C42" s="224" t="inlineStr">
        <is>
          <t>Комментарий</t>
        </is>
      </c>
      <c r="D42" s="199" t="n"/>
      <c r="E42" s="199" t="n"/>
      <c r="F42" s="199" t="n"/>
      <c r="G42" s="199" t="n"/>
      <c r="H42" s="199" t="n"/>
      <c r="I42" s="199" t="n"/>
      <c r="J42" s="199" t="n"/>
      <c r="K42" s="218" t="n"/>
      <c r="L42" s="218" t="n"/>
    </row>
    <row r="43" ht="22.5" customHeight="1" s="461">
      <c r="A43" s="199" t="inlineStr">
        <is>
          <t>Потери на браке речи (% от выручки)</t>
        </is>
      </c>
      <c r="B43" s="178" t="n">
        <v>0.28</v>
      </c>
      <c r="C43" s="199" t="inlineStr">
        <is>
          <t>28% потенциальной выручки теряется из-за ошибок менеджеров на звонках</t>
        </is>
      </c>
      <c r="D43" s="199" t="n"/>
      <c r="E43" s="199" t="n"/>
      <c r="F43" s="199" t="n"/>
      <c r="G43" s="199" t="n"/>
      <c r="H43" s="199" t="n"/>
      <c r="I43" s="199" t="n"/>
      <c r="J43" s="199" t="n"/>
      <c r="K43" s="218" t="n"/>
      <c r="L43" s="218" t="n"/>
    </row>
    <row r="44" ht="22.5" customHeight="1" s="461">
      <c r="A44" s="199" t="inlineStr">
        <is>
          <t>Потери на зависание КП (% от выручки)</t>
        </is>
      </c>
      <c r="B44" s="178" t="n">
        <v>0.18</v>
      </c>
      <c r="C44" s="199" t="inlineStr">
        <is>
          <t>18% выручки теряется при отправке КП на «кладбище почты» без Next Step</t>
        </is>
      </c>
      <c r="D44" s="199" t="n"/>
      <c r="E44" s="199" t="n"/>
      <c r="F44" s="199" t="n"/>
      <c r="G44" s="199" t="n"/>
      <c r="H44" s="199" t="n"/>
      <c r="I44" s="199" t="n"/>
      <c r="J44" s="199" t="n"/>
      <c r="K44" s="218" t="n"/>
      <c r="L44" s="218" t="n"/>
    </row>
    <row r="45" ht="22.5" customHeight="1" s="461">
      <c r="A45" s="199" t="inlineStr">
        <is>
          <t>Потери спящих отказников CRM (% от выручки)</t>
        </is>
      </c>
      <c r="B45" s="178" t="n">
        <v>0.12</v>
      </c>
      <c r="C45" s="199" t="inlineStr">
        <is>
          <t>12% — потенциал реактивации списанных отказных сделок</t>
        </is>
      </c>
      <c r="D45" s="199" t="n"/>
      <c r="E45" s="199" t="n"/>
      <c r="F45" s="199" t="n"/>
      <c r="G45" s="199" t="n"/>
      <c r="H45" s="199" t="n"/>
      <c r="I45" s="199" t="n"/>
      <c r="J45" s="199" t="n"/>
      <c r="K45" s="218" t="n"/>
      <c r="L45" s="218" t="n"/>
    </row>
    <row r="46" ht="22.5" customHeight="1" s="461">
      <c r="A46" s="199" t="inlineStr">
        <is>
          <t>Просрочка оплат и счетов — DSO (% от выручки)</t>
        </is>
      </c>
      <c r="B46" s="178" t="n">
        <v>0.1</v>
      </c>
      <c r="C46" s="199" t="inlineStr">
        <is>
          <t>10% выставленных счетов зависают на согласовании без пуша</t>
        </is>
      </c>
      <c r="D46" s="199" t="n"/>
      <c r="E46" s="199" t="n"/>
      <c r="F46" s="199" t="n"/>
      <c r="G46" s="199" t="n"/>
      <c r="H46" s="199" t="n"/>
      <c r="I46" s="199" t="n"/>
      <c r="J46" s="199" t="n"/>
      <c r="K46" s="218" t="n"/>
      <c r="L46" s="218" t="n"/>
    </row>
    <row r="47" ht="22.5" customHeight="1" s="461">
      <c r="A47" s="199" t="inlineStr">
        <is>
          <t>Конверсия воронки в оплату (факт)</t>
        </is>
      </c>
      <c r="B47" s="178" t="n">
        <v>0.045</v>
      </c>
      <c r="C47" s="199" t="inlineStr">
        <is>
          <t>Текущая конверсия из нового лида в оплаченный счет (4.5%)</t>
        </is>
      </c>
      <c r="D47" s="199" t="n"/>
      <c r="E47" s="199" t="n"/>
      <c r="F47" s="199" t="n"/>
      <c r="G47" s="199" t="n"/>
      <c r="H47" s="199" t="n"/>
      <c r="I47" s="199" t="n"/>
      <c r="J47" s="199" t="n"/>
      <c r="K47" s="218" t="n"/>
      <c r="L47" s="218" t="n"/>
    </row>
    <row r="48" ht="22.5" customHeight="1" s="461">
      <c r="A48" s="199" t="inlineStr">
        <is>
          <t>Коэффициент возврата потерь (To-Be)</t>
        </is>
      </c>
      <c r="B48" s="225" t="n">
        <v>0.35</v>
      </c>
      <c r="C48" s="199" t="inlineStr">
        <is>
          <t>35% выявленных сливов гарантированно спасается в первый месяц</t>
        </is>
      </c>
      <c r="D48" s="199" t="n"/>
      <c r="E48" s="199" t="n"/>
      <c r="F48" s="199" t="n"/>
      <c r="G48" s="199" t="n"/>
      <c r="H48" s="199" t="n"/>
      <c r="I48" s="199" t="n"/>
      <c r="J48" s="199" t="n"/>
      <c r="K48" s="218" t="n"/>
      <c r="L48" s="218" t="n"/>
    </row>
    <row r="49">
      <c r="A49" s="199" t="n"/>
      <c r="B49" s="199" t="n"/>
      <c r="C49" s="199" t="n"/>
      <c r="D49" s="199" t="n"/>
      <c r="E49" s="199" t="n"/>
      <c r="F49" s="199" t="n"/>
      <c r="G49" s="199" t="n"/>
      <c r="H49" s="199" t="n"/>
      <c r="I49" s="199" t="n"/>
      <c r="J49" s="199" t="n"/>
      <c r="K49" s="218" t="n"/>
      <c r="L49" s="218" t="n"/>
    </row>
    <row r="50">
      <c r="A50" s="199" t="n"/>
      <c r="B50" s="199" t="n"/>
      <c r="C50" s="199" t="n"/>
      <c r="D50" s="199" t="n"/>
      <c r="E50" s="199" t="n"/>
      <c r="F50" s="199" t="n"/>
      <c r="G50" s="199" t="n"/>
      <c r="H50" s="199" t="n"/>
      <c r="I50" s="199" t="n"/>
      <c r="J50" s="199" t="n"/>
      <c r="K50" s="218" t="n"/>
      <c r="L50" s="218" t="n"/>
    </row>
    <row r="51">
      <c r="A51" s="226" t="inlineStr">
        <is>
          <t>🤖 ИНТЕГРАЦИЯ С TELEGRAM BOT API</t>
        </is>
      </c>
      <c r="B51" s="226" t="n"/>
      <c r="C51" s="226" t="n"/>
      <c r="D51" s="226" t="n"/>
      <c r="E51" s="226" t="n"/>
      <c r="J51" s="218" t="n"/>
      <c r="K51" s="218" t="n"/>
      <c r="L51" s="218" t="n"/>
    </row>
    <row r="52">
      <c r="A52" s="218" t="inlineStr">
        <is>
          <t>BOT_TOKEN</t>
        </is>
      </c>
      <c r="B52" s="494" t="inlineStr">
        <is>
          <t>🔒 Хранится в защищенном Script Properties (настройка: меню RevOps -&gt; 🔐 Telegram Bot)</t>
        </is>
      </c>
      <c r="J52" s="218" t="n"/>
      <c r="K52" s="218" t="n"/>
      <c r="L52" s="218" t="n"/>
    </row>
    <row r="53">
      <c r="A53" s="218" t="inlineStr">
        <is>
          <t>ROP_CHAT_ID</t>
        </is>
      </c>
      <c r="B53" s="218" t="n">
        <v>-1001234567890</v>
      </c>
      <c r="J53" s="218" t="n"/>
      <c r="K53" s="218" t="n"/>
      <c r="L53" s="218" t="n"/>
    </row>
    <row r="54">
      <c r="A54" s="218" t="inlineStr">
        <is>
          <t>CEO_CHAT_ID</t>
        </is>
      </c>
      <c r="B54" s="218" t="n">
        <v>-1009876543210</v>
      </c>
      <c r="J54" s="218" t="n"/>
      <c r="K54" s="218" t="n"/>
      <c r="L54" s="218" t="n"/>
    </row>
    <row r="55">
      <c r="A55" s="218" t="inlineStr">
        <is>
          <t>TEAM_CHAT_ID</t>
        </is>
      </c>
      <c r="B55" s="218" t="n">
        <v>-1005554443332</v>
      </c>
      <c r="J55" s="218" t="n"/>
      <c r="K55" s="218" t="n"/>
      <c r="L55" s="218" t="n"/>
    </row>
    <row r="56">
      <c r="A56" s="218" t="inlineStr">
        <is>
          <t>DISPATCHER_SCHEDULE</t>
        </is>
      </c>
      <c r="B56" s="218" t="inlineStr">
        <is>
          <t>Каждый час (L1/L2/L3) + 09:15 (Утренний пульс)</t>
        </is>
      </c>
      <c r="J56" s="218" t="n"/>
      <c r="K56" s="218" t="n"/>
      <c r="L56" s="218" t="n"/>
    </row>
    <row r="57">
      <c r="A57" s="218" t="inlineStr">
        <is>
          <t>DISPATCHER_STATUS</t>
        </is>
      </c>
      <c r="B57" s="218" t="inlineStr">
        <is>
          <t>🟢 ACTIVE (Триггер: каждый час + 09:15)</t>
        </is>
      </c>
      <c r="J57" s="218" t="n"/>
      <c r="K57" s="218" t="n"/>
      <c r="L57" s="218" t="n"/>
    </row>
    <row r="58">
      <c r="J58" s="218" t="n"/>
      <c r="K58" s="218" t="n"/>
      <c r="L58" s="218" t="n"/>
    </row>
    <row r="59">
      <c r="J59" s="218" t="n"/>
      <c r="K59" s="218" t="n"/>
      <c r="L59" s="218" t="n"/>
    </row>
    <row r="60">
      <c r="J60" s="218" t="n"/>
      <c r="K60" s="218" t="n"/>
      <c r="L60" s="218" t="n"/>
    </row>
    <row r="61">
      <c r="J61" s="218" t="n"/>
      <c r="K61" s="218" t="n"/>
      <c r="L61" s="218" t="n"/>
    </row>
    <row r="62">
      <c r="J62" s="218" t="n"/>
      <c r="K62" s="218" t="n"/>
      <c r="L62" s="218" t="n"/>
    </row>
    <row r="63">
      <c r="J63" s="218" t="n"/>
      <c r="K63" s="218" t="n"/>
      <c r="L63" s="218" t="n"/>
    </row>
    <row r="64">
      <c r="J64" s="218" t="n"/>
      <c r="K64" s="218" t="n"/>
      <c r="L64" s="218" t="n"/>
    </row>
    <row r="65">
      <c r="J65" s="218" t="n"/>
      <c r="K65" s="218" t="n"/>
      <c r="L65" s="218" t="n"/>
    </row>
    <row r="66">
      <c r="J66" s="218" t="n"/>
      <c r="K66" s="218" t="n"/>
      <c r="L66" s="218" t="n"/>
    </row>
    <row r="67">
      <c r="J67" s="218" t="n"/>
      <c r="K67" s="218" t="n"/>
      <c r="L67" s="218" t="n"/>
    </row>
    <row r="68">
      <c r="J68" s="218" t="n"/>
      <c r="K68" s="218" t="n"/>
      <c r="L68" s="218" t="n"/>
    </row>
    <row r="69">
      <c r="J69" s="218" t="n"/>
      <c r="K69" s="218" t="n"/>
      <c r="L69" s="218" t="n"/>
    </row>
    <row r="70">
      <c r="J70" s="218" t="n"/>
      <c r="K70" s="218" t="n"/>
      <c r="L70" s="218" t="n"/>
    </row>
    <row r="71">
      <c r="J71" s="218" t="n"/>
      <c r="K71" s="218" t="n"/>
      <c r="L71" s="218" t="n"/>
    </row>
    <row r="72">
      <c r="J72" s="218" t="n"/>
      <c r="K72" s="218" t="n"/>
      <c r="L72" s="218" t="n"/>
    </row>
    <row r="73">
      <c r="J73" s="218" t="n"/>
      <c r="K73" s="218" t="n"/>
      <c r="L73" s="218" t="n"/>
    </row>
    <row r="74">
      <c r="J74" s="218" t="n"/>
      <c r="K74" s="218" t="n"/>
      <c r="L74" s="218" t="n"/>
    </row>
    <row r="75">
      <c r="J75" s="218" t="n"/>
      <c r="K75" s="218" t="n"/>
      <c r="L75" s="218" t="n"/>
    </row>
    <row r="76">
      <c r="J76" s="218" t="n"/>
      <c r="K76" s="218" t="n"/>
      <c r="L76" s="218" t="n"/>
    </row>
    <row r="77">
      <c r="J77" s="218" t="n"/>
      <c r="K77" s="218" t="n"/>
      <c r="L77" s="218" t="n"/>
    </row>
    <row r="78">
      <c r="J78" s="218" t="n"/>
      <c r="K78" s="218" t="n"/>
      <c r="L78" s="218" t="n"/>
    </row>
    <row r="79">
      <c r="J79" s="218" t="n"/>
      <c r="K79" s="218" t="n"/>
      <c r="L79" s="218" t="n"/>
    </row>
    <row r="80">
      <c r="J80" s="218" t="n"/>
      <c r="K80" s="218" t="n"/>
      <c r="L80" s="218" t="n"/>
    </row>
    <row r="81">
      <c r="J81" s="218" t="n"/>
      <c r="K81" s="218" t="n"/>
      <c r="L81" s="218" t="n"/>
    </row>
    <row r="82">
      <c r="J82" s="218" t="n"/>
      <c r="K82" s="218" t="n"/>
      <c r="L82" s="218" t="n"/>
    </row>
    <row r="83">
      <c r="J83" s="218" t="n"/>
      <c r="K83" s="218" t="n"/>
      <c r="L83" s="218" t="n"/>
    </row>
    <row r="84">
      <c r="J84" s="218" t="n"/>
      <c r="K84" s="218" t="n"/>
      <c r="L84" s="218" t="n"/>
    </row>
    <row r="85">
      <c r="J85" s="218" t="n"/>
      <c r="K85" s="218" t="n"/>
      <c r="L85" s="218" t="n"/>
    </row>
    <row r="86">
      <c r="J86" s="218" t="n"/>
      <c r="K86" s="218" t="n"/>
      <c r="L86" s="218" t="n"/>
    </row>
    <row r="87">
      <c r="J87" s="218" t="n"/>
      <c r="K87" s="218" t="n"/>
      <c r="L87" s="218" t="n"/>
    </row>
    <row r="88">
      <c r="J88" s="218" t="n"/>
      <c r="K88" s="218" t="n"/>
      <c r="L88" s="218" t="n"/>
    </row>
    <row r="89">
      <c r="J89" s="218" t="n"/>
      <c r="K89" s="218" t="n"/>
      <c r="L89" s="218" t="n"/>
    </row>
    <row r="90">
      <c r="J90" s="218" t="n"/>
      <c r="K90" s="218" t="n"/>
      <c r="L90" s="218" t="n"/>
    </row>
    <row r="91">
      <c r="J91" s="218" t="n"/>
      <c r="K91" s="218" t="n"/>
      <c r="L91" s="218" t="n"/>
    </row>
    <row r="92">
      <c r="J92" s="218" t="n"/>
      <c r="K92" s="218" t="n"/>
      <c r="L92" s="218" t="n"/>
    </row>
    <row r="93">
      <c r="J93" s="218" t="n"/>
      <c r="K93" s="218" t="n"/>
      <c r="L93" s="218" t="n"/>
    </row>
    <row r="94">
      <c r="J94" s="218" t="n"/>
      <c r="K94" s="218" t="n"/>
      <c r="L94" s="218" t="n"/>
    </row>
    <row r="95">
      <c r="J95" s="218" t="n"/>
      <c r="K95" s="218" t="n"/>
      <c r="L95" s="218" t="n"/>
    </row>
    <row r="96">
      <c r="J96" s="218" t="n"/>
      <c r="K96" s="218" t="n"/>
      <c r="L96" s="218" t="n"/>
    </row>
    <row r="97">
      <c r="J97" s="218" t="n"/>
      <c r="K97" s="218" t="n"/>
      <c r="L97" s="218" t="n"/>
    </row>
    <row r="98">
      <c r="J98" s="218" t="n"/>
      <c r="K98" s="218" t="n"/>
      <c r="L98" s="218" t="n"/>
    </row>
    <row r="99">
      <c r="J99" s="218" t="n"/>
      <c r="K99" s="218" t="n"/>
      <c r="L99" s="218" t="n"/>
    </row>
    <row r="100">
      <c r="J100" s="218" t="n"/>
      <c r="K100" s="218" t="n"/>
      <c r="L100" s="218" t="n"/>
    </row>
  </sheetData>
  <mergeCells count="2">
    <mergeCell ref="A1:E1"/>
    <mergeCell ref="J8:L8"/>
  </mergeCells>
  <dataValidations count="9">
    <dataValidation sqref="C33:C40" showDropDown="0" showInputMessage="0" showErrorMessage="0" allowBlank="1" type="list">
      <formula1>"ВКЛЮЧЕН,ОТКЛЮЧЕН"</formula1>
    </dataValidation>
    <dataValidation sqref="L10:L100" showDropDown="0" showInputMessage="0" showErrorMessage="1" allowBlank="1" type="list">
      <formula1>"📄 Executive_OnePager,⚡ Пульс_Компании,📋 Пульт_РОПа_15_Минут,🌐 Маркетинг_и_Трафик,💳 Финансы_и_AI_Дожим,⚙️ Настройки"</formula1>
    </dataValidation>
    <dataValidation sqref="C6" showDropDown="0" showInputMessage="0" showErrorMessage="1" allowBlank="1" type="list">
      <formula1>"Текущий месяц,Прошлый месяц,Первая декада (1–10 число),Произвольный интервал"</formula1>
    </dataValidation>
    <dataValidation sqref="B10 K10:K100" showDropDown="0" showInputMessage="0" showErrorMessage="1" allowBlank="1" type="list">
      <formula1>ROLES_LIST</formula1>
    </dataValidation>
    <dataValidation sqref="F10" showDropDown="0" showInputMessage="0" showErrorMessage="1" allowBlank="1" type="list">
      <formula1>"👥 Весь отдел продаж (Сводно),101 - Иванов Дмитрий (РОП),102 - Петров Александр (КАМ),103 - Сидоров Роман (SDR),104 - Козлов Алексей (SDR-2)"</formula1>
    </dataValidation>
    <dataValidation sqref="J10:J100" showDropDown="0" showInputMessage="0" showErrorMessage="1" allowBlank="1" type="custom">
      <formula1>NOT(ISERROR(SEARCH(("@"),(J10))))</formula1>
    </dataValidation>
    <dataValidation sqref="D9" showDropDown="0" showInputMessage="0" showErrorMessage="1" allowBlank="1" type="list">
      <formula1>"🏢 Холдинг (Все филиалы),📍 Филиал Москва (B2B Услуги),📍 Филиал Санкт-Петербург (Дистрибуция),📍 Онлайн / Регионы (Direct Sales)"</formula1>
    </dataValidation>
    <dataValidation sqref="D10" showDropDown="0" showInputMessage="0" showErrorMessage="1" allowBlank="1" type="list">
      <formula1>"Авто (По умолчанию роли),💰 Выручка и чистая прибыль,🎯 Воронка продаж и конверсии CRM,🎙️ Контроль речи и качество звонков,💳 Дебиторка DSO и кассовые разрывы,🌐 Трафик, CPL и ROMI каналов"</formula1>
    </dataValidation>
    <dataValidation sqref="H10" showDropDown="0" showInputMessage="0" showErrorMessage="1" allowBlank="1" type="list">
      <formula1>"👥 Multi-User (Персональные фильтры),🎯 Solo Focus (Автоскрытие листов)"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383F49"/>
    <outlinePr summaryBelow="0" summaryRight="0"/>
    <pageSetUpPr/>
  </sheetPr>
  <dimension ref="A1:AC1000"/>
  <sheetViews>
    <sheetView workbookViewId="0">
      <selection activeCell="A1" sqref="A1"/>
    </sheetView>
  </sheetViews>
  <sheetFormatPr baseColWidth="8" defaultColWidth="12.63" defaultRowHeight="15.75" customHeight="1"/>
  <cols>
    <col width="13.88" customWidth="1" style="461" min="1" max="2"/>
    <col width="16.38" customWidth="1" style="461" min="3" max="3"/>
    <col width="22.63" customWidth="1" style="461" min="4" max="4"/>
    <col width="26.38" customWidth="1" style="461" min="5" max="5"/>
    <col width="21.38" customWidth="1" style="461" min="6" max="6"/>
    <col width="17.63" customWidth="1" style="461" min="7" max="7"/>
    <col width="15.13" customWidth="1" style="461" min="8" max="8"/>
    <col width="17.63" customWidth="1" style="461" min="9" max="10"/>
    <col width="22.63" customWidth="1" style="461" min="11" max="13"/>
    <col width="21.38" customWidth="1" style="461" min="26" max="26"/>
    <col width="16.38" customWidth="1" style="461" min="27" max="29"/>
  </cols>
  <sheetData>
    <row r="1" ht="21" customHeight="1" s="461">
      <c r="A1" s="154" t="inlineStr">
        <is>
          <t>touch_id</t>
        </is>
      </c>
      <c r="B1" s="154" t="inlineStr">
        <is>
          <t>deal_id</t>
        </is>
      </c>
      <c r="C1" s="154" t="inlineStr">
        <is>
          <t>client_id</t>
        </is>
      </c>
      <c r="D1" s="154" t="inlineStr">
        <is>
          <t>touch_date</t>
        </is>
      </c>
      <c r="E1" s="154" t="inlineStr">
        <is>
          <t>channel</t>
        </is>
      </c>
      <c r="F1" s="154" t="inlineStr">
        <is>
          <t>campaign_id</t>
        </is>
      </c>
      <c r="G1" s="154" t="inlineStr">
        <is>
          <t>touch_stage</t>
        </is>
      </c>
      <c r="H1" s="154" t="inlineStr">
        <is>
          <t>weight_pct</t>
        </is>
      </c>
      <c r="I1" s="154" t="inlineStr">
        <is>
          <t>deal_amount</t>
        </is>
      </c>
      <c r="J1" s="154" t="inlineStr">
        <is>
          <t>is_won</t>
        </is>
      </c>
      <c r="K1" s="154" t="inlineStr">
        <is>
          <t>attributed_won_rev</t>
        </is>
      </c>
      <c r="L1" s="154" t="inlineStr">
        <is>
          <t>pipeline_attr_val</t>
        </is>
      </c>
      <c r="M1" s="154" t="inlineStr">
        <is>
          <t>synced_at</t>
        </is>
      </c>
      <c r="Z1" s="218" t="inlineStr">
        <is>
          <t>data_snapshot_date</t>
        </is>
      </c>
      <c r="AA1" s="218" t="inlineStr">
        <is>
          <t>data_version</t>
        </is>
      </c>
      <c r="AB1" s="218" t="inlineStr">
        <is>
          <t>uploaded_by</t>
        </is>
      </c>
      <c r="AC1" s="218" t="inlineStr">
        <is>
          <t>upload_hash</t>
        </is>
      </c>
    </row>
    <row r="2">
      <c r="A2" s="218" t="inlineStr">
        <is>
          <t>TP-101</t>
        </is>
      </c>
      <c r="B2" s="218" t="inlineStr">
        <is>
          <t>D-101</t>
        </is>
      </c>
      <c r="C2" s="218" t="inlineStr">
        <is>
          <t>ga_11</t>
        </is>
      </c>
      <c r="D2" s="246" t="n">
        <v>46259</v>
      </c>
      <c r="E2" s="218" t="inlineStr">
        <is>
          <t>Органика SEO</t>
        </is>
      </c>
      <c r="F2" s="218" t="inlineStr">
        <is>
          <t>cmp_seo</t>
        </is>
      </c>
      <c r="G2" s="218" t="inlineStr">
        <is>
          <t>1. First Touch</t>
        </is>
      </c>
      <c r="H2" s="439" t="n">
        <v>0.3</v>
      </c>
      <c r="I2" s="346">
        <f>IFERROR(VLOOKUP(B2, raw_deals!$A$2:$C50000, 3, FALSE), 0)</f>
        <v/>
      </c>
      <c r="J2" s="218">
        <f>IFERROR(VLOOKUP(B2, raw_deals!$A$2:$O50000, 15, FALSE), FALSE)</f>
        <v/>
      </c>
      <c r="K2" s="346">
        <f>IF(J2=TRUE, I2*H2, 0)</f>
        <v/>
      </c>
      <c r="L2" s="346">
        <f>IF(J2=FALSE, I2*H2*IFERROR(VLOOKUP(VLOOKUP(B2, raw_deals!$A$2:$D50000, 4, FALSE), '⚙️ Настройки'!$A$12:$D$18, 4, FALSE), 0), 0)</f>
        <v/>
      </c>
      <c r="M2" s="246" t="n">
        <v>46294</v>
      </c>
    </row>
    <row r="3">
      <c r="A3" s="218" t="inlineStr">
        <is>
          <t>TP-102</t>
        </is>
      </c>
      <c r="B3" s="218" t="inlineStr">
        <is>
          <t>D-101</t>
        </is>
      </c>
      <c r="C3" s="218" t="inlineStr">
        <is>
          <t>ga_11</t>
        </is>
      </c>
      <c r="D3" s="246" t="n">
        <v>46267</v>
      </c>
      <c r="E3" s="218" t="inlineStr">
        <is>
          <t>Яндекс Директ</t>
        </is>
      </c>
      <c r="F3" s="218" t="inlineStr">
        <is>
          <t>cmp_yd</t>
        </is>
      </c>
      <c r="G3" s="218" t="inlineStr">
        <is>
          <t>2. Lead Creation</t>
        </is>
      </c>
      <c r="H3" s="439" t="n">
        <v>0.3</v>
      </c>
      <c r="I3" s="346">
        <f>IFERROR(VLOOKUP(B3, raw_deals!$A$2:$C50000, 3, FALSE), 0)</f>
        <v/>
      </c>
      <c r="J3" s="218">
        <f>IFERROR(VLOOKUP(B3, raw_deals!$A$2:$O50000, 15, FALSE), FALSE)</f>
        <v/>
      </c>
      <c r="K3" s="346">
        <f>IF(J3=TRUE, I3*H3, 0)</f>
        <v/>
      </c>
      <c r="L3" s="346">
        <f>IF(J3=FALSE, I3*H3*IFERROR(VLOOKUP(VLOOKUP(B3, raw_deals!$A$2:$D50000, 4, FALSE), '⚙️ Настройки'!$A$12:$D$18, 4, FALSE), 0), 0)</f>
        <v/>
      </c>
      <c r="M3" s="246" t="n">
        <v>46294</v>
      </c>
    </row>
    <row r="4">
      <c r="A4" s="218" t="inlineStr">
        <is>
          <t>TP-103</t>
        </is>
      </c>
      <c r="B4" s="218" t="inlineStr">
        <is>
          <t>D-101</t>
        </is>
      </c>
      <c r="C4" s="218" t="inlineStr">
        <is>
          <t>ga_11</t>
        </is>
      </c>
      <c r="D4" s="246" t="n">
        <v>46272</v>
      </c>
      <c r="E4" s="218" t="inlineStr">
        <is>
          <t>Партнеры</t>
        </is>
      </c>
      <c r="F4" s="218" t="inlineStr">
        <is>
          <t>cmp_ref</t>
        </is>
      </c>
      <c r="G4" s="218" t="inlineStr">
        <is>
          <t>3. Middle Nurture</t>
        </is>
      </c>
      <c r="H4" s="439" t="n">
        <v>0.1</v>
      </c>
      <c r="I4" s="346">
        <f>IFERROR(VLOOKUP(B4, raw_deals!$A$2:$C50000, 3, FALSE), 0)</f>
        <v/>
      </c>
      <c r="J4" s="218">
        <f>IFERROR(VLOOKUP(B4, raw_deals!$A$2:$O50000, 15, FALSE), FALSE)</f>
        <v/>
      </c>
      <c r="K4" s="346">
        <f>IF(J4=TRUE, I4*H4, 0)</f>
        <v/>
      </c>
      <c r="L4" s="346">
        <f>IF(J4=FALSE, I4*H4*IFERROR(VLOOKUP(VLOOKUP(B4, raw_deals!$A$2:$D50000, 4, FALSE), '⚙️ Настройки'!$A$12:$D$18, 4, FALSE), 0), 0)</f>
        <v/>
      </c>
      <c r="M4" s="246" t="n">
        <v>46294</v>
      </c>
    </row>
    <row r="5">
      <c r="A5" s="218" t="inlineStr">
        <is>
          <t>TP-104</t>
        </is>
      </c>
      <c r="B5" s="218" t="inlineStr">
        <is>
          <t>D-101</t>
        </is>
      </c>
      <c r="C5" s="218" t="inlineStr">
        <is>
          <t>ga_11</t>
        </is>
      </c>
      <c r="D5" s="246" t="n">
        <v>46277</v>
      </c>
      <c r="E5" s="218" t="inlineStr">
        <is>
          <t>Google Ads</t>
        </is>
      </c>
      <c r="F5" s="218" t="inlineStr">
        <is>
          <t>cmp_ga</t>
        </is>
      </c>
      <c r="G5" s="218" t="inlineStr">
        <is>
          <t>4. Deal Close</t>
        </is>
      </c>
      <c r="H5" s="439" t="n">
        <v>0.3</v>
      </c>
      <c r="I5" s="346">
        <f>IFERROR(VLOOKUP(B5, raw_deals!$A$2:$C50000, 3, FALSE), 0)</f>
        <v/>
      </c>
      <c r="J5" s="218">
        <f>IFERROR(VLOOKUP(B5, raw_deals!$A$2:$O50000, 15, FALSE), FALSE)</f>
        <v/>
      </c>
      <c r="K5" s="346">
        <f>IF(J5=TRUE, I5*H5, 0)</f>
        <v/>
      </c>
      <c r="L5" s="346">
        <f>IF(J5=FALSE, I5*H5*IFERROR(VLOOKUP(VLOOKUP(B5, raw_deals!$A$2:$D50000, 4, FALSE), '⚙️ Настройки'!$A$12:$D$18, 4, FALSE), 0), 0)</f>
        <v/>
      </c>
      <c r="M5" s="246" t="n">
        <v>46294</v>
      </c>
    </row>
    <row r="6">
      <c r="A6" s="218" t="inlineStr">
        <is>
          <t>TP-105</t>
        </is>
      </c>
      <c r="B6" s="218" t="inlineStr">
        <is>
          <t>D-102</t>
        </is>
      </c>
      <c r="C6" s="218" t="inlineStr">
        <is>
          <t>ga_12</t>
        </is>
      </c>
      <c r="D6" s="246" t="n">
        <v>46262</v>
      </c>
      <c r="E6" s="218" t="inlineStr">
        <is>
          <t>Контур.Фокус</t>
        </is>
      </c>
      <c r="F6" s="218" t="inlineStr">
        <is>
          <t>cmp_kf</t>
        </is>
      </c>
      <c r="G6" s="218" t="inlineStr">
        <is>
          <t>1. First Touch</t>
        </is>
      </c>
      <c r="H6" s="439" t="n">
        <v>0.3</v>
      </c>
      <c r="I6" s="346">
        <f>IFERROR(VLOOKUP(B6, raw_deals!$A$2:$C50000, 3, FALSE), 0)</f>
        <v/>
      </c>
      <c r="J6" s="218">
        <f>IFERROR(VLOOKUP(B6, raw_deals!$A$2:$O50000, 15, FALSE), FALSE)</f>
        <v/>
      </c>
      <c r="K6" s="346">
        <f>IF(J6=TRUE, I6*H6, 0)</f>
        <v/>
      </c>
      <c r="L6" s="346">
        <f>IF(J6=FALSE, I6*H6*IFERROR(VLOOKUP(VLOOKUP(B6, raw_deals!$A$2:$D50000, 4, FALSE), '⚙️ Настройки'!$A$12:$D$18, 4, FALSE), 0), 0)</f>
        <v/>
      </c>
      <c r="M6" s="246" t="n">
        <v>46294</v>
      </c>
    </row>
    <row r="7">
      <c r="A7" s="218" t="inlineStr">
        <is>
          <t>TP-106</t>
        </is>
      </c>
      <c r="B7" s="218" t="inlineStr">
        <is>
          <t>D-102</t>
        </is>
      </c>
      <c r="C7" s="218" t="inlineStr">
        <is>
          <t>ga_12</t>
        </is>
      </c>
      <c r="D7" s="246" t="n">
        <v>46269</v>
      </c>
      <c r="E7" s="218" t="inlineStr">
        <is>
          <t>Яндекс Директ</t>
        </is>
      </c>
      <c r="F7" s="218" t="inlineStr">
        <is>
          <t>cmp_yd</t>
        </is>
      </c>
      <c r="G7" s="218" t="inlineStr">
        <is>
          <t>2. Lead Creation</t>
        </is>
      </c>
      <c r="H7" s="439" t="n">
        <v>0.3</v>
      </c>
      <c r="I7" s="346">
        <f>IFERROR(VLOOKUP(B7, raw_deals!$A$2:$C50000, 3, FALSE), 0)</f>
        <v/>
      </c>
      <c r="J7" s="218">
        <f>IFERROR(VLOOKUP(B7, raw_deals!$A$2:$O50000, 15, FALSE), FALSE)</f>
        <v/>
      </c>
      <c r="K7" s="346">
        <f>IF(J7=TRUE, I7*H7, 0)</f>
        <v/>
      </c>
      <c r="L7" s="346">
        <f>IF(J7=FALSE, I7*H7*IFERROR(VLOOKUP(VLOOKUP(B7, raw_deals!$A$2:$D50000, 4, FALSE), '⚙️ Настройки'!$A$12:$D$18, 4, FALSE), 0), 0)</f>
        <v/>
      </c>
      <c r="M7" s="246" t="n">
        <v>46294</v>
      </c>
    </row>
    <row r="8">
      <c r="A8" s="218" t="inlineStr">
        <is>
          <t>TP-107</t>
        </is>
      </c>
      <c r="B8" s="218" t="inlineStr">
        <is>
          <t>D-102</t>
        </is>
      </c>
      <c r="C8" s="218" t="inlineStr">
        <is>
          <t>ga_12</t>
        </is>
      </c>
      <c r="D8" s="246" t="n">
        <v>46275</v>
      </c>
      <c r="E8" s="218" t="inlineStr">
        <is>
          <t>Контур.Фокус</t>
        </is>
      </c>
      <c r="F8" s="218" t="inlineStr">
        <is>
          <t>cmp_kf</t>
        </is>
      </c>
      <c r="G8" s="218" t="inlineStr">
        <is>
          <t>3. Middle Nurture</t>
        </is>
      </c>
      <c r="H8" s="439" t="n">
        <v>0.1</v>
      </c>
      <c r="I8" s="346">
        <f>IFERROR(VLOOKUP(B8, raw_deals!$A$2:$C50000, 3, FALSE), 0)</f>
        <v/>
      </c>
      <c r="J8" s="218">
        <f>IFERROR(VLOOKUP(B8, raw_deals!$A$2:$O50000, 15, FALSE), FALSE)</f>
        <v/>
      </c>
      <c r="K8" s="346">
        <f>IF(J8=TRUE, I8*H8, 0)</f>
        <v/>
      </c>
      <c r="L8" s="346">
        <f>IF(J8=FALSE, I8*H8*IFERROR(VLOOKUP(VLOOKUP(B8, raw_deals!$A$2:$D50000, 4, FALSE), '⚙️ Настройки'!$A$12:$D$18, 4, FALSE), 0), 0)</f>
        <v/>
      </c>
      <c r="M8" s="246" t="n">
        <v>46294</v>
      </c>
    </row>
    <row r="9">
      <c r="A9" s="218" t="inlineStr">
        <is>
          <t>TP-108</t>
        </is>
      </c>
      <c r="B9" s="218" t="inlineStr">
        <is>
          <t>D-102</t>
        </is>
      </c>
      <c r="C9" s="218" t="inlineStr">
        <is>
          <t>ga_12</t>
        </is>
      </c>
      <c r="D9" s="246" t="n">
        <v>46281</v>
      </c>
      <c r="E9" s="218" t="inlineStr">
        <is>
          <t>Контур.Фокус</t>
        </is>
      </c>
      <c r="F9" s="218" t="inlineStr">
        <is>
          <t>cmp_kf</t>
        </is>
      </c>
      <c r="G9" s="218" t="inlineStr">
        <is>
          <t>4. Deal Close</t>
        </is>
      </c>
      <c r="H9" s="439" t="n">
        <v>0.3</v>
      </c>
      <c r="I9" s="346">
        <f>IFERROR(VLOOKUP(B9, raw_deals!$A$2:$C50000, 3, FALSE), 0)</f>
        <v/>
      </c>
      <c r="J9" s="218">
        <f>IFERROR(VLOOKUP(B9, raw_deals!$A$2:$O50000, 15, FALSE), FALSE)</f>
        <v/>
      </c>
      <c r="K9" s="346">
        <f>IF(J9=TRUE, I9*H9, 0)</f>
        <v/>
      </c>
      <c r="L9" s="346">
        <f>IF(J9=FALSE, I9*H9*IFERROR(VLOOKUP(VLOOKUP(B9, raw_deals!$A$2:$D50000, 4, FALSE), '⚙️ Настройки'!$A$12:$D$18, 4, FALSE), 0), 0)</f>
        <v/>
      </c>
      <c r="M9" s="246" t="n">
        <v>46294</v>
      </c>
    </row>
    <row r="10">
      <c r="A10" s="218" t="inlineStr">
        <is>
          <t>TP-109</t>
        </is>
      </c>
      <c r="B10" s="218" t="inlineStr">
        <is>
          <t>D-104</t>
        </is>
      </c>
      <c r="C10" s="218" t="inlineStr">
        <is>
          <t>ga_14</t>
        </is>
      </c>
      <c r="D10" s="246" t="n">
        <v>46277</v>
      </c>
      <c r="E10" s="218" t="inlineStr">
        <is>
          <t>Контур.Фокус</t>
        </is>
      </c>
      <c r="F10" s="218" t="inlineStr">
        <is>
          <t>cmp_kf</t>
        </is>
      </c>
      <c r="G10" s="218" t="inlineStr">
        <is>
          <t>1. First Touch</t>
        </is>
      </c>
      <c r="H10" s="439" t="n">
        <v>0.3</v>
      </c>
      <c r="I10" s="346">
        <f>IFERROR(VLOOKUP(B10, raw_deals!$A$2:$C50000, 3, FALSE), 0)</f>
        <v/>
      </c>
      <c r="J10" s="218">
        <f>IFERROR(VLOOKUP(B10, raw_deals!$A$2:$O50000, 15, FALSE), FALSE)</f>
        <v/>
      </c>
      <c r="K10" s="346">
        <f>IF(J10=TRUE, I10*H10, 0)</f>
        <v/>
      </c>
      <c r="L10" s="346">
        <f>IF(J10=FALSE, I10*H10*IFERROR(VLOOKUP(VLOOKUP(B10, raw_deals!$A$2:$D50000, 4, FALSE), '⚙️ Настройки'!$A$12:$D$18, 4, FALSE), 0), 0)</f>
        <v/>
      </c>
      <c r="M10" s="246" t="n">
        <v>46294</v>
      </c>
    </row>
    <row r="11">
      <c r="A11" s="218" t="inlineStr">
        <is>
          <t>TP-110</t>
        </is>
      </c>
      <c r="B11" s="218" t="inlineStr">
        <is>
          <t>D-104</t>
        </is>
      </c>
      <c r="C11" s="218" t="inlineStr">
        <is>
          <t>ga_14</t>
        </is>
      </c>
      <c r="D11" s="246" t="n">
        <v>46279</v>
      </c>
      <c r="E11" s="218" t="inlineStr">
        <is>
          <t>Яндекс Директ</t>
        </is>
      </c>
      <c r="F11" s="218" t="inlineStr">
        <is>
          <t>cmp_yd</t>
        </is>
      </c>
      <c r="G11" s="218" t="inlineStr">
        <is>
          <t>2. Lead Creation</t>
        </is>
      </c>
      <c r="H11" s="439" t="n">
        <v>0.3</v>
      </c>
      <c r="I11" s="346">
        <f>IFERROR(VLOOKUP(B11, raw_deals!$A$2:$C50000, 3, FALSE), 0)</f>
        <v/>
      </c>
      <c r="J11" s="218">
        <f>IFERROR(VLOOKUP(B11, raw_deals!$A$2:$O50000, 15, FALSE), FALSE)</f>
        <v/>
      </c>
      <c r="K11" s="346">
        <f>IF(J11=TRUE, I11*H11, 0)</f>
        <v/>
      </c>
      <c r="L11" s="346">
        <f>IF(J11=FALSE, I11*H11*IFERROR(VLOOKUP(VLOOKUP(B11, raw_deals!$A$2:$D50000, 4, FALSE), '⚙️ Настройки'!$A$12:$D$18, 4, FALSE), 0), 0)</f>
        <v/>
      </c>
      <c r="M11" s="246" t="n">
        <v>46294</v>
      </c>
    </row>
    <row r="12">
      <c r="A12" s="218" t="inlineStr">
        <is>
          <t>TP-111</t>
        </is>
      </c>
      <c r="B12" s="218" t="inlineStr">
        <is>
          <t>D-104</t>
        </is>
      </c>
      <c r="C12" s="218" t="inlineStr">
        <is>
          <t>ga_14</t>
        </is>
      </c>
      <c r="D12" s="246" t="n">
        <v>46283</v>
      </c>
      <c r="E12" s="218" t="inlineStr">
        <is>
          <t>Контур.Фокус</t>
        </is>
      </c>
      <c r="F12" s="218" t="inlineStr">
        <is>
          <t>cmp_kf</t>
        </is>
      </c>
      <c r="G12" s="218" t="inlineStr">
        <is>
          <t>3. Middle Nurture</t>
        </is>
      </c>
      <c r="H12" s="439" t="n">
        <v>0.1</v>
      </c>
      <c r="I12" s="346">
        <f>IFERROR(VLOOKUP(B12, raw_deals!$A$2:$C50000, 3, FALSE), 0)</f>
        <v/>
      </c>
      <c r="J12" s="218">
        <f>IFERROR(VLOOKUP(B12, raw_deals!$A$2:$O50000, 15, FALSE), FALSE)</f>
        <v/>
      </c>
      <c r="K12" s="346">
        <f>IF(J12=TRUE, I12*H12, 0)</f>
        <v/>
      </c>
      <c r="L12" s="346">
        <f>IF(J12=FALSE, I12*H12*IFERROR(VLOOKUP(VLOOKUP(B12, raw_deals!$A$2:$D50000, 4, FALSE), '⚙️ Настройки'!$A$12:$D$18, 4, FALSE), 0), 0)</f>
        <v/>
      </c>
      <c r="M12" s="246" t="n">
        <v>46294</v>
      </c>
    </row>
    <row r="13">
      <c r="A13" s="218" t="inlineStr">
        <is>
          <t>TP-112</t>
        </is>
      </c>
      <c r="B13" s="218" t="inlineStr">
        <is>
          <t>D-105</t>
        </is>
      </c>
      <c r="C13" s="218" t="inlineStr">
        <is>
          <t>ga_15</t>
        </is>
      </c>
      <c r="D13" s="246" t="n">
        <v>46266</v>
      </c>
      <c r="E13" s="218" t="inlineStr">
        <is>
          <t>Партнеры</t>
        </is>
      </c>
      <c r="F13" s="218" t="inlineStr">
        <is>
          <t>cmp_ref</t>
        </is>
      </c>
      <c r="G13" s="218" t="inlineStr">
        <is>
          <t>1. First Touch</t>
        </is>
      </c>
      <c r="H13" s="439" t="n">
        <v>0.5</v>
      </c>
      <c r="I13" s="346">
        <f>IFERROR(VLOOKUP(B13, raw_deals!$A$2:$C50000, 3, FALSE), 0)</f>
        <v/>
      </c>
      <c r="J13" s="218">
        <f>IFERROR(VLOOKUP(B13, raw_deals!$A$2:$O50000, 15, FALSE), FALSE)</f>
        <v/>
      </c>
      <c r="K13" s="346">
        <f>IF(J13=TRUE, I13*H13, 0)</f>
        <v/>
      </c>
      <c r="L13" s="346">
        <f>IF(J13=FALSE, I13*H13*IFERROR(VLOOKUP(VLOOKUP(B13, raw_deals!$A$2:$D50000, 4, FALSE), '⚙️ Настройки'!$A$12:$D$18, 4, FALSE), 0), 0)</f>
        <v/>
      </c>
      <c r="M13" s="246" t="n">
        <v>46294</v>
      </c>
    </row>
    <row r="14">
      <c r="A14" s="218" t="inlineStr">
        <is>
          <t>TP-113</t>
        </is>
      </c>
      <c r="B14" s="218" t="inlineStr">
        <is>
          <t>D-105</t>
        </is>
      </c>
      <c r="C14" s="218" t="inlineStr">
        <is>
          <t>ga_15</t>
        </is>
      </c>
      <c r="D14" s="246" t="n">
        <v>46280</v>
      </c>
      <c r="E14" s="218" t="inlineStr">
        <is>
          <t>Яндекс Директ</t>
        </is>
      </c>
      <c r="F14" s="218" t="inlineStr">
        <is>
          <t>cmp_yd</t>
        </is>
      </c>
      <c r="G14" s="218" t="inlineStr">
        <is>
          <t>2. Lead Creation</t>
        </is>
      </c>
      <c r="H14" s="439" t="n">
        <v>0.5</v>
      </c>
      <c r="I14" s="346">
        <f>IFERROR(VLOOKUP(B14, raw_deals!$A$2:$C50000, 3, FALSE), 0)</f>
        <v/>
      </c>
      <c r="J14" s="218">
        <f>IFERROR(VLOOKUP(B14, raw_deals!$A$2:$O50000, 15, FALSE), FALSE)</f>
        <v/>
      </c>
      <c r="K14" s="346">
        <f>IF(J14=TRUE, I14*H14, 0)</f>
        <v/>
      </c>
      <c r="L14" s="346">
        <f>IF(J14=FALSE, I14*H14*IFERROR(VLOOKUP(VLOOKUP(B14, raw_deals!$A$2:$D50000, 4, FALSE), '⚙️ Настройки'!$A$12:$D$18, 4, FALSE), 0), 0)</f>
        <v/>
      </c>
      <c r="M14" s="246" t="n">
        <v>46294</v>
      </c>
    </row>
    <row r="15">
      <c r="A15" s="218" t="inlineStr">
        <is>
          <t>TP-111B</t>
        </is>
      </c>
      <c r="B15" s="218" t="inlineStr">
        <is>
          <t>D-104</t>
        </is>
      </c>
      <c r="C15" s="218" t="inlineStr">
        <is>
          <t>ga_14</t>
        </is>
      </c>
      <c r="D15" s="246" t="n">
        <v>46287</v>
      </c>
      <c r="E15" s="218" t="inlineStr">
        <is>
          <t>Яндекс Директ</t>
        </is>
      </c>
      <c r="F15" s="218" t="inlineStr">
        <is>
          <t>cmp_yd</t>
        </is>
      </c>
      <c r="G15" s="218" t="inlineStr">
        <is>
          <t>4. Deal Close</t>
        </is>
      </c>
      <c r="H15" s="439" t="n">
        <v>0.3</v>
      </c>
      <c r="I15" s="346">
        <f>IFERROR(VLOOKUP(B15, raw_deals!$A$2:$C50000, 3, FALSE), 0)</f>
        <v/>
      </c>
      <c r="J15" s="218">
        <f>IFERROR(VLOOKUP(B15, raw_deals!$A$2:$O50000, 15, FALSE), FALSE)</f>
        <v/>
      </c>
      <c r="K15" s="346">
        <f>IF(J15=TRUE, I15*H15, 0)</f>
        <v/>
      </c>
      <c r="L15" s="346">
        <f>IF(J15=FALSE, I15*H15*IFERROR(VLOOKUP(VLOOKUP(B15, raw_deals!$A$2:$D50000, 4, FALSE), '⚙️ Настройки'!$A$12:$D$18, 4, FALSE), 0), 0)</f>
        <v/>
      </c>
      <c r="M15" s="246" t="n">
        <v>46294</v>
      </c>
    </row>
    <row r="16">
      <c r="E16" s="218" t="n"/>
      <c r="G16" s="218" t="n"/>
      <c r="H16" s="439" t="n"/>
      <c r="I16" s="346" t="n"/>
      <c r="K16" s="346" t="n"/>
      <c r="L16" s="346" t="n"/>
    </row>
    <row r="17">
      <c r="E17" s="218" t="n"/>
      <c r="G17" s="218" t="n"/>
      <c r="H17" s="439" t="n"/>
      <c r="I17" s="346" t="n"/>
      <c r="K17" s="346" t="n"/>
      <c r="L17" s="346" t="n"/>
    </row>
    <row r="18">
      <c r="E18" s="218" t="n"/>
      <c r="G18" s="218" t="n"/>
      <c r="H18" s="439" t="n"/>
      <c r="I18" s="346" t="n"/>
      <c r="K18" s="346" t="n"/>
      <c r="L18" s="346" t="n"/>
    </row>
    <row r="19">
      <c r="E19" s="218" t="n"/>
      <c r="G19" s="218" t="n"/>
      <c r="H19" s="439" t="n"/>
      <c r="I19" s="346" t="n"/>
      <c r="K19" s="346" t="n"/>
      <c r="L19" s="346" t="n"/>
    </row>
    <row r="20">
      <c r="E20" s="218" t="n"/>
      <c r="G20" s="218" t="n"/>
      <c r="H20" s="439" t="n"/>
      <c r="I20" s="346" t="n"/>
      <c r="K20" s="346" t="n"/>
      <c r="L20" s="346" t="n"/>
    </row>
    <row r="21">
      <c r="E21" s="218" t="n"/>
      <c r="G21" s="218" t="n"/>
    </row>
    <row r="22">
      <c r="E22" s="218" t="n"/>
      <c r="G22" s="218" t="n"/>
    </row>
    <row r="23">
      <c r="E23" s="218" t="n"/>
      <c r="G23" s="218" t="n"/>
    </row>
    <row r="24">
      <c r="E24" s="218" t="n"/>
      <c r="G24" s="218" t="n"/>
    </row>
    <row r="25">
      <c r="E25" s="218" t="n"/>
      <c r="G25" s="218" t="n"/>
    </row>
    <row r="26">
      <c r="E26" s="218" t="n"/>
      <c r="G26" s="218" t="n"/>
    </row>
    <row r="27">
      <c r="E27" s="218" t="n"/>
      <c r="G27" s="218" t="n"/>
    </row>
    <row r="28">
      <c r="E28" s="218" t="n"/>
      <c r="G28" s="218" t="n"/>
    </row>
    <row r="29">
      <c r="E29" s="218" t="n"/>
      <c r="G29" s="218" t="n"/>
    </row>
    <row r="30">
      <c r="E30" s="218" t="n"/>
      <c r="G30" s="218" t="n"/>
    </row>
    <row r="31">
      <c r="E31" s="218" t="n"/>
      <c r="G31" s="218" t="n"/>
    </row>
    <row r="32">
      <c r="E32" s="218" t="n"/>
      <c r="G32" s="218" t="n"/>
    </row>
    <row r="33">
      <c r="E33" s="218" t="n"/>
      <c r="G33" s="218" t="n"/>
    </row>
    <row r="34">
      <c r="E34" s="218" t="n"/>
      <c r="G34" s="218" t="n"/>
    </row>
    <row r="35">
      <c r="E35" s="218" t="n"/>
      <c r="G35" s="218" t="n"/>
    </row>
    <row r="36">
      <c r="E36" s="218" t="n"/>
      <c r="G36" s="218" t="n"/>
    </row>
    <row r="37">
      <c r="E37" s="218" t="n"/>
      <c r="G37" s="218" t="n"/>
    </row>
    <row r="38">
      <c r="E38" s="218" t="n"/>
      <c r="G38" s="218" t="n"/>
    </row>
    <row r="39">
      <c r="E39" s="218" t="n"/>
      <c r="G39" s="218" t="n"/>
    </row>
    <row r="40">
      <c r="E40" s="218" t="n"/>
      <c r="G40" s="218" t="n"/>
    </row>
    <row r="41">
      <c r="E41" s="218" t="n"/>
      <c r="G41" s="218" t="n"/>
    </row>
    <row r="42">
      <c r="E42" s="218" t="n"/>
      <c r="G42" s="218" t="n"/>
    </row>
    <row r="43">
      <c r="E43" s="218" t="n"/>
      <c r="G43" s="218" t="n"/>
    </row>
    <row r="44">
      <c r="E44" s="218" t="n"/>
      <c r="G44" s="218" t="n"/>
    </row>
    <row r="45">
      <c r="E45" s="218" t="n"/>
      <c r="G45" s="218" t="n"/>
    </row>
    <row r="46">
      <c r="E46" s="218" t="n"/>
      <c r="G46" s="218" t="n"/>
    </row>
    <row r="47">
      <c r="E47" s="218" t="n"/>
      <c r="G47" s="218" t="n"/>
    </row>
    <row r="48">
      <c r="E48" s="218" t="n"/>
      <c r="G48" s="218" t="n"/>
    </row>
    <row r="49">
      <c r="E49" s="218" t="n"/>
      <c r="G49" s="218" t="n"/>
    </row>
    <row r="50">
      <c r="E50" s="218" t="n"/>
      <c r="G50" s="218" t="n"/>
    </row>
    <row r="51">
      <c r="E51" s="218" t="n"/>
      <c r="G51" s="218" t="n"/>
    </row>
    <row r="52">
      <c r="E52" s="218" t="n"/>
      <c r="G52" s="218" t="n"/>
    </row>
    <row r="53">
      <c r="E53" s="218" t="n"/>
      <c r="G53" s="218" t="n"/>
    </row>
    <row r="54">
      <c r="E54" s="218" t="n"/>
      <c r="G54" s="218" t="n"/>
    </row>
    <row r="55">
      <c r="E55" s="218" t="n"/>
      <c r="G55" s="218" t="n"/>
    </row>
    <row r="56">
      <c r="E56" s="218" t="n"/>
      <c r="G56" s="218" t="n"/>
    </row>
    <row r="57">
      <c r="E57" s="218" t="n"/>
      <c r="G57" s="218" t="n"/>
    </row>
    <row r="58">
      <c r="E58" s="218" t="n"/>
      <c r="G58" s="218" t="n"/>
    </row>
    <row r="59">
      <c r="E59" s="218" t="n"/>
      <c r="G59" s="218" t="n"/>
    </row>
    <row r="60">
      <c r="E60" s="218" t="n"/>
      <c r="G60" s="218" t="n"/>
    </row>
    <row r="61">
      <c r="E61" s="218" t="n"/>
      <c r="G61" s="218" t="n"/>
    </row>
    <row r="62">
      <c r="E62" s="218" t="n"/>
      <c r="G62" s="218" t="n"/>
    </row>
    <row r="63">
      <c r="E63" s="218" t="n"/>
      <c r="G63" s="218" t="n"/>
    </row>
    <row r="64">
      <c r="E64" s="218" t="n"/>
      <c r="G64" s="218" t="n"/>
    </row>
    <row r="65">
      <c r="E65" s="218" t="n"/>
      <c r="G65" s="218" t="n"/>
    </row>
    <row r="66">
      <c r="E66" s="218" t="n"/>
      <c r="G66" s="218" t="n"/>
    </row>
    <row r="67">
      <c r="E67" s="218" t="n"/>
      <c r="G67" s="218" t="n"/>
    </row>
    <row r="68">
      <c r="E68" s="218" t="n"/>
      <c r="G68" s="218" t="n"/>
    </row>
    <row r="69">
      <c r="E69" s="218" t="n"/>
      <c r="G69" s="218" t="n"/>
    </row>
    <row r="70">
      <c r="E70" s="218" t="n"/>
      <c r="G70" s="218" t="n"/>
    </row>
    <row r="71">
      <c r="E71" s="218" t="n"/>
      <c r="G71" s="218" t="n"/>
    </row>
    <row r="72">
      <c r="E72" s="218" t="n"/>
      <c r="G72" s="218" t="n"/>
    </row>
    <row r="73">
      <c r="E73" s="218" t="n"/>
      <c r="G73" s="218" t="n"/>
    </row>
    <row r="74">
      <c r="E74" s="218" t="n"/>
      <c r="G74" s="218" t="n"/>
    </row>
    <row r="75">
      <c r="E75" s="218" t="n"/>
      <c r="G75" s="218" t="n"/>
    </row>
    <row r="76">
      <c r="E76" s="218" t="n"/>
      <c r="G76" s="218" t="n"/>
    </row>
    <row r="77">
      <c r="E77" s="218" t="n"/>
      <c r="G77" s="218" t="n"/>
    </row>
    <row r="78">
      <c r="E78" s="218" t="n"/>
      <c r="G78" s="218" t="n"/>
    </row>
    <row r="79">
      <c r="E79" s="218" t="n"/>
      <c r="G79" s="218" t="n"/>
    </row>
    <row r="80">
      <c r="E80" s="218" t="n"/>
      <c r="G80" s="218" t="n"/>
    </row>
    <row r="81">
      <c r="E81" s="218" t="n"/>
      <c r="G81" s="218" t="n"/>
    </row>
    <row r="82">
      <c r="E82" s="218" t="n"/>
      <c r="G82" s="218" t="n"/>
    </row>
    <row r="83">
      <c r="E83" s="218" t="n"/>
      <c r="G83" s="218" t="n"/>
    </row>
    <row r="84">
      <c r="E84" s="218" t="n"/>
      <c r="G84" s="218" t="n"/>
    </row>
    <row r="85">
      <c r="E85" s="218" t="n"/>
      <c r="G85" s="218" t="n"/>
    </row>
    <row r="86">
      <c r="E86" s="218" t="n"/>
      <c r="G86" s="218" t="n"/>
    </row>
    <row r="87">
      <c r="E87" s="218" t="n"/>
      <c r="G87" s="218" t="n"/>
    </row>
    <row r="88">
      <c r="E88" s="218" t="n"/>
      <c r="G88" s="218" t="n"/>
    </row>
    <row r="89">
      <c r="E89" s="218" t="n"/>
      <c r="G89" s="218" t="n"/>
    </row>
    <row r="90">
      <c r="E90" s="218" t="n"/>
      <c r="G90" s="218" t="n"/>
    </row>
    <row r="91">
      <c r="E91" s="218" t="n"/>
      <c r="G91" s="218" t="n"/>
    </row>
    <row r="92">
      <c r="E92" s="218" t="n"/>
      <c r="G92" s="218" t="n"/>
    </row>
    <row r="93">
      <c r="E93" s="218" t="n"/>
      <c r="G93" s="218" t="n"/>
    </row>
    <row r="94">
      <c r="E94" s="218" t="n"/>
      <c r="G94" s="218" t="n"/>
    </row>
    <row r="95">
      <c r="E95" s="218" t="n"/>
      <c r="G95" s="218" t="n"/>
    </row>
    <row r="96">
      <c r="E96" s="218" t="n"/>
      <c r="G96" s="218" t="n"/>
    </row>
    <row r="97">
      <c r="E97" s="218" t="n"/>
      <c r="G97" s="218" t="n"/>
    </row>
    <row r="98">
      <c r="E98" s="218" t="n"/>
      <c r="G98" s="218" t="n"/>
    </row>
    <row r="99">
      <c r="E99" s="218" t="n"/>
      <c r="G99" s="218" t="n"/>
    </row>
    <row r="100">
      <c r="E100" s="218" t="n"/>
      <c r="G100" s="218" t="n"/>
    </row>
    <row r="101">
      <c r="E101" s="218" t="n"/>
      <c r="G101" s="218" t="n"/>
    </row>
    <row r="102">
      <c r="E102" s="218" t="n"/>
      <c r="G102" s="218" t="n"/>
    </row>
    <row r="103">
      <c r="E103" s="218" t="n"/>
      <c r="G103" s="218" t="n"/>
    </row>
    <row r="104">
      <c r="E104" s="218" t="n"/>
      <c r="G104" s="218" t="n"/>
    </row>
    <row r="105">
      <c r="E105" s="218" t="n"/>
      <c r="G105" s="218" t="n"/>
    </row>
    <row r="106">
      <c r="E106" s="218" t="n"/>
      <c r="G106" s="218" t="n"/>
    </row>
    <row r="107">
      <c r="E107" s="218" t="n"/>
      <c r="G107" s="218" t="n"/>
    </row>
    <row r="108">
      <c r="E108" s="218" t="n"/>
      <c r="G108" s="218" t="n"/>
    </row>
    <row r="109">
      <c r="E109" s="218" t="n"/>
      <c r="G109" s="218" t="n"/>
    </row>
    <row r="110">
      <c r="E110" s="218" t="n"/>
      <c r="G110" s="218" t="n"/>
    </row>
    <row r="111">
      <c r="E111" s="218" t="n"/>
      <c r="G111" s="218" t="n"/>
    </row>
    <row r="112">
      <c r="E112" s="218" t="n"/>
      <c r="G112" s="218" t="n"/>
    </row>
    <row r="113">
      <c r="E113" s="218" t="n"/>
      <c r="G113" s="218" t="n"/>
    </row>
    <row r="114">
      <c r="E114" s="218" t="n"/>
      <c r="G114" s="218" t="n"/>
    </row>
    <row r="115">
      <c r="E115" s="218" t="n"/>
      <c r="G115" s="218" t="n"/>
    </row>
    <row r="116">
      <c r="E116" s="218" t="n"/>
      <c r="G116" s="218" t="n"/>
    </row>
    <row r="117">
      <c r="E117" s="218" t="n"/>
      <c r="G117" s="218" t="n"/>
    </row>
    <row r="118">
      <c r="E118" s="218" t="n"/>
      <c r="G118" s="218" t="n"/>
    </row>
    <row r="119">
      <c r="E119" s="218" t="n"/>
      <c r="G119" s="218" t="n"/>
    </row>
    <row r="120">
      <c r="E120" s="218" t="n"/>
      <c r="G120" s="218" t="n"/>
    </row>
    <row r="121">
      <c r="E121" s="218" t="n"/>
      <c r="G121" s="218" t="n"/>
    </row>
    <row r="122">
      <c r="E122" s="218" t="n"/>
      <c r="G122" s="218" t="n"/>
    </row>
    <row r="123">
      <c r="E123" s="218" t="n"/>
      <c r="G123" s="218" t="n"/>
    </row>
    <row r="124">
      <c r="E124" s="218" t="n"/>
      <c r="G124" s="218" t="n"/>
    </row>
    <row r="125">
      <c r="E125" s="218" t="n"/>
      <c r="G125" s="218" t="n"/>
    </row>
    <row r="126">
      <c r="E126" s="218" t="n"/>
      <c r="G126" s="218" t="n"/>
    </row>
    <row r="127">
      <c r="E127" s="218" t="n"/>
      <c r="G127" s="218" t="n"/>
    </row>
    <row r="128">
      <c r="E128" s="218" t="n"/>
      <c r="G128" s="218" t="n"/>
    </row>
    <row r="129">
      <c r="E129" s="218" t="n"/>
      <c r="G129" s="218" t="n"/>
    </row>
    <row r="130">
      <c r="E130" s="218" t="n"/>
      <c r="G130" s="218" t="n"/>
    </row>
    <row r="131">
      <c r="E131" s="218" t="n"/>
      <c r="G131" s="218" t="n"/>
    </row>
    <row r="132">
      <c r="E132" s="218" t="n"/>
      <c r="G132" s="218" t="n"/>
    </row>
    <row r="133">
      <c r="E133" s="218" t="n"/>
      <c r="G133" s="218" t="n"/>
    </row>
    <row r="134">
      <c r="E134" s="218" t="n"/>
      <c r="G134" s="218" t="n"/>
    </row>
    <row r="135">
      <c r="E135" s="218" t="n"/>
      <c r="G135" s="218" t="n"/>
    </row>
    <row r="136">
      <c r="E136" s="218" t="n"/>
      <c r="G136" s="218" t="n"/>
    </row>
    <row r="137">
      <c r="E137" s="218" t="n"/>
      <c r="G137" s="218" t="n"/>
    </row>
    <row r="138">
      <c r="E138" s="218" t="n"/>
      <c r="G138" s="218" t="n"/>
    </row>
    <row r="139">
      <c r="E139" s="218" t="n"/>
      <c r="G139" s="218" t="n"/>
    </row>
    <row r="140">
      <c r="E140" s="218" t="n"/>
      <c r="G140" s="218" t="n"/>
    </row>
    <row r="141">
      <c r="E141" s="218" t="n"/>
      <c r="G141" s="218" t="n"/>
    </row>
    <row r="142">
      <c r="E142" s="218" t="n"/>
      <c r="G142" s="218" t="n"/>
    </row>
    <row r="143">
      <c r="E143" s="218" t="n"/>
      <c r="G143" s="218" t="n"/>
    </row>
    <row r="144">
      <c r="E144" s="218" t="n"/>
      <c r="G144" s="218" t="n"/>
    </row>
    <row r="145">
      <c r="E145" s="218" t="n"/>
      <c r="G145" s="218" t="n"/>
    </row>
    <row r="146">
      <c r="E146" s="218" t="n"/>
      <c r="G146" s="218" t="n"/>
    </row>
    <row r="147">
      <c r="E147" s="218" t="n"/>
      <c r="G147" s="218" t="n"/>
    </row>
    <row r="148">
      <c r="E148" s="218" t="n"/>
      <c r="G148" s="218" t="n"/>
    </row>
    <row r="149">
      <c r="E149" s="218" t="n"/>
      <c r="G149" s="218" t="n"/>
    </row>
    <row r="150">
      <c r="E150" s="218" t="n"/>
      <c r="G150" s="218" t="n"/>
    </row>
    <row r="151">
      <c r="E151" s="218" t="n"/>
      <c r="G151" s="218" t="n"/>
    </row>
    <row r="152">
      <c r="E152" s="218" t="n"/>
      <c r="G152" s="218" t="n"/>
    </row>
    <row r="153">
      <c r="E153" s="218" t="n"/>
      <c r="G153" s="218" t="n"/>
    </row>
    <row r="154">
      <c r="E154" s="218" t="n"/>
      <c r="G154" s="218" t="n"/>
    </row>
    <row r="155">
      <c r="E155" s="218" t="n"/>
      <c r="G155" s="218" t="n"/>
    </row>
    <row r="156">
      <c r="E156" s="218" t="n"/>
      <c r="G156" s="218" t="n"/>
    </row>
    <row r="157">
      <c r="E157" s="218" t="n"/>
      <c r="G157" s="218" t="n"/>
    </row>
    <row r="158">
      <c r="E158" s="218" t="n"/>
      <c r="G158" s="218" t="n"/>
    </row>
    <row r="159">
      <c r="E159" s="218" t="n"/>
      <c r="G159" s="218" t="n"/>
    </row>
    <row r="160">
      <c r="E160" s="218" t="n"/>
      <c r="G160" s="218" t="n"/>
    </row>
    <row r="161">
      <c r="E161" s="218" t="n"/>
      <c r="G161" s="218" t="n"/>
    </row>
    <row r="162">
      <c r="E162" s="218" t="n"/>
      <c r="G162" s="218" t="n"/>
    </row>
    <row r="163">
      <c r="E163" s="218" t="n"/>
      <c r="G163" s="218" t="n"/>
    </row>
    <row r="164">
      <c r="E164" s="218" t="n"/>
      <c r="G164" s="218" t="n"/>
    </row>
    <row r="165">
      <c r="E165" s="218" t="n"/>
      <c r="G165" s="218" t="n"/>
    </row>
    <row r="166">
      <c r="E166" s="218" t="n"/>
      <c r="G166" s="218" t="n"/>
    </row>
    <row r="167">
      <c r="E167" s="218" t="n"/>
      <c r="G167" s="218" t="n"/>
    </row>
    <row r="168">
      <c r="E168" s="218" t="n"/>
      <c r="G168" s="218" t="n"/>
    </row>
    <row r="169">
      <c r="E169" s="218" t="n"/>
      <c r="G169" s="218" t="n"/>
    </row>
    <row r="170">
      <c r="E170" s="218" t="n"/>
      <c r="G170" s="218" t="n"/>
    </row>
    <row r="171">
      <c r="E171" s="218" t="n"/>
      <c r="G171" s="218" t="n"/>
    </row>
    <row r="172">
      <c r="E172" s="218" t="n"/>
      <c r="G172" s="218" t="n"/>
    </row>
    <row r="173">
      <c r="E173" s="218" t="n"/>
      <c r="G173" s="218" t="n"/>
    </row>
    <row r="174">
      <c r="E174" s="218" t="n"/>
      <c r="G174" s="218" t="n"/>
    </row>
    <row r="175">
      <c r="E175" s="218" t="n"/>
      <c r="G175" s="218" t="n"/>
    </row>
    <row r="176">
      <c r="E176" s="218" t="n"/>
      <c r="G176" s="218" t="n"/>
    </row>
    <row r="177">
      <c r="E177" s="218" t="n"/>
      <c r="G177" s="218" t="n"/>
    </row>
    <row r="178">
      <c r="E178" s="218" t="n"/>
      <c r="G178" s="218" t="n"/>
    </row>
    <row r="179">
      <c r="E179" s="218" t="n"/>
      <c r="G179" s="218" t="n"/>
    </row>
    <row r="180">
      <c r="E180" s="218" t="n"/>
      <c r="G180" s="218" t="n"/>
    </row>
    <row r="181">
      <c r="E181" s="218" t="n"/>
      <c r="G181" s="218" t="n"/>
    </row>
    <row r="182">
      <c r="E182" s="218" t="n"/>
      <c r="G182" s="218" t="n"/>
    </row>
    <row r="183">
      <c r="E183" s="218" t="n"/>
      <c r="G183" s="218" t="n"/>
    </row>
    <row r="184">
      <c r="E184" s="218" t="n"/>
      <c r="G184" s="218" t="n"/>
    </row>
    <row r="185">
      <c r="E185" s="218" t="n"/>
      <c r="G185" s="218" t="n"/>
    </row>
    <row r="186">
      <c r="E186" s="218" t="n"/>
      <c r="G186" s="218" t="n"/>
    </row>
    <row r="187">
      <c r="E187" s="218" t="n"/>
      <c r="G187" s="218" t="n"/>
    </row>
    <row r="188">
      <c r="E188" s="218" t="n"/>
      <c r="G188" s="218" t="n"/>
    </row>
    <row r="189">
      <c r="E189" s="218" t="n"/>
      <c r="G189" s="218" t="n"/>
    </row>
    <row r="190">
      <c r="E190" s="218" t="n"/>
      <c r="G190" s="218" t="n"/>
    </row>
    <row r="191">
      <c r="E191" s="218" t="n"/>
      <c r="G191" s="218" t="n"/>
    </row>
    <row r="192">
      <c r="E192" s="218" t="n"/>
      <c r="G192" s="218" t="n"/>
    </row>
    <row r="193">
      <c r="E193" s="218" t="n"/>
      <c r="G193" s="218" t="n"/>
    </row>
    <row r="194">
      <c r="E194" s="218" t="n"/>
      <c r="G194" s="218" t="n"/>
    </row>
    <row r="195">
      <c r="E195" s="218" t="n"/>
      <c r="G195" s="218" t="n"/>
    </row>
    <row r="196">
      <c r="E196" s="218" t="n"/>
      <c r="G196" s="218" t="n"/>
    </row>
    <row r="197">
      <c r="E197" s="218" t="n"/>
      <c r="G197" s="218" t="n"/>
    </row>
    <row r="198">
      <c r="E198" s="218" t="n"/>
      <c r="G198" s="218" t="n"/>
    </row>
    <row r="199">
      <c r="E199" s="218" t="n"/>
      <c r="G199" s="218" t="n"/>
    </row>
    <row r="200">
      <c r="E200" s="218" t="n"/>
      <c r="G200" s="218" t="n"/>
    </row>
    <row r="201">
      <c r="E201" s="218" t="n"/>
      <c r="G201" s="218" t="n"/>
    </row>
    <row r="202">
      <c r="E202" s="218" t="n"/>
      <c r="G202" s="218" t="n"/>
    </row>
    <row r="203">
      <c r="E203" s="218" t="n"/>
      <c r="G203" s="218" t="n"/>
    </row>
    <row r="204">
      <c r="E204" s="218" t="n"/>
      <c r="G204" s="218" t="n"/>
    </row>
    <row r="205">
      <c r="E205" s="218" t="n"/>
      <c r="G205" s="218" t="n"/>
    </row>
    <row r="206">
      <c r="E206" s="218" t="n"/>
      <c r="G206" s="218" t="n"/>
    </row>
    <row r="207">
      <c r="E207" s="218" t="n"/>
      <c r="G207" s="218" t="n"/>
    </row>
    <row r="208">
      <c r="E208" s="218" t="n"/>
      <c r="G208" s="218" t="n"/>
    </row>
    <row r="209">
      <c r="E209" s="218" t="n"/>
      <c r="G209" s="218" t="n"/>
    </row>
    <row r="210">
      <c r="E210" s="218" t="n"/>
      <c r="G210" s="218" t="n"/>
    </row>
    <row r="211">
      <c r="E211" s="218" t="n"/>
      <c r="G211" s="218" t="n"/>
    </row>
    <row r="212">
      <c r="E212" s="218" t="n"/>
      <c r="G212" s="218" t="n"/>
    </row>
    <row r="213">
      <c r="E213" s="218" t="n"/>
      <c r="G213" s="218" t="n"/>
    </row>
    <row r="214">
      <c r="E214" s="218" t="n"/>
      <c r="G214" s="218" t="n"/>
    </row>
    <row r="215">
      <c r="E215" s="218" t="n"/>
      <c r="G215" s="218" t="n"/>
    </row>
    <row r="216">
      <c r="E216" s="218" t="n"/>
      <c r="G216" s="218" t="n"/>
    </row>
    <row r="217">
      <c r="E217" s="218" t="n"/>
      <c r="G217" s="218" t="n"/>
    </row>
    <row r="218">
      <c r="E218" s="218" t="n"/>
      <c r="G218" s="218" t="n"/>
    </row>
    <row r="219">
      <c r="E219" s="218" t="n"/>
      <c r="G219" s="218" t="n"/>
    </row>
    <row r="220">
      <c r="E220" s="218" t="n"/>
      <c r="G220" s="218" t="n"/>
    </row>
    <row r="221">
      <c r="E221" s="218" t="n"/>
      <c r="G221" s="218" t="n"/>
    </row>
    <row r="222">
      <c r="E222" s="218" t="n"/>
      <c r="G222" s="218" t="n"/>
    </row>
    <row r="223">
      <c r="E223" s="218" t="n"/>
      <c r="G223" s="218" t="n"/>
    </row>
    <row r="224">
      <c r="E224" s="218" t="n"/>
      <c r="G224" s="218" t="n"/>
    </row>
    <row r="225">
      <c r="E225" s="218" t="n"/>
      <c r="G225" s="218" t="n"/>
    </row>
    <row r="226">
      <c r="E226" s="218" t="n"/>
      <c r="G226" s="218" t="n"/>
    </row>
    <row r="227">
      <c r="E227" s="218" t="n"/>
      <c r="G227" s="218" t="n"/>
    </row>
    <row r="228">
      <c r="E228" s="218" t="n"/>
      <c r="G228" s="218" t="n"/>
    </row>
    <row r="229">
      <c r="E229" s="218" t="n"/>
      <c r="G229" s="218" t="n"/>
    </row>
    <row r="230">
      <c r="E230" s="218" t="n"/>
      <c r="G230" s="218" t="n"/>
    </row>
    <row r="231">
      <c r="E231" s="218" t="n"/>
      <c r="G231" s="218" t="n"/>
    </row>
    <row r="232">
      <c r="E232" s="218" t="n"/>
      <c r="G232" s="218" t="n"/>
    </row>
    <row r="233">
      <c r="E233" s="218" t="n"/>
      <c r="G233" s="218" t="n"/>
    </row>
    <row r="234">
      <c r="E234" s="218" t="n"/>
      <c r="G234" s="218" t="n"/>
    </row>
    <row r="235">
      <c r="E235" s="218" t="n"/>
      <c r="G235" s="218" t="n"/>
    </row>
    <row r="236">
      <c r="E236" s="218" t="n"/>
      <c r="G236" s="218" t="n"/>
    </row>
    <row r="237">
      <c r="E237" s="218" t="n"/>
      <c r="G237" s="218" t="n"/>
    </row>
    <row r="238">
      <c r="E238" s="218" t="n"/>
      <c r="G238" s="218" t="n"/>
    </row>
    <row r="239">
      <c r="E239" s="218" t="n"/>
      <c r="G239" s="218" t="n"/>
    </row>
    <row r="240">
      <c r="E240" s="218" t="n"/>
      <c r="G240" s="218" t="n"/>
    </row>
    <row r="241">
      <c r="E241" s="218" t="n"/>
      <c r="G241" s="218" t="n"/>
    </row>
    <row r="242">
      <c r="E242" s="218" t="n"/>
      <c r="G242" s="218" t="n"/>
    </row>
    <row r="243">
      <c r="E243" s="218" t="n"/>
      <c r="G243" s="218" t="n"/>
    </row>
    <row r="244">
      <c r="E244" s="218" t="n"/>
      <c r="G244" s="218" t="n"/>
    </row>
    <row r="245">
      <c r="E245" s="218" t="n"/>
      <c r="G245" s="218" t="n"/>
    </row>
    <row r="246">
      <c r="E246" s="218" t="n"/>
      <c r="G246" s="218" t="n"/>
    </row>
    <row r="247">
      <c r="E247" s="218" t="n"/>
      <c r="G247" s="218" t="n"/>
    </row>
    <row r="248">
      <c r="E248" s="218" t="n"/>
      <c r="G248" s="218" t="n"/>
    </row>
    <row r="249">
      <c r="E249" s="218" t="n"/>
      <c r="G249" s="218" t="n"/>
    </row>
    <row r="250">
      <c r="E250" s="218" t="n"/>
      <c r="G250" s="218" t="n"/>
    </row>
    <row r="251">
      <c r="E251" s="218" t="n"/>
      <c r="G251" s="218" t="n"/>
    </row>
    <row r="252">
      <c r="E252" s="218" t="n"/>
      <c r="G252" s="218" t="n"/>
    </row>
    <row r="253">
      <c r="E253" s="218" t="n"/>
      <c r="G253" s="218" t="n"/>
    </row>
    <row r="254">
      <c r="E254" s="218" t="n"/>
      <c r="G254" s="218" t="n"/>
    </row>
    <row r="255">
      <c r="E255" s="218" t="n"/>
      <c r="G255" s="218" t="n"/>
    </row>
    <row r="256">
      <c r="E256" s="218" t="n"/>
      <c r="G256" s="218" t="n"/>
    </row>
    <row r="257">
      <c r="E257" s="218" t="n"/>
      <c r="G257" s="218" t="n"/>
    </row>
    <row r="258">
      <c r="E258" s="218" t="n"/>
      <c r="G258" s="218" t="n"/>
    </row>
    <row r="259">
      <c r="E259" s="218" t="n"/>
      <c r="G259" s="218" t="n"/>
    </row>
    <row r="260">
      <c r="E260" s="218" t="n"/>
      <c r="G260" s="218" t="n"/>
    </row>
    <row r="261">
      <c r="E261" s="218" t="n"/>
      <c r="G261" s="218" t="n"/>
    </row>
    <row r="262">
      <c r="E262" s="218" t="n"/>
      <c r="G262" s="218" t="n"/>
    </row>
    <row r="263">
      <c r="E263" s="218" t="n"/>
      <c r="G263" s="218" t="n"/>
    </row>
    <row r="264">
      <c r="E264" s="218" t="n"/>
      <c r="G264" s="218" t="n"/>
    </row>
    <row r="265">
      <c r="E265" s="218" t="n"/>
      <c r="G265" s="218" t="n"/>
    </row>
    <row r="266">
      <c r="E266" s="218" t="n"/>
      <c r="G266" s="218" t="n"/>
    </row>
    <row r="267">
      <c r="E267" s="218" t="n"/>
      <c r="G267" s="218" t="n"/>
    </row>
    <row r="268">
      <c r="E268" s="218" t="n"/>
      <c r="G268" s="218" t="n"/>
    </row>
    <row r="269">
      <c r="E269" s="218" t="n"/>
      <c r="G269" s="218" t="n"/>
    </row>
    <row r="270">
      <c r="E270" s="218" t="n"/>
      <c r="G270" s="218" t="n"/>
    </row>
    <row r="271">
      <c r="E271" s="218" t="n"/>
      <c r="G271" s="218" t="n"/>
    </row>
    <row r="272">
      <c r="E272" s="218" t="n"/>
      <c r="G272" s="218" t="n"/>
    </row>
    <row r="273">
      <c r="E273" s="218" t="n"/>
      <c r="G273" s="218" t="n"/>
    </row>
    <row r="274">
      <c r="E274" s="218" t="n"/>
      <c r="G274" s="218" t="n"/>
    </row>
    <row r="275">
      <c r="E275" s="218" t="n"/>
      <c r="G275" s="218" t="n"/>
    </row>
    <row r="276">
      <c r="E276" s="218" t="n"/>
      <c r="G276" s="218" t="n"/>
    </row>
    <row r="277">
      <c r="E277" s="218" t="n"/>
      <c r="G277" s="218" t="n"/>
    </row>
    <row r="278">
      <c r="E278" s="218" t="n"/>
      <c r="G278" s="218" t="n"/>
    </row>
    <row r="279">
      <c r="E279" s="218" t="n"/>
      <c r="G279" s="218" t="n"/>
    </row>
    <row r="280">
      <c r="E280" s="218" t="n"/>
      <c r="G280" s="218" t="n"/>
    </row>
    <row r="281">
      <c r="E281" s="218" t="n"/>
      <c r="G281" s="218" t="n"/>
    </row>
    <row r="282">
      <c r="E282" s="218" t="n"/>
      <c r="G282" s="218" t="n"/>
    </row>
    <row r="283">
      <c r="E283" s="218" t="n"/>
      <c r="G283" s="218" t="n"/>
    </row>
    <row r="284">
      <c r="E284" s="218" t="n"/>
      <c r="G284" s="218" t="n"/>
    </row>
    <row r="285">
      <c r="E285" s="218" t="n"/>
      <c r="G285" s="218" t="n"/>
    </row>
    <row r="286">
      <c r="E286" s="218" t="n"/>
      <c r="G286" s="218" t="n"/>
    </row>
    <row r="287">
      <c r="E287" s="218" t="n"/>
      <c r="G287" s="218" t="n"/>
    </row>
    <row r="288">
      <c r="E288" s="218" t="n"/>
      <c r="G288" s="218" t="n"/>
    </row>
    <row r="289">
      <c r="E289" s="218" t="n"/>
      <c r="G289" s="218" t="n"/>
    </row>
    <row r="290">
      <c r="E290" s="218" t="n"/>
      <c r="G290" s="218" t="n"/>
    </row>
    <row r="291">
      <c r="E291" s="218" t="n"/>
      <c r="G291" s="218" t="n"/>
    </row>
    <row r="292">
      <c r="E292" s="218" t="n"/>
      <c r="G292" s="218" t="n"/>
    </row>
    <row r="293">
      <c r="E293" s="218" t="n"/>
      <c r="G293" s="218" t="n"/>
    </row>
    <row r="294">
      <c r="E294" s="218" t="n"/>
      <c r="G294" s="218" t="n"/>
    </row>
    <row r="295">
      <c r="E295" s="218" t="n"/>
      <c r="G295" s="218" t="n"/>
    </row>
    <row r="296">
      <c r="E296" s="218" t="n"/>
      <c r="G296" s="218" t="n"/>
    </row>
    <row r="297">
      <c r="E297" s="218" t="n"/>
      <c r="G297" s="218" t="n"/>
    </row>
    <row r="298">
      <c r="E298" s="218" t="n"/>
      <c r="G298" s="218" t="n"/>
    </row>
    <row r="299">
      <c r="E299" s="218" t="n"/>
      <c r="G299" s="218" t="n"/>
    </row>
    <row r="300">
      <c r="E300" s="218" t="n"/>
      <c r="G300" s="218" t="n"/>
    </row>
    <row r="301">
      <c r="E301" s="218" t="n"/>
      <c r="G301" s="218" t="n"/>
    </row>
    <row r="302">
      <c r="E302" s="218" t="n"/>
      <c r="G302" s="218" t="n"/>
    </row>
    <row r="303">
      <c r="E303" s="218" t="n"/>
      <c r="G303" s="218" t="n"/>
    </row>
    <row r="304">
      <c r="E304" s="218" t="n"/>
      <c r="G304" s="218" t="n"/>
    </row>
    <row r="305">
      <c r="E305" s="218" t="n"/>
      <c r="G305" s="218" t="n"/>
    </row>
    <row r="306">
      <c r="E306" s="218" t="n"/>
      <c r="G306" s="218" t="n"/>
    </row>
    <row r="307">
      <c r="E307" s="218" t="n"/>
      <c r="G307" s="218" t="n"/>
    </row>
    <row r="308">
      <c r="E308" s="218" t="n"/>
      <c r="G308" s="218" t="n"/>
    </row>
    <row r="309">
      <c r="E309" s="218" t="n"/>
      <c r="G309" s="218" t="n"/>
    </row>
    <row r="310">
      <c r="E310" s="218" t="n"/>
      <c r="G310" s="218" t="n"/>
    </row>
    <row r="311">
      <c r="E311" s="218" t="n"/>
      <c r="G311" s="218" t="n"/>
    </row>
    <row r="312">
      <c r="E312" s="218" t="n"/>
      <c r="G312" s="218" t="n"/>
    </row>
    <row r="313">
      <c r="E313" s="218" t="n"/>
      <c r="G313" s="218" t="n"/>
    </row>
    <row r="314">
      <c r="E314" s="218" t="n"/>
      <c r="G314" s="218" t="n"/>
    </row>
    <row r="315">
      <c r="E315" s="218" t="n"/>
      <c r="G315" s="218" t="n"/>
    </row>
    <row r="316">
      <c r="E316" s="218" t="n"/>
      <c r="G316" s="218" t="n"/>
    </row>
    <row r="317">
      <c r="E317" s="218" t="n"/>
      <c r="G317" s="218" t="n"/>
    </row>
    <row r="318">
      <c r="E318" s="218" t="n"/>
      <c r="G318" s="218" t="n"/>
    </row>
    <row r="319">
      <c r="E319" s="218" t="n"/>
      <c r="G319" s="218" t="n"/>
    </row>
    <row r="320">
      <c r="E320" s="218" t="n"/>
      <c r="G320" s="218" t="n"/>
    </row>
    <row r="321">
      <c r="E321" s="218" t="n"/>
      <c r="G321" s="218" t="n"/>
    </row>
    <row r="322">
      <c r="E322" s="218" t="n"/>
      <c r="G322" s="218" t="n"/>
    </row>
    <row r="323">
      <c r="E323" s="218" t="n"/>
      <c r="G323" s="218" t="n"/>
    </row>
    <row r="324">
      <c r="E324" s="218" t="n"/>
      <c r="G324" s="218" t="n"/>
    </row>
    <row r="325">
      <c r="E325" s="218" t="n"/>
      <c r="G325" s="218" t="n"/>
    </row>
    <row r="326">
      <c r="E326" s="218" t="n"/>
      <c r="G326" s="218" t="n"/>
    </row>
    <row r="327">
      <c r="E327" s="218" t="n"/>
      <c r="G327" s="218" t="n"/>
    </row>
    <row r="328">
      <c r="E328" s="218" t="n"/>
      <c r="G328" s="218" t="n"/>
    </row>
    <row r="329">
      <c r="E329" s="218" t="n"/>
      <c r="G329" s="218" t="n"/>
    </row>
    <row r="330">
      <c r="E330" s="218" t="n"/>
      <c r="G330" s="218" t="n"/>
    </row>
    <row r="331">
      <c r="E331" s="218" t="n"/>
      <c r="G331" s="218" t="n"/>
    </row>
    <row r="332">
      <c r="E332" s="218" t="n"/>
      <c r="G332" s="218" t="n"/>
    </row>
    <row r="333">
      <c r="E333" s="218" t="n"/>
      <c r="G333" s="218" t="n"/>
    </row>
    <row r="334">
      <c r="E334" s="218" t="n"/>
      <c r="G334" s="218" t="n"/>
    </row>
    <row r="335">
      <c r="E335" s="218" t="n"/>
      <c r="G335" s="218" t="n"/>
    </row>
    <row r="336">
      <c r="E336" s="218" t="n"/>
      <c r="G336" s="218" t="n"/>
    </row>
    <row r="337">
      <c r="E337" s="218" t="n"/>
      <c r="G337" s="218" t="n"/>
    </row>
    <row r="338">
      <c r="E338" s="218" t="n"/>
      <c r="G338" s="218" t="n"/>
    </row>
    <row r="339">
      <c r="E339" s="218" t="n"/>
      <c r="G339" s="218" t="n"/>
    </row>
    <row r="340">
      <c r="E340" s="218" t="n"/>
      <c r="G340" s="218" t="n"/>
    </row>
    <row r="341">
      <c r="E341" s="218" t="n"/>
      <c r="G341" s="218" t="n"/>
    </row>
    <row r="342">
      <c r="E342" s="218" t="n"/>
      <c r="G342" s="218" t="n"/>
    </row>
    <row r="343">
      <c r="E343" s="218" t="n"/>
      <c r="G343" s="218" t="n"/>
    </row>
    <row r="344">
      <c r="E344" s="218" t="n"/>
      <c r="G344" s="218" t="n"/>
    </row>
    <row r="345">
      <c r="E345" s="218" t="n"/>
      <c r="G345" s="218" t="n"/>
    </row>
    <row r="346">
      <c r="E346" s="218" t="n"/>
      <c r="G346" s="218" t="n"/>
    </row>
    <row r="347">
      <c r="E347" s="218" t="n"/>
      <c r="G347" s="218" t="n"/>
    </row>
    <row r="348">
      <c r="E348" s="218" t="n"/>
      <c r="G348" s="218" t="n"/>
    </row>
    <row r="349">
      <c r="E349" s="218" t="n"/>
      <c r="G349" s="218" t="n"/>
    </row>
    <row r="350">
      <c r="E350" s="218" t="n"/>
      <c r="G350" s="218" t="n"/>
    </row>
    <row r="351">
      <c r="E351" s="218" t="n"/>
      <c r="G351" s="218" t="n"/>
    </row>
    <row r="352">
      <c r="E352" s="218" t="n"/>
      <c r="G352" s="218" t="n"/>
    </row>
    <row r="353">
      <c r="E353" s="218" t="n"/>
      <c r="G353" s="218" t="n"/>
    </row>
    <row r="354">
      <c r="E354" s="218" t="n"/>
      <c r="G354" s="218" t="n"/>
    </row>
    <row r="355">
      <c r="E355" s="218" t="n"/>
      <c r="G355" s="218" t="n"/>
    </row>
    <row r="356">
      <c r="E356" s="218" t="n"/>
      <c r="G356" s="218" t="n"/>
    </row>
    <row r="357">
      <c r="E357" s="218" t="n"/>
      <c r="G357" s="218" t="n"/>
    </row>
    <row r="358">
      <c r="E358" s="218" t="n"/>
      <c r="G358" s="218" t="n"/>
    </row>
    <row r="359">
      <c r="E359" s="218" t="n"/>
      <c r="G359" s="218" t="n"/>
    </row>
    <row r="360">
      <c r="E360" s="218" t="n"/>
      <c r="G360" s="218" t="n"/>
    </row>
    <row r="361">
      <c r="E361" s="218" t="n"/>
      <c r="G361" s="218" t="n"/>
    </row>
    <row r="362">
      <c r="E362" s="218" t="n"/>
      <c r="G362" s="218" t="n"/>
    </row>
    <row r="363">
      <c r="E363" s="218" t="n"/>
      <c r="G363" s="218" t="n"/>
    </row>
    <row r="364">
      <c r="E364" s="218" t="n"/>
      <c r="G364" s="218" t="n"/>
    </row>
    <row r="365">
      <c r="E365" s="218" t="n"/>
      <c r="G365" s="218" t="n"/>
    </row>
    <row r="366">
      <c r="E366" s="218" t="n"/>
      <c r="G366" s="218" t="n"/>
    </row>
    <row r="367">
      <c r="E367" s="218" t="n"/>
      <c r="G367" s="218" t="n"/>
    </row>
    <row r="368">
      <c r="E368" s="218" t="n"/>
      <c r="G368" s="218" t="n"/>
    </row>
    <row r="369">
      <c r="E369" s="218" t="n"/>
      <c r="G369" s="218" t="n"/>
    </row>
    <row r="370">
      <c r="E370" s="218" t="n"/>
      <c r="G370" s="218" t="n"/>
    </row>
    <row r="371">
      <c r="E371" s="218" t="n"/>
      <c r="G371" s="218" t="n"/>
    </row>
    <row r="372">
      <c r="E372" s="218" t="n"/>
      <c r="G372" s="218" t="n"/>
    </row>
    <row r="373">
      <c r="E373" s="218" t="n"/>
      <c r="G373" s="218" t="n"/>
    </row>
    <row r="374">
      <c r="E374" s="218" t="n"/>
      <c r="G374" s="218" t="n"/>
    </row>
    <row r="375">
      <c r="E375" s="218" t="n"/>
      <c r="G375" s="218" t="n"/>
    </row>
    <row r="376">
      <c r="E376" s="218" t="n"/>
      <c r="G376" s="218" t="n"/>
    </row>
    <row r="377">
      <c r="E377" s="218" t="n"/>
      <c r="G377" s="218" t="n"/>
    </row>
    <row r="378">
      <c r="E378" s="218" t="n"/>
      <c r="G378" s="218" t="n"/>
    </row>
    <row r="379">
      <c r="E379" s="218" t="n"/>
      <c r="G379" s="218" t="n"/>
    </row>
    <row r="380">
      <c r="E380" s="218" t="n"/>
      <c r="G380" s="218" t="n"/>
    </row>
    <row r="381">
      <c r="E381" s="218" t="n"/>
      <c r="G381" s="218" t="n"/>
    </row>
    <row r="382">
      <c r="E382" s="218" t="n"/>
      <c r="G382" s="218" t="n"/>
    </row>
    <row r="383">
      <c r="E383" s="218" t="n"/>
      <c r="G383" s="218" t="n"/>
    </row>
    <row r="384">
      <c r="E384" s="218" t="n"/>
      <c r="G384" s="218" t="n"/>
    </row>
    <row r="385">
      <c r="E385" s="218" t="n"/>
      <c r="G385" s="218" t="n"/>
    </row>
    <row r="386">
      <c r="E386" s="218" t="n"/>
      <c r="G386" s="218" t="n"/>
    </row>
    <row r="387">
      <c r="E387" s="218" t="n"/>
      <c r="G387" s="218" t="n"/>
    </row>
    <row r="388">
      <c r="E388" s="218" t="n"/>
      <c r="G388" s="218" t="n"/>
    </row>
    <row r="389">
      <c r="E389" s="218" t="n"/>
      <c r="G389" s="218" t="n"/>
    </row>
    <row r="390">
      <c r="E390" s="218" t="n"/>
      <c r="G390" s="218" t="n"/>
    </row>
    <row r="391">
      <c r="E391" s="218" t="n"/>
      <c r="G391" s="218" t="n"/>
    </row>
    <row r="392">
      <c r="E392" s="218" t="n"/>
      <c r="G392" s="218" t="n"/>
    </row>
    <row r="393">
      <c r="E393" s="218" t="n"/>
      <c r="G393" s="218" t="n"/>
    </row>
    <row r="394">
      <c r="E394" s="218" t="n"/>
      <c r="G394" s="218" t="n"/>
    </row>
    <row r="395">
      <c r="E395" s="218" t="n"/>
      <c r="G395" s="218" t="n"/>
    </row>
    <row r="396">
      <c r="E396" s="218" t="n"/>
      <c r="G396" s="218" t="n"/>
    </row>
    <row r="397">
      <c r="E397" s="218" t="n"/>
      <c r="G397" s="218" t="n"/>
    </row>
    <row r="398">
      <c r="E398" s="218" t="n"/>
      <c r="G398" s="218" t="n"/>
    </row>
    <row r="399">
      <c r="E399" s="218" t="n"/>
      <c r="G399" s="218" t="n"/>
    </row>
    <row r="400">
      <c r="E400" s="218" t="n"/>
      <c r="G400" s="218" t="n"/>
    </row>
    <row r="401">
      <c r="E401" s="218" t="n"/>
      <c r="G401" s="218" t="n"/>
    </row>
    <row r="402">
      <c r="E402" s="218" t="n"/>
      <c r="G402" s="218" t="n"/>
    </row>
    <row r="403">
      <c r="E403" s="218" t="n"/>
      <c r="G403" s="218" t="n"/>
    </row>
    <row r="404">
      <c r="E404" s="218" t="n"/>
      <c r="G404" s="218" t="n"/>
    </row>
    <row r="405">
      <c r="E405" s="218" t="n"/>
      <c r="G405" s="218" t="n"/>
    </row>
    <row r="406">
      <c r="E406" s="218" t="n"/>
      <c r="G406" s="218" t="n"/>
    </row>
    <row r="407">
      <c r="E407" s="218" t="n"/>
      <c r="G407" s="218" t="n"/>
    </row>
    <row r="408">
      <c r="E408" s="218" t="n"/>
      <c r="G408" s="218" t="n"/>
    </row>
    <row r="409">
      <c r="E409" s="218" t="n"/>
      <c r="G409" s="218" t="n"/>
    </row>
    <row r="410">
      <c r="E410" s="218" t="n"/>
      <c r="G410" s="218" t="n"/>
    </row>
    <row r="411">
      <c r="E411" s="218" t="n"/>
      <c r="G411" s="218" t="n"/>
    </row>
    <row r="412">
      <c r="E412" s="218" t="n"/>
      <c r="G412" s="218" t="n"/>
    </row>
    <row r="413">
      <c r="E413" s="218" t="n"/>
      <c r="G413" s="218" t="n"/>
    </row>
    <row r="414">
      <c r="E414" s="218" t="n"/>
      <c r="G414" s="218" t="n"/>
    </row>
    <row r="415">
      <c r="E415" s="218" t="n"/>
      <c r="G415" s="218" t="n"/>
    </row>
    <row r="416">
      <c r="E416" s="218" t="n"/>
      <c r="G416" s="218" t="n"/>
    </row>
    <row r="417">
      <c r="E417" s="218" t="n"/>
      <c r="G417" s="218" t="n"/>
    </row>
    <row r="418">
      <c r="E418" s="218" t="n"/>
      <c r="G418" s="218" t="n"/>
    </row>
    <row r="419">
      <c r="E419" s="218" t="n"/>
      <c r="G419" s="218" t="n"/>
    </row>
    <row r="420">
      <c r="E420" s="218" t="n"/>
      <c r="G420" s="218" t="n"/>
    </row>
    <row r="421">
      <c r="E421" s="218" t="n"/>
      <c r="G421" s="218" t="n"/>
    </row>
    <row r="422">
      <c r="E422" s="218" t="n"/>
      <c r="G422" s="218" t="n"/>
    </row>
    <row r="423">
      <c r="E423" s="218" t="n"/>
      <c r="G423" s="218" t="n"/>
    </row>
    <row r="424">
      <c r="E424" s="218" t="n"/>
      <c r="G424" s="218" t="n"/>
    </row>
    <row r="425">
      <c r="E425" s="218" t="n"/>
      <c r="G425" s="218" t="n"/>
    </row>
    <row r="426">
      <c r="E426" s="218" t="n"/>
      <c r="G426" s="218" t="n"/>
    </row>
    <row r="427">
      <c r="E427" s="218" t="n"/>
      <c r="G427" s="218" t="n"/>
    </row>
    <row r="428">
      <c r="E428" s="218" t="n"/>
      <c r="G428" s="218" t="n"/>
    </row>
    <row r="429">
      <c r="E429" s="218" t="n"/>
      <c r="G429" s="218" t="n"/>
    </row>
    <row r="430">
      <c r="E430" s="218" t="n"/>
      <c r="G430" s="218" t="n"/>
    </row>
    <row r="431">
      <c r="E431" s="218" t="n"/>
      <c r="G431" s="218" t="n"/>
    </row>
    <row r="432">
      <c r="E432" s="218" t="n"/>
      <c r="G432" s="218" t="n"/>
    </row>
    <row r="433">
      <c r="E433" s="218" t="n"/>
      <c r="G433" s="218" t="n"/>
    </row>
    <row r="434">
      <c r="E434" s="218" t="n"/>
      <c r="G434" s="218" t="n"/>
    </row>
    <row r="435">
      <c r="E435" s="218" t="n"/>
      <c r="G435" s="218" t="n"/>
    </row>
    <row r="436">
      <c r="E436" s="218" t="n"/>
      <c r="G436" s="218" t="n"/>
    </row>
    <row r="437">
      <c r="E437" s="218" t="n"/>
      <c r="G437" s="218" t="n"/>
    </row>
    <row r="438">
      <c r="E438" s="218" t="n"/>
      <c r="G438" s="218" t="n"/>
    </row>
    <row r="439">
      <c r="E439" s="218" t="n"/>
      <c r="G439" s="218" t="n"/>
    </row>
    <row r="440">
      <c r="E440" s="218" t="n"/>
      <c r="G440" s="218" t="n"/>
    </row>
    <row r="441">
      <c r="E441" s="218" t="n"/>
      <c r="G441" s="218" t="n"/>
    </row>
    <row r="442">
      <c r="E442" s="218" t="n"/>
      <c r="G442" s="218" t="n"/>
    </row>
    <row r="443">
      <c r="E443" s="218" t="n"/>
      <c r="G443" s="218" t="n"/>
    </row>
    <row r="444">
      <c r="E444" s="218" t="n"/>
      <c r="G444" s="218" t="n"/>
    </row>
    <row r="445">
      <c r="E445" s="218" t="n"/>
      <c r="G445" s="218" t="n"/>
    </row>
    <row r="446">
      <c r="E446" s="218" t="n"/>
      <c r="G446" s="218" t="n"/>
    </row>
    <row r="447">
      <c r="E447" s="218" t="n"/>
      <c r="G447" s="218" t="n"/>
    </row>
    <row r="448">
      <c r="E448" s="218" t="n"/>
      <c r="G448" s="218" t="n"/>
    </row>
    <row r="449">
      <c r="E449" s="218" t="n"/>
      <c r="G449" s="218" t="n"/>
    </row>
    <row r="450">
      <c r="E450" s="218" t="n"/>
      <c r="G450" s="218" t="n"/>
    </row>
    <row r="451">
      <c r="E451" s="218" t="n"/>
      <c r="G451" s="218" t="n"/>
    </row>
    <row r="452">
      <c r="E452" s="218" t="n"/>
      <c r="G452" s="218" t="n"/>
    </row>
    <row r="453">
      <c r="E453" s="218" t="n"/>
      <c r="G453" s="218" t="n"/>
    </row>
    <row r="454">
      <c r="E454" s="218" t="n"/>
      <c r="G454" s="218" t="n"/>
    </row>
    <row r="455">
      <c r="E455" s="218" t="n"/>
      <c r="G455" s="218" t="n"/>
    </row>
    <row r="456">
      <c r="E456" s="218" t="n"/>
      <c r="G456" s="218" t="n"/>
    </row>
    <row r="457">
      <c r="E457" s="218" t="n"/>
      <c r="G457" s="218" t="n"/>
    </row>
    <row r="458">
      <c r="E458" s="218" t="n"/>
      <c r="G458" s="218" t="n"/>
    </row>
    <row r="459">
      <c r="E459" s="218" t="n"/>
      <c r="G459" s="218" t="n"/>
    </row>
    <row r="460">
      <c r="E460" s="218" t="n"/>
      <c r="G460" s="218" t="n"/>
    </row>
    <row r="461">
      <c r="E461" s="218" t="n"/>
      <c r="G461" s="218" t="n"/>
    </row>
    <row r="462">
      <c r="E462" s="218" t="n"/>
      <c r="G462" s="218" t="n"/>
    </row>
    <row r="463">
      <c r="E463" s="218" t="n"/>
      <c r="G463" s="218" t="n"/>
    </row>
    <row r="464">
      <c r="E464" s="218" t="n"/>
      <c r="G464" s="218" t="n"/>
    </row>
    <row r="465">
      <c r="E465" s="218" t="n"/>
      <c r="G465" s="218" t="n"/>
    </row>
    <row r="466">
      <c r="E466" s="218" t="n"/>
      <c r="G466" s="218" t="n"/>
    </row>
    <row r="467">
      <c r="E467" s="218" t="n"/>
      <c r="G467" s="218" t="n"/>
    </row>
    <row r="468">
      <c r="E468" s="218" t="n"/>
      <c r="G468" s="218" t="n"/>
    </row>
    <row r="469">
      <c r="E469" s="218" t="n"/>
      <c r="G469" s="218" t="n"/>
    </row>
    <row r="470">
      <c r="E470" s="218" t="n"/>
      <c r="G470" s="218" t="n"/>
    </row>
    <row r="471">
      <c r="E471" s="218" t="n"/>
      <c r="G471" s="218" t="n"/>
    </row>
    <row r="472">
      <c r="E472" s="218" t="n"/>
      <c r="G472" s="218" t="n"/>
    </row>
    <row r="473">
      <c r="E473" s="218" t="n"/>
      <c r="G473" s="218" t="n"/>
    </row>
    <row r="474">
      <c r="E474" s="218" t="n"/>
      <c r="G474" s="218" t="n"/>
    </row>
    <row r="475">
      <c r="E475" s="218" t="n"/>
      <c r="G475" s="218" t="n"/>
    </row>
    <row r="476">
      <c r="E476" s="218" t="n"/>
      <c r="G476" s="218" t="n"/>
    </row>
    <row r="477">
      <c r="E477" s="218" t="n"/>
      <c r="G477" s="218" t="n"/>
    </row>
    <row r="478">
      <c r="E478" s="218" t="n"/>
      <c r="G478" s="218" t="n"/>
    </row>
    <row r="479">
      <c r="E479" s="218" t="n"/>
      <c r="G479" s="218" t="n"/>
    </row>
    <row r="480">
      <c r="E480" s="218" t="n"/>
      <c r="G480" s="218" t="n"/>
    </row>
    <row r="481">
      <c r="E481" s="218" t="n"/>
      <c r="G481" s="218" t="n"/>
    </row>
    <row r="482">
      <c r="E482" s="218" t="n"/>
      <c r="G482" s="218" t="n"/>
    </row>
    <row r="483">
      <c r="E483" s="218" t="n"/>
      <c r="G483" s="218" t="n"/>
    </row>
    <row r="484">
      <c r="E484" s="218" t="n"/>
      <c r="G484" s="218" t="n"/>
    </row>
    <row r="485">
      <c r="E485" s="218" t="n"/>
      <c r="G485" s="218" t="n"/>
    </row>
    <row r="486">
      <c r="E486" s="218" t="n"/>
      <c r="G486" s="218" t="n"/>
    </row>
    <row r="487">
      <c r="E487" s="218" t="n"/>
      <c r="G487" s="218" t="n"/>
    </row>
    <row r="488">
      <c r="E488" s="218" t="n"/>
      <c r="G488" s="218" t="n"/>
    </row>
    <row r="489">
      <c r="E489" s="218" t="n"/>
      <c r="G489" s="218" t="n"/>
    </row>
    <row r="490">
      <c r="E490" s="218" t="n"/>
      <c r="G490" s="218" t="n"/>
    </row>
    <row r="491">
      <c r="E491" s="218" t="n"/>
      <c r="G491" s="218" t="n"/>
    </row>
    <row r="492">
      <c r="E492" s="218" t="n"/>
      <c r="G492" s="218" t="n"/>
    </row>
    <row r="493">
      <c r="E493" s="218" t="n"/>
      <c r="G493" s="218" t="n"/>
    </row>
    <row r="494">
      <c r="E494" s="218" t="n"/>
      <c r="G494" s="218" t="n"/>
    </row>
    <row r="495">
      <c r="E495" s="218" t="n"/>
      <c r="G495" s="218" t="n"/>
    </row>
    <row r="496">
      <c r="E496" s="218" t="n"/>
      <c r="G496" s="218" t="n"/>
    </row>
    <row r="497">
      <c r="E497" s="218" t="n"/>
      <c r="G497" s="218" t="n"/>
    </row>
    <row r="498">
      <c r="E498" s="218" t="n"/>
      <c r="G498" s="218" t="n"/>
    </row>
    <row r="499">
      <c r="E499" s="218" t="n"/>
      <c r="G499" s="218" t="n"/>
    </row>
    <row r="500">
      <c r="E500" s="218" t="n"/>
      <c r="G500" s="218" t="n"/>
    </row>
    <row r="501">
      <c r="E501" s="218" t="n"/>
      <c r="G501" s="218" t="n"/>
    </row>
    <row r="502">
      <c r="E502" s="218" t="n"/>
      <c r="G502" s="218" t="n"/>
    </row>
    <row r="503">
      <c r="E503" s="218" t="n"/>
      <c r="G503" s="218" t="n"/>
    </row>
    <row r="504">
      <c r="E504" s="218" t="n"/>
      <c r="G504" s="218" t="n"/>
    </row>
    <row r="505">
      <c r="E505" s="218" t="n"/>
      <c r="G505" s="218" t="n"/>
    </row>
    <row r="506">
      <c r="E506" s="218" t="n"/>
      <c r="G506" s="218" t="n"/>
    </row>
    <row r="507">
      <c r="E507" s="218" t="n"/>
      <c r="G507" s="218" t="n"/>
    </row>
    <row r="508">
      <c r="E508" s="218" t="n"/>
      <c r="G508" s="218" t="n"/>
    </row>
    <row r="509">
      <c r="E509" s="218" t="n"/>
      <c r="G509" s="218" t="n"/>
    </row>
    <row r="510">
      <c r="E510" s="218" t="n"/>
      <c r="G510" s="218" t="n"/>
    </row>
    <row r="511">
      <c r="E511" s="218" t="n"/>
      <c r="G511" s="218" t="n"/>
    </row>
    <row r="512">
      <c r="E512" s="218" t="n"/>
      <c r="G512" s="218" t="n"/>
    </row>
    <row r="513">
      <c r="E513" s="218" t="n"/>
      <c r="G513" s="218" t="n"/>
    </row>
    <row r="514">
      <c r="E514" s="218" t="n"/>
      <c r="G514" s="218" t="n"/>
    </row>
    <row r="515">
      <c r="E515" s="218" t="n"/>
      <c r="G515" s="218" t="n"/>
    </row>
    <row r="516">
      <c r="E516" s="218" t="n"/>
      <c r="G516" s="218" t="n"/>
    </row>
    <row r="517">
      <c r="E517" s="218" t="n"/>
      <c r="G517" s="218" t="n"/>
    </row>
    <row r="518">
      <c r="E518" s="218" t="n"/>
      <c r="G518" s="218" t="n"/>
    </row>
    <row r="519">
      <c r="E519" s="218" t="n"/>
      <c r="G519" s="218" t="n"/>
    </row>
    <row r="520">
      <c r="E520" s="218" t="n"/>
      <c r="G520" s="218" t="n"/>
    </row>
    <row r="521">
      <c r="E521" s="218" t="n"/>
      <c r="G521" s="218" t="n"/>
    </row>
    <row r="522">
      <c r="E522" s="218" t="n"/>
      <c r="G522" s="218" t="n"/>
    </row>
    <row r="523">
      <c r="E523" s="218" t="n"/>
      <c r="G523" s="218" t="n"/>
    </row>
    <row r="524">
      <c r="E524" s="218" t="n"/>
      <c r="G524" s="218" t="n"/>
    </row>
    <row r="525">
      <c r="E525" s="218" t="n"/>
      <c r="G525" s="218" t="n"/>
    </row>
    <row r="526">
      <c r="E526" s="218" t="n"/>
      <c r="G526" s="218" t="n"/>
    </row>
    <row r="527">
      <c r="E527" s="218" t="n"/>
      <c r="G527" s="218" t="n"/>
    </row>
    <row r="528">
      <c r="E528" s="218" t="n"/>
      <c r="G528" s="218" t="n"/>
    </row>
    <row r="529">
      <c r="E529" s="218" t="n"/>
      <c r="G529" s="218" t="n"/>
    </row>
    <row r="530">
      <c r="E530" s="218" t="n"/>
      <c r="G530" s="218" t="n"/>
    </row>
    <row r="531">
      <c r="E531" s="218" t="n"/>
      <c r="G531" s="218" t="n"/>
    </row>
    <row r="532">
      <c r="E532" s="218" t="n"/>
      <c r="G532" s="218" t="n"/>
    </row>
    <row r="533">
      <c r="E533" s="218" t="n"/>
      <c r="G533" s="218" t="n"/>
    </row>
    <row r="534">
      <c r="E534" s="218" t="n"/>
      <c r="G534" s="218" t="n"/>
    </row>
    <row r="535">
      <c r="E535" s="218" t="n"/>
      <c r="G535" s="218" t="n"/>
    </row>
    <row r="536">
      <c r="E536" s="218" t="n"/>
      <c r="G536" s="218" t="n"/>
    </row>
    <row r="537">
      <c r="E537" s="218" t="n"/>
      <c r="G537" s="218" t="n"/>
    </row>
    <row r="538">
      <c r="E538" s="218" t="n"/>
      <c r="G538" s="218" t="n"/>
    </row>
    <row r="539">
      <c r="E539" s="218" t="n"/>
      <c r="G539" s="218" t="n"/>
    </row>
    <row r="540">
      <c r="E540" s="218" t="n"/>
      <c r="G540" s="218" t="n"/>
    </row>
    <row r="541">
      <c r="E541" s="218" t="n"/>
      <c r="G541" s="218" t="n"/>
    </row>
    <row r="542">
      <c r="E542" s="218" t="n"/>
      <c r="G542" s="218" t="n"/>
    </row>
    <row r="543">
      <c r="E543" s="218" t="n"/>
      <c r="G543" s="218" t="n"/>
    </row>
    <row r="544">
      <c r="E544" s="218" t="n"/>
      <c r="G544" s="218" t="n"/>
    </row>
    <row r="545">
      <c r="E545" s="218" t="n"/>
      <c r="G545" s="218" t="n"/>
    </row>
    <row r="546">
      <c r="E546" s="218" t="n"/>
      <c r="G546" s="218" t="n"/>
    </row>
    <row r="547">
      <c r="E547" s="218" t="n"/>
      <c r="G547" s="218" t="n"/>
    </row>
    <row r="548">
      <c r="E548" s="218" t="n"/>
      <c r="G548" s="218" t="n"/>
    </row>
    <row r="549">
      <c r="E549" s="218" t="n"/>
      <c r="G549" s="218" t="n"/>
    </row>
    <row r="550">
      <c r="E550" s="218" t="n"/>
      <c r="G550" s="218" t="n"/>
    </row>
    <row r="551">
      <c r="E551" s="218" t="n"/>
      <c r="G551" s="218" t="n"/>
    </row>
    <row r="552">
      <c r="E552" s="218" t="n"/>
      <c r="G552" s="218" t="n"/>
    </row>
    <row r="553">
      <c r="E553" s="218" t="n"/>
      <c r="G553" s="218" t="n"/>
    </row>
    <row r="554">
      <c r="E554" s="218" t="n"/>
      <c r="G554" s="218" t="n"/>
    </row>
    <row r="555">
      <c r="E555" s="218" t="n"/>
      <c r="G555" s="218" t="n"/>
    </row>
    <row r="556">
      <c r="E556" s="218" t="n"/>
      <c r="G556" s="218" t="n"/>
    </row>
    <row r="557">
      <c r="E557" s="218" t="n"/>
      <c r="G557" s="218" t="n"/>
    </row>
    <row r="558">
      <c r="E558" s="218" t="n"/>
      <c r="G558" s="218" t="n"/>
    </row>
    <row r="559">
      <c r="E559" s="218" t="n"/>
      <c r="G559" s="218" t="n"/>
    </row>
    <row r="560">
      <c r="E560" s="218" t="n"/>
      <c r="G560" s="218" t="n"/>
    </row>
    <row r="561">
      <c r="E561" s="218" t="n"/>
      <c r="G561" s="218" t="n"/>
    </row>
    <row r="562">
      <c r="E562" s="218" t="n"/>
      <c r="G562" s="218" t="n"/>
    </row>
    <row r="563">
      <c r="E563" s="218" t="n"/>
      <c r="G563" s="218" t="n"/>
    </row>
    <row r="564">
      <c r="E564" s="218" t="n"/>
      <c r="G564" s="218" t="n"/>
    </row>
    <row r="565">
      <c r="E565" s="218" t="n"/>
      <c r="G565" s="218" t="n"/>
    </row>
    <row r="566">
      <c r="E566" s="218" t="n"/>
      <c r="G566" s="218" t="n"/>
    </row>
    <row r="567">
      <c r="E567" s="218" t="n"/>
      <c r="G567" s="218" t="n"/>
    </row>
    <row r="568">
      <c r="E568" s="218" t="n"/>
      <c r="G568" s="218" t="n"/>
    </row>
    <row r="569">
      <c r="E569" s="218" t="n"/>
      <c r="G569" s="218" t="n"/>
    </row>
    <row r="570">
      <c r="E570" s="218" t="n"/>
      <c r="G570" s="218" t="n"/>
    </row>
    <row r="571">
      <c r="E571" s="218" t="n"/>
      <c r="G571" s="218" t="n"/>
    </row>
    <row r="572">
      <c r="E572" s="218" t="n"/>
      <c r="G572" s="218" t="n"/>
    </row>
    <row r="573">
      <c r="E573" s="218" t="n"/>
      <c r="G573" s="218" t="n"/>
    </row>
    <row r="574">
      <c r="E574" s="218" t="n"/>
      <c r="G574" s="218" t="n"/>
    </row>
    <row r="575">
      <c r="E575" s="218" t="n"/>
      <c r="G575" s="218" t="n"/>
    </row>
    <row r="576">
      <c r="E576" s="218" t="n"/>
      <c r="G576" s="218" t="n"/>
    </row>
    <row r="577">
      <c r="E577" s="218" t="n"/>
      <c r="G577" s="218" t="n"/>
    </row>
    <row r="578">
      <c r="E578" s="218" t="n"/>
      <c r="G578" s="218" t="n"/>
    </row>
    <row r="579">
      <c r="E579" s="218" t="n"/>
      <c r="G579" s="218" t="n"/>
    </row>
    <row r="580">
      <c r="E580" s="218" t="n"/>
      <c r="G580" s="218" t="n"/>
    </row>
    <row r="581">
      <c r="E581" s="218" t="n"/>
      <c r="G581" s="218" t="n"/>
    </row>
    <row r="582">
      <c r="E582" s="218" t="n"/>
      <c r="G582" s="218" t="n"/>
    </row>
    <row r="583">
      <c r="E583" s="218" t="n"/>
      <c r="G583" s="218" t="n"/>
    </row>
    <row r="584">
      <c r="E584" s="218" t="n"/>
      <c r="G584" s="218" t="n"/>
    </row>
    <row r="585">
      <c r="E585" s="218" t="n"/>
      <c r="G585" s="218" t="n"/>
    </row>
    <row r="586">
      <c r="E586" s="218" t="n"/>
      <c r="G586" s="218" t="n"/>
    </row>
    <row r="587">
      <c r="E587" s="218" t="n"/>
      <c r="G587" s="218" t="n"/>
    </row>
    <row r="588">
      <c r="E588" s="218" t="n"/>
      <c r="G588" s="218" t="n"/>
    </row>
    <row r="589">
      <c r="E589" s="218" t="n"/>
      <c r="G589" s="218" t="n"/>
    </row>
    <row r="590">
      <c r="E590" s="218" t="n"/>
      <c r="G590" s="218" t="n"/>
    </row>
    <row r="591">
      <c r="E591" s="218" t="n"/>
      <c r="G591" s="218" t="n"/>
    </row>
    <row r="592">
      <c r="E592" s="218" t="n"/>
      <c r="G592" s="218" t="n"/>
    </row>
    <row r="593">
      <c r="E593" s="218" t="n"/>
      <c r="G593" s="218" t="n"/>
    </row>
    <row r="594">
      <c r="E594" s="218" t="n"/>
      <c r="G594" s="218" t="n"/>
    </row>
    <row r="595">
      <c r="E595" s="218" t="n"/>
      <c r="G595" s="218" t="n"/>
    </row>
    <row r="596">
      <c r="E596" s="218" t="n"/>
      <c r="G596" s="218" t="n"/>
    </row>
    <row r="597">
      <c r="E597" s="218" t="n"/>
      <c r="G597" s="218" t="n"/>
    </row>
    <row r="598">
      <c r="E598" s="218" t="n"/>
      <c r="G598" s="218" t="n"/>
    </row>
    <row r="599">
      <c r="E599" s="218" t="n"/>
      <c r="G599" s="218" t="n"/>
    </row>
    <row r="600">
      <c r="E600" s="218" t="n"/>
      <c r="G600" s="218" t="n"/>
    </row>
    <row r="601">
      <c r="E601" s="218" t="n"/>
      <c r="G601" s="218" t="n"/>
    </row>
    <row r="602">
      <c r="E602" s="218" t="n"/>
      <c r="G602" s="218" t="n"/>
    </row>
    <row r="603">
      <c r="E603" s="218" t="n"/>
      <c r="G603" s="218" t="n"/>
    </row>
    <row r="604">
      <c r="E604" s="218" t="n"/>
      <c r="G604" s="218" t="n"/>
    </row>
    <row r="605">
      <c r="E605" s="218" t="n"/>
      <c r="G605" s="218" t="n"/>
    </row>
    <row r="606">
      <c r="E606" s="218" t="n"/>
      <c r="G606" s="218" t="n"/>
    </row>
    <row r="607">
      <c r="E607" s="218" t="n"/>
      <c r="G607" s="218" t="n"/>
    </row>
    <row r="608">
      <c r="E608" s="218" t="n"/>
      <c r="G608" s="218" t="n"/>
    </row>
    <row r="609">
      <c r="E609" s="218" t="n"/>
      <c r="G609" s="218" t="n"/>
    </row>
    <row r="610">
      <c r="E610" s="218" t="n"/>
      <c r="G610" s="218" t="n"/>
    </row>
    <row r="611">
      <c r="E611" s="218" t="n"/>
      <c r="G611" s="218" t="n"/>
    </row>
    <row r="612">
      <c r="E612" s="218" t="n"/>
      <c r="G612" s="218" t="n"/>
    </row>
    <row r="613">
      <c r="E613" s="218" t="n"/>
      <c r="G613" s="218" t="n"/>
    </row>
    <row r="614">
      <c r="E614" s="218" t="n"/>
      <c r="G614" s="218" t="n"/>
    </row>
    <row r="615">
      <c r="E615" s="218" t="n"/>
      <c r="G615" s="218" t="n"/>
    </row>
    <row r="616">
      <c r="E616" s="218" t="n"/>
      <c r="G616" s="218" t="n"/>
    </row>
    <row r="617">
      <c r="E617" s="218" t="n"/>
      <c r="G617" s="218" t="n"/>
    </row>
    <row r="618">
      <c r="E618" s="218" t="n"/>
      <c r="G618" s="218" t="n"/>
    </row>
    <row r="619">
      <c r="E619" s="218" t="n"/>
      <c r="G619" s="218" t="n"/>
    </row>
    <row r="620">
      <c r="E620" s="218" t="n"/>
      <c r="G620" s="218" t="n"/>
    </row>
    <row r="621">
      <c r="E621" s="218" t="n"/>
      <c r="G621" s="218" t="n"/>
    </row>
    <row r="622">
      <c r="E622" s="218" t="n"/>
      <c r="G622" s="218" t="n"/>
    </row>
    <row r="623">
      <c r="E623" s="218" t="n"/>
      <c r="G623" s="218" t="n"/>
    </row>
    <row r="624">
      <c r="E624" s="218" t="n"/>
      <c r="G624" s="218" t="n"/>
    </row>
    <row r="625">
      <c r="E625" s="218" t="n"/>
      <c r="G625" s="218" t="n"/>
    </row>
    <row r="626">
      <c r="E626" s="218" t="n"/>
      <c r="G626" s="218" t="n"/>
    </row>
    <row r="627">
      <c r="E627" s="218" t="n"/>
      <c r="G627" s="218" t="n"/>
    </row>
    <row r="628">
      <c r="E628" s="218" t="n"/>
      <c r="G628" s="218" t="n"/>
    </row>
    <row r="629">
      <c r="E629" s="218" t="n"/>
      <c r="G629" s="218" t="n"/>
    </row>
    <row r="630">
      <c r="E630" s="218" t="n"/>
      <c r="G630" s="218" t="n"/>
    </row>
    <row r="631">
      <c r="E631" s="218" t="n"/>
      <c r="G631" s="218" t="n"/>
    </row>
    <row r="632">
      <c r="E632" s="218" t="n"/>
      <c r="G632" s="218" t="n"/>
    </row>
    <row r="633">
      <c r="E633" s="218" t="n"/>
      <c r="G633" s="218" t="n"/>
    </row>
    <row r="634">
      <c r="E634" s="218" t="n"/>
      <c r="G634" s="218" t="n"/>
    </row>
    <row r="635">
      <c r="E635" s="218" t="n"/>
      <c r="G635" s="218" t="n"/>
    </row>
    <row r="636">
      <c r="E636" s="218" t="n"/>
      <c r="G636" s="218" t="n"/>
    </row>
    <row r="637">
      <c r="E637" s="218" t="n"/>
      <c r="G637" s="218" t="n"/>
    </row>
    <row r="638">
      <c r="E638" s="218" t="n"/>
      <c r="G638" s="218" t="n"/>
    </row>
    <row r="639">
      <c r="E639" s="218" t="n"/>
      <c r="G639" s="218" t="n"/>
    </row>
    <row r="640">
      <c r="E640" s="218" t="n"/>
      <c r="G640" s="218" t="n"/>
    </row>
    <row r="641">
      <c r="E641" s="218" t="n"/>
      <c r="G641" s="218" t="n"/>
    </row>
    <row r="642">
      <c r="E642" s="218" t="n"/>
      <c r="G642" s="218" t="n"/>
    </row>
    <row r="643">
      <c r="E643" s="218" t="n"/>
      <c r="G643" s="218" t="n"/>
    </row>
    <row r="644">
      <c r="E644" s="218" t="n"/>
      <c r="G644" s="218" t="n"/>
    </row>
    <row r="645">
      <c r="E645" s="218" t="n"/>
      <c r="G645" s="218" t="n"/>
    </row>
    <row r="646">
      <c r="E646" s="218" t="n"/>
      <c r="G646" s="218" t="n"/>
    </row>
    <row r="647">
      <c r="E647" s="218" t="n"/>
      <c r="G647" s="218" t="n"/>
    </row>
    <row r="648">
      <c r="E648" s="218" t="n"/>
      <c r="G648" s="218" t="n"/>
    </row>
    <row r="649">
      <c r="E649" s="218" t="n"/>
      <c r="G649" s="218" t="n"/>
    </row>
    <row r="650">
      <c r="E650" s="218" t="n"/>
      <c r="G650" s="218" t="n"/>
    </row>
    <row r="651">
      <c r="E651" s="218" t="n"/>
      <c r="G651" s="218" t="n"/>
    </row>
    <row r="652">
      <c r="E652" s="218" t="n"/>
      <c r="G652" s="218" t="n"/>
    </row>
    <row r="653">
      <c r="E653" s="218" t="n"/>
      <c r="G653" s="218" t="n"/>
    </row>
    <row r="654">
      <c r="E654" s="218" t="n"/>
      <c r="G654" s="218" t="n"/>
    </row>
    <row r="655">
      <c r="E655" s="218" t="n"/>
      <c r="G655" s="218" t="n"/>
    </row>
    <row r="656">
      <c r="E656" s="218" t="n"/>
      <c r="G656" s="218" t="n"/>
    </row>
    <row r="657">
      <c r="E657" s="218" t="n"/>
      <c r="G657" s="218" t="n"/>
    </row>
    <row r="658">
      <c r="E658" s="218" t="n"/>
      <c r="G658" s="218" t="n"/>
    </row>
    <row r="659">
      <c r="E659" s="218" t="n"/>
      <c r="G659" s="218" t="n"/>
    </row>
    <row r="660">
      <c r="E660" s="218" t="n"/>
      <c r="G660" s="218" t="n"/>
    </row>
    <row r="661">
      <c r="E661" s="218" t="n"/>
      <c r="G661" s="218" t="n"/>
    </row>
    <row r="662">
      <c r="E662" s="218" t="n"/>
      <c r="G662" s="218" t="n"/>
    </row>
    <row r="663">
      <c r="E663" s="218" t="n"/>
      <c r="G663" s="218" t="n"/>
    </row>
    <row r="664">
      <c r="E664" s="218" t="n"/>
      <c r="G664" s="218" t="n"/>
    </row>
    <row r="665">
      <c r="E665" s="218" t="n"/>
      <c r="G665" s="218" t="n"/>
    </row>
    <row r="666">
      <c r="E666" s="218" t="n"/>
      <c r="G666" s="218" t="n"/>
    </row>
    <row r="667">
      <c r="E667" s="218" t="n"/>
      <c r="G667" s="218" t="n"/>
    </row>
    <row r="668">
      <c r="E668" s="218" t="n"/>
      <c r="G668" s="218" t="n"/>
    </row>
    <row r="669">
      <c r="E669" s="218" t="n"/>
      <c r="G669" s="218" t="n"/>
    </row>
    <row r="670">
      <c r="E670" s="218" t="n"/>
      <c r="G670" s="218" t="n"/>
    </row>
    <row r="671">
      <c r="E671" s="218" t="n"/>
      <c r="G671" s="218" t="n"/>
    </row>
    <row r="672">
      <c r="E672" s="218" t="n"/>
      <c r="G672" s="218" t="n"/>
    </row>
    <row r="673">
      <c r="E673" s="218" t="n"/>
      <c r="G673" s="218" t="n"/>
    </row>
    <row r="674">
      <c r="E674" s="218" t="n"/>
      <c r="G674" s="218" t="n"/>
    </row>
    <row r="675">
      <c r="E675" s="218" t="n"/>
      <c r="G675" s="218" t="n"/>
    </row>
    <row r="676">
      <c r="E676" s="218" t="n"/>
      <c r="G676" s="218" t="n"/>
    </row>
    <row r="677">
      <c r="E677" s="218" t="n"/>
      <c r="G677" s="218" t="n"/>
    </row>
    <row r="678">
      <c r="E678" s="218" t="n"/>
      <c r="G678" s="218" t="n"/>
    </row>
    <row r="679">
      <c r="E679" s="218" t="n"/>
      <c r="G679" s="218" t="n"/>
    </row>
    <row r="680">
      <c r="E680" s="218" t="n"/>
      <c r="G680" s="218" t="n"/>
    </row>
    <row r="681">
      <c r="E681" s="218" t="n"/>
      <c r="G681" s="218" t="n"/>
    </row>
    <row r="682">
      <c r="E682" s="218" t="n"/>
      <c r="G682" s="218" t="n"/>
    </row>
    <row r="683">
      <c r="E683" s="218" t="n"/>
      <c r="G683" s="218" t="n"/>
    </row>
    <row r="684">
      <c r="E684" s="218" t="n"/>
      <c r="G684" s="218" t="n"/>
    </row>
    <row r="685">
      <c r="E685" s="218" t="n"/>
      <c r="G685" s="218" t="n"/>
    </row>
    <row r="686">
      <c r="E686" s="218" t="n"/>
      <c r="G686" s="218" t="n"/>
    </row>
    <row r="687">
      <c r="E687" s="218" t="n"/>
      <c r="G687" s="218" t="n"/>
    </row>
    <row r="688">
      <c r="E688" s="218" t="n"/>
      <c r="G688" s="218" t="n"/>
    </row>
    <row r="689">
      <c r="E689" s="218" t="n"/>
      <c r="G689" s="218" t="n"/>
    </row>
    <row r="690">
      <c r="E690" s="218" t="n"/>
      <c r="G690" s="218" t="n"/>
    </row>
    <row r="691">
      <c r="E691" s="218" t="n"/>
      <c r="G691" s="218" t="n"/>
    </row>
    <row r="692">
      <c r="E692" s="218" t="n"/>
      <c r="G692" s="218" t="n"/>
    </row>
    <row r="693">
      <c r="E693" s="218" t="n"/>
      <c r="G693" s="218" t="n"/>
    </row>
    <row r="694">
      <c r="E694" s="218" t="n"/>
      <c r="G694" s="218" t="n"/>
    </row>
    <row r="695">
      <c r="E695" s="218" t="n"/>
      <c r="G695" s="218" t="n"/>
    </row>
    <row r="696">
      <c r="E696" s="218" t="n"/>
      <c r="G696" s="218" t="n"/>
    </row>
    <row r="697">
      <c r="E697" s="218" t="n"/>
      <c r="G697" s="218" t="n"/>
    </row>
    <row r="698">
      <c r="E698" s="218" t="n"/>
      <c r="G698" s="218" t="n"/>
    </row>
    <row r="699">
      <c r="E699" s="218" t="n"/>
      <c r="G699" s="218" t="n"/>
    </row>
    <row r="700">
      <c r="E700" s="218" t="n"/>
      <c r="G700" s="218" t="n"/>
    </row>
    <row r="701">
      <c r="E701" s="218" t="n"/>
      <c r="G701" s="218" t="n"/>
    </row>
    <row r="702">
      <c r="E702" s="218" t="n"/>
      <c r="G702" s="218" t="n"/>
    </row>
    <row r="703">
      <c r="E703" s="218" t="n"/>
      <c r="G703" s="218" t="n"/>
    </row>
    <row r="704">
      <c r="E704" s="218" t="n"/>
      <c r="G704" s="218" t="n"/>
    </row>
    <row r="705">
      <c r="E705" s="218" t="n"/>
      <c r="G705" s="218" t="n"/>
    </row>
    <row r="706">
      <c r="E706" s="218" t="n"/>
      <c r="G706" s="218" t="n"/>
    </row>
    <row r="707">
      <c r="E707" s="218" t="n"/>
      <c r="G707" s="218" t="n"/>
    </row>
    <row r="708">
      <c r="E708" s="218" t="n"/>
      <c r="G708" s="218" t="n"/>
    </row>
    <row r="709">
      <c r="E709" s="218" t="n"/>
      <c r="G709" s="218" t="n"/>
    </row>
    <row r="710">
      <c r="E710" s="218" t="n"/>
      <c r="G710" s="218" t="n"/>
    </row>
    <row r="711">
      <c r="E711" s="218" t="n"/>
      <c r="G711" s="218" t="n"/>
    </row>
    <row r="712">
      <c r="E712" s="218" t="n"/>
      <c r="G712" s="218" t="n"/>
    </row>
    <row r="713">
      <c r="E713" s="218" t="n"/>
      <c r="G713" s="218" t="n"/>
    </row>
    <row r="714">
      <c r="E714" s="218" t="n"/>
      <c r="G714" s="218" t="n"/>
    </row>
    <row r="715">
      <c r="E715" s="218" t="n"/>
      <c r="G715" s="218" t="n"/>
    </row>
    <row r="716">
      <c r="E716" s="218" t="n"/>
      <c r="G716" s="218" t="n"/>
    </row>
    <row r="717">
      <c r="E717" s="218" t="n"/>
      <c r="G717" s="218" t="n"/>
    </row>
    <row r="718">
      <c r="E718" s="218" t="n"/>
      <c r="G718" s="218" t="n"/>
    </row>
    <row r="719">
      <c r="E719" s="218" t="n"/>
      <c r="G719" s="218" t="n"/>
    </row>
    <row r="720">
      <c r="E720" s="218" t="n"/>
      <c r="G720" s="218" t="n"/>
    </row>
    <row r="721">
      <c r="E721" s="218" t="n"/>
      <c r="G721" s="218" t="n"/>
    </row>
    <row r="722">
      <c r="E722" s="218" t="n"/>
      <c r="G722" s="218" t="n"/>
    </row>
    <row r="723">
      <c r="E723" s="218" t="n"/>
      <c r="G723" s="218" t="n"/>
    </row>
    <row r="724">
      <c r="E724" s="218" t="n"/>
      <c r="G724" s="218" t="n"/>
    </row>
    <row r="725">
      <c r="E725" s="218" t="n"/>
      <c r="G725" s="218" t="n"/>
    </row>
    <row r="726">
      <c r="E726" s="218" t="n"/>
      <c r="G726" s="218" t="n"/>
    </row>
    <row r="727">
      <c r="E727" s="218" t="n"/>
      <c r="G727" s="218" t="n"/>
    </row>
    <row r="728">
      <c r="E728" s="218" t="n"/>
      <c r="G728" s="218" t="n"/>
    </row>
    <row r="729">
      <c r="E729" s="218" t="n"/>
      <c r="G729" s="218" t="n"/>
    </row>
    <row r="730">
      <c r="E730" s="218" t="n"/>
      <c r="G730" s="218" t="n"/>
    </row>
    <row r="731">
      <c r="E731" s="218" t="n"/>
      <c r="G731" s="218" t="n"/>
    </row>
    <row r="732">
      <c r="E732" s="218" t="n"/>
      <c r="G732" s="218" t="n"/>
    </row>
    <row r="733">
      <c r="E733" s="218" t="n"/>
      <c r="G733" s="218" t="n"/>
    </row>
    <row r="734">
      <c r="E734" s="218" t="n"/>
      <c r="G734" s="218" t="n"/>
    </row>
    <row r="735">
      <c r="E735" s="218" t="n"/>
      <c r="G735" s="218" t="n"/>
    </row>
    <row r="736">
      <c r="E736" s="218" t="n"/>
      <c r="G736" s="218" t="n"/>
    </row>
    <row r="737">
      <c r="E737" s="218" t="n"/>
      <c r="G737" s="218" t="n"/>
    </row>
    <row r="738">
      <c r="E738" s="218" t="n"/>
      <c r="G738" s="218" t="n"/>
    </row>
    <row r="739">
      <c r="E739" s="218" t="n"/>
      <c r="G739" s="218" t="n"/>
    </row>
    <row r="740">
      <c r="E740" s="218" t="n"/>
      <c r="G740" s="218" t="n"/>
    </row>
    <row r="741">
      <c r="E741" s="218" t="n"/>
      <c r="G741" s="218" t="n"/>
    </row>
    <row r="742">
      <c r="E742" s="218" t="n"/>
      <c r="G742" s="218" t="n"/>
    </row>
    <row r="743">
      <c r="E743" s="218" t="n"/>
      <c r="G743" s="218" t="n"/>
    </row>
    <row r="744">
      <c r="E744" s="218" t="n"/>
      <c r="G744" s="218" t="n"/>
    </row>
    <row r="745">
      <c r="E745" s="218" t="n"/>
      <c r="G745" s="218" t="n"/>
    </row>
    <row r="746">
      <c r="E746" s="218" t="n"/>
      <c r="G746" s="218" t="n"/>
    </row>
    <row r="747">
      <c r="E747" s="218" t="n"/>
      <c r="G747" s="218" t="n"/>
    </row>
    <row r="748">
      <c r="E748" s="218" t="n"/>
      <c r="G748" s="218" t="n"/>
    </row>
    <row r="749">
      <c r="E749" s="218" t="n"/>
      <c r="G749" s="218" t="n"/>
    </row>
    <row r="750">
      <c r="E750" s="218" t="n"/>
      <c r="G750" s="218" t="n"/>
    </row>
    <row r="751">
      <c r="E751" s="218" t="n"/>
      <c r="G751" s="218" t="n"/>
    </row>
    <row r="752">
      <c r="E752" s="218" t="n"/>
      <c r="G752" s="218" t="n"/>
    </row>
    <row r="753">
      <c r="E753" s="218" t="n"/>
      <c r="G753" s="218" t="n"/>
    </row>
    <row r="754">
      <c r="E754" s="218" t="n"/>
      <c r="G754" s="218" t="n"/>
    </row>
    <row r="755">
      <c r="E755" s="218" t="n"/>
      <c r="G755" s="218" t="n"/>
    </row>
    <row r="756">
      <c r="E756" s="218" t="n"/>
      <c r="G756" s="218" t="n"/>
    </row>
    <row r="757">
      <c r="E757" s="218" t="n"/>
      <c r="G757" s="218" t="n"/>
    </row>
    <row r="758">
      <c r="E758" s="218" t="n"/>
      <c r="G758" s="218" t="n"/>
    </row>
    <row r="759">
      <c r="E759" s="218" t="n"/>
      <c r="G759" s="218" t="n"/>
    </row>
    <row r="760">
      <c r="E760" s="218" t="n"/>
      <c r="G760" s="218" t="n"/>
    </row>
    <row r="761">
      <c r="E761" s="218" t="n"/>
      <c r="G761" s="218" t="n"/>
    </row>
    <row r="762">
      <c r="E762" s="218" t="n"/>
      <c r="G762" s="218" t="n"/>
    </row>
    <row r="763">
      <c r="E763" s="218" t="n"/>
      <c r="G763" s="218" t="n"/>
    </row>
    <row r="764">
      <c r="E764" s="218" t="n"/>
      <c r="G764" s="218" t="n"/>
    </row>
    <row r="765">
      <c r="E765" s="218" t="n"/>
      <c r="G765" s="218" t="n"/>
    </row>
    <row r="766">
      <c r="E766" s="218" t="n"/>
      <c r="G766" s="218" t="n"/>
    </row>
    <row r="767">
      <c r="E767" s="218" t="n"/>
      <c r="G767" s="218" t="n"/>
    </row>
    <row r="768">
      <c r="E768" s="218" t="n"/>
      <c r="G768" s="218" t="n"/>
    </row>
    <row r="769">
      <c r="E769" s="218" t="n"/>
      <c r="G769" s="218" t="n"/>
    </row>
    <row r="770">
      <c r="E770" s="218" t="n"/>
      <c r="G770" s="218" t="n"/>
    </row>
    <row r="771">
      <c r="E771" s="218" t="n"/>
      <c r="G771" s="218" t="n"/>
    </row>
    <row r="772">
      <c r="E772" s="218" t="n"/>
      <c r="G772" s="218" t="n"/>
    </row>
    <row r="773">
      <c r="E773" s="218" t="n"/>
      <c r="G773" s="218" t="n"/>
    </row>
    <row r="774">
      <c r="E774" s="218" t="n"/>
      <c r="G774" s="218" t="n"/>
    </row>
    <row r="775">
      <c r="E775" s="218" t="n"/>
      <c r="G775" s="218" t="n"/>
    </row>
    <row r="776">
      <c r="E776" s="218" t="n"/>
      <c r="G776" s="218" t="n"/>
    </row>
    <row r="777">
      <c r="E777" s="218" t="n"/>
      <c r="G777" s="218" t="n"/>
    </row>
    <row r="778">
      <c r="E778" s="218" t="n"/>
      <c r="G778" s="218" t="n"/>
    </row>
    <row r="779">
      <c r="E779" s="218" t="n"/>
      <c r="G779" s="218" t="n"/>
    </row>
    <row r="780">
      <c r="E780" s="218" t="n"/>
      <c r="G780" s="218" t="n"/>
    </row>
    <row r="781">
      <c r="E781" s="218" t="n"/>
      <c r="G781" s="218" t="n"/>
    </row>
    <row r="782">
      <c r="E782" s="218" t="n"/>
      <c r="G782" s="218" t="n"/>
    </row>
    <row r="783">
      <c r="E783" s="218" t="n"/>
      <c r="G783" s="218" t="n"/>
    </row>
    <row r="784">
      <c r="E784" s="218" t="n"/>
      <c r="G784" s="218" t="n"/>
    </row>
    <row r="785">
      <c r="E785" s="218" t="n"/>
      <c r="G785" s="218" t="n"/>
    </row>
    <row r="786">
      <c r="E786" s="218" t="n"/>
      <c r="G786" s="218" t="n"/>
    </row>
    <row r="787">
      <c r="E787" s="218" t="n"/>
      <c r="G787" s="218" t="n"/>
    </row>
    <row r="788">
      <c r="E788" s="218" t="n"/>
      <c r="G788" s="218" t="n"/>
    </row>
    <row r="789">
      <c r="E789" s="218" t="n"/>
      <c r="G789" s="218" t="n"/>
    </row>
    <row r="790">
      <c r="E790" s="218" t="n"/>
      <c r="G790" s="218" t="n"/>
    </row>
    <row r="791">
      <c r="E791" s="218" t="n"/>
      <c r="G791" s="218" t="n"/>
    </row>
    <row r="792">
      <c r="E792" s="218" t="n"/>
      <c r="G792" s="218" t="n"/>
    </row>
    <row r="793">
      <c r="E793" s="218" t="n"/>
      <c r="G793" s="218" t="n"/>
    </row>
    <row r="794">
      <c r="E794" s="218" t="n"/>
      <c r="G794" s="218" t="n"/>
    </row>
    <row r="795">
      <c r="E795" s="218" t="n"/>
      <c r="G795" s="218" t="n"/>
    </row>
    <row r="796">
      <c r="E796" s="218" t="n"/>
      <c r="G796" s="218" t="n"/>
    </row>
    <row r="797">
      <c r="E797" s="218" t="n"/>
      <c r="G797" s="218" t="n"/>
    </row>
    <row r="798">
      <c r="E798" s="218" t="n"/>
      <c r="G798" s="218" t="n"/>
    </row>
    <row r="799">
      <c r="E799" s="218" t="n"/>
      <c r="G799" s="218" t="n"/>
    </row>
    <row r="800">
      <c r="E800" s="218" t="n"/>
      <c r="G800" s="218" t="n"/>
    </row>
    <row r="801">
      <c r="E801" s="218" t="n"/>
      <c r="G801" s="218" t="n"/>
    </row>
    <row r="802">
      <c r="E802" s="218" t="n"/>
      <c r="G802" s="218" t="n"/>
    </row>
    <row r="803">
      <c r="E803" s="218" t="n"/>
      <c r="G803" s="218" t="n"/>
    </row>
    <row r="804">
      <c r="E804" s="218" t="n"/>
      <c r="G804" s="218" t="n"/>
    </row>
    <row r="805">
      <c r="E805" s="218" t="n"/>
      <c r="G805" s="218" t="n"/>
    </row>
    <row r="806">
      <c r="E806" s="218" t="n"/>
      <c r="G806" s="218" t="n"/>
    </row>
    <row r="807">
      <c r="E807" s="218" t="n"/>
      <c r="G807" s="218" t="n"/>
    </row>
    <row r="808">
      <c r="E808" s="218" t="n"/>
      <c r="G808" s="218" t="n"/>
    </row>
    <row r="809">
      <c r="E809" s="218" t="n"/>
      <c r="G809" s="218" t="n"/>
    </row>
    <row r="810">
      <c r="E810" s="218" t="n"/>
      <c r="G810" s="218" t="n"/>
    </row>
    <row r="811">
      <c r="E811" s="218" t="n"/>
      <c r="G811" s="218" t="n"/>
    </row>
    <row r="812">
      <c r="E812" s="218" t="n"/>
      <c r="G812" s="218" t="n"/>
    </row>
    <row r="813">
      <c r="E813" s="218" t="n"/>
      <c r="G813" s="218" t="n"/>
    </row>
    <row r="814">
      <c r="E814" s="218" t="n"/>
      <c r="G814" s="218" t="n"/>
    </row>
    <row r="815">
      <c r="E815" s="218" t="n"/>
      <c r="G815" s="218" t="n"/>
    </row>
    <row r="816">
      <c r="E816" s="218" t="n"/>
      <c r="G816" s="218" t="n"/>
    </row>
    <row r="817">
      <c r="E817" s="218" t="n"/>
      <c r="G817" s="218" t="n"/>
    </row>
    <row r="818">
      <c r="E818" s="218" t="n"/>
      <c r="G818" s="218" t="n"/>
    </row>
    <row r="819">
      <c r="E819" s="218" t="n"/>
      <c r="G819" s="218" t="n"/>
    </row>
    <row r="820">
      <c r="E820" s="218" t="n"/>
      <c r="G820" s="218" t="n"/>
    </row>
    <row r="821">
      <c r="E821" s="218" t="n"/>
      <c r="G821" s="218" t="n"/>
    </row>
    <row r="822">
      <c r="E822" s="218" t="n"/>
      <c r="G822" s="218" t="n"/>
    </row>
    <row r="823">
      <c r="E823" s="218" t="n"/>
      <c r="G823" s="218" t="n"/>
    </row>
    <row r="824">
      <c r="E824" s="218" t="n"/>
      <c r="G824" s="218" t="n"/>
    </row>
    <row r="825">
      <c r="E825" s="218" t="n"/>
      <c r="G825" s="218" t="n"/>
    </row>
    <row r="826">
      <c r="E826" s="218" t="n"/>
      <c r="G826" s="218" t="n"/>
    </row>
    <row r="827">
      <c r="E827" s="218" t="n"/>
      <c r="G827" s="218" t="n"/>
    </row>
    <row r="828">
      <c r="E828" s="218" t="n"/>
      <c r="G828" s="218" t="n"/>
    </row>
    <row r="829">
      <c r="E829" s="218" t="n"/>
      <c r="G829" s="218" t="n"/>
    </row>
    <row r="830">
      <c r="E830" s="218" t="n"/>
      <c r="G830" s="218" t="n"/>
    </row>
    <row r="831">
      <c r="E831" s="218" t="n"/>
      <c r="G831" s="218" t="n"/>
    </row>
    <row r="832">
      <c r="E832" s="218" t="n"/>
      <c r="G832" s="218" t="n"/>
    </row>
    <row r="833">
      <c r="E833" s="218" t="n"/>
      <c r="G833" s="218" t="n"/>
    </row>
    <row r="834">
      <c r="E834" s="218" t="n"/>
      <c r="G834" s="218" t="n"/>
    </row>
    <row r="835">
      <c r="E835" s="218" t="n"/>
      <c r="G835" s="218" t="n"/>
    </row>
    <row r="836">
      <c r="E836" s="218" t="n"/>
      <c r="G836" s="218" t="n"/>
    </row>
    <row r="837">
      <c r="E837" s="218" t="n"/>
      <c r="G837" s="218" t="n"/>
    </row>
    <row r="838">
      <c r="E838" s="218" t="n"/>
      <c r="G838" s="218" t="n"/>
    </row>
    <row r="839">
      <c r="E839" s="218" t="n"/>
      <c r="G839" s="218" t="n"/>
    </row>
    <row r="840">
      <c r="E840" s="218" t="n"/>
      <c r="G840" s="218" t="n"/>
    </row>
    <row r="841">
      <c r="E841" s="218" t="n"/>
      <c r="G841" s="218" t="n"/>
    </row>
    <row r="842">
      <c r="E842" s="218" t="n"/>
      <c r="G842" s="218" t="n"/>
    </row>
    <row r="843">
      <c r="E843" s="218" t="n"/>
      <c r="G843" s="218" t="n"/>
    </row>
    <row r="844">
      <c r="E844" s="218" t="n"/>
      <c r="G844" s="218" t="n"/>
    </row>
    <row r="845">
      <c r="E845" s="218" t="n"/>
      <c r="G845" s="218" t="n"/>
    </row>
    <row r="846">
      <c r="E846" s="218" t="n"/>
      <c r="G846" s="218" t="n"/>
    </row>
    <row r="847">
      <c r="E847" s="218" t="n"/>
      <c r="G847" s="218" t="n"/>
    </row>
    <row r="848">
      <c r="E848" s="218" t="n"/>
      <c r="G848" s="218" t="n"/>
    </row>
    <row r="849">
      <c r="E849" s="218" t="n"/>
      <c r="G849" s="218" t="n"/>
    </row>
    <row r="850">
      <c r="E850" s="218" t="n"/>
      <c r="G850" s="218" t="n"/>
    </row>
    <row r="851">
      <c r="E851" s="218" t="n"/>
      <c r="G851" s="218" t="n"/>
    </row>
    <row r="852">
      <c r="E852" s="218" t="n"/>
      <c r="G852" s="218" t="n"/>
    </row>
    <row r="853">
      <c r="E853" s="218" t="n"/>
      <c r="G853" s="218" t="n"/>
    </row>
    <row r="854">
      <c r="E854" s="218" t="n"/>
      <c r="G854" s="218" t="n"/>
    </row>
    <row r="855">
      <c r="E855" s="218" t="n"/>
      <c r="G855" s="218" t="n"/>
    </row>
    <row r="856">
      <c r="E856" s="218" t="n"/>
      <c r="G856" s="218" t="n"/>
    </row>
    <row r="857">
      <c r="E857" s="218" t="n"/>
      <c r="G857" s="218" t="n"/>
    </row>
    <row r="858">
      <c r="E858" s="218" t="n"/>
      <c r="G858" s="218" t="n"/>
    </row>
    <row r="859">
      <c r="E859" s="218" t="n"/>
      <c r="G859" s="218" t="n"/>
    </row>
    <row r="860">
      <c r="E860" s="218" t="n"/>
      <c r="G860" s="218" t="n"/>
    </row>
    <row r="861">
      <c r="E861" s="218" t="n"/>
      <c r="G861" s="218" t="n"/>
    </row>
    <row r="862">
      <c r="E862" s="218" t="n"/>
      <c r="G862" s="218" t="n"/>
    </row>
    <row r="863">
      <c r="E863" s="218" t="n"/>
      <c r="G863" s="218" t="n"/>
    </row>
    <row r="864">
      <c r="E864" s="218" t="n"/>
      <c r="G864" s="218" t="n"/>
    </row>
    <row r="865">
      <c r="E865" s="218" t="n"/>
      <c r="G865" s="218" t="n"/>
    </row>
    <row r="866">
      <c r="E866" s="218" t="n"/>
      <c r="G866" s="218" t="n"/>
    </row>
    <row r="867">
      <c r="E867" s="218" t="n"/>
      <c r="G867" s="218" t="n"/>
    </row>
    <row r="868">
      <c r="E868" s="218" t="n"/>
      <c r="G868" s="218" t="n"/>
    </row>
    <row r="869">
      <c r="E869" s="218" t="n"/>
      <c r="G869" s="218" t="n"/>
    </row>
    <row r="870">
      <c r="E870" s="218" t="n"/>
      <c r="G870" s="218" t="n"/>
    </row>
    <row r="871">
      <c r="E871" s="218" t="n"/>
      <c r="G871" s="218" t="n"/>
    </row>
    <row r="872">
      <c r="E872" s="218" t="n"/>
      <c r="G872" s="218" t="n"/>
    </row>
    <row r="873">
      <c r="E873" s="218" t="n"/>
      <c r="G873" s="218" t="n"/>
    </row>
    <row r="874">
      <c r="E874" s="218" t="n"/>
      <c r="G874" s="218" t="n"/>
    </row>
    <row r="875">
      <c r="E875" s="218" t="n"/>
      <c r="G875" s="218" t="n"/>
    </row>
    <row r="876">
      <c r="E876" s="218" t="n"/>
      <c r="G876" s="218" t="n"/>
    </row>
    <row r="877">
      <c r="E877" s="218" t="n"/>
      <c r="G877" s="218" t="n"/>
    </row>
    <row r="878">
      <c r="E878" s="218" t="n"/>
      <c r="G878" s="218" t="n"/>
    </row>
    <row r="879">
      <c r="E879" s="218" t="n"/>
      <c r="G879" s="218" t="n"/>
    </row>
    <row r="880">
      <c r="E880" s="218" t="n"/>
      <c r="G880" s="218" t="n"/>
    </row>
    <row r="881">
      <c r="E881" s="218" t="n"/>
      <c r="G881" s="218" t="n"/>
    </row>
    <row r="882">
      <c r="E882" s="218" t="n"/>
      <c r="G882" s="218" t="n"/>
    </row>
    <row r="883">
      <c r="E883" s="218" t="n"/>
      <c r="G883" s="218" t="n"/>
    </row>
    <row r="884">
      <c r="E884" s="218" t="n"/>
      <c r="G884" s="218" t="n"/>
    </row>
    <row r="885">
      <c r="E885" s="218" t="n"/>
      <c r="G885" s="218" t="n"/>
    </row>
    <row r="886">
      <c r="E886" s="218" t="n"/>
      <c r="G886" s="218" t="n"/>
    </row>
    <row r="887">
      <c r="E887" s="218" t="n"/>
      <c r="G887" s="218" t="n"/>
    </row>
    <row r="888">
      <c r="E888" s="218" t="n"/>
      <c r="G888" s="218" t="n"/>
    </row>
    <row r="889">
      <c r="E889" s="218" t="n"/>
      <c r="G889" s="218" t="n"/>
    </row>
    <row r="890">
      <c r="E890" s="218" t="n"/>
      <c r="G890" s="218" t="n"/>
    </row>
    <row r="891">
      <c r="E891" s="218" t="n"/>
      <c r="G891" s="218" t="n"/>
    </row>
    <row r="892">
      <c r="E892" s="218" t="n"/>
      <c r="G892" s="218" t="n"/>
    </row>
    <row r="893">
      <c r="E893" s="218" t="n"/>
      <c r="G893" s="218" t="n"/>
    </row>
    <row r="894">
      <c r="E894" s="218" t="n"/>
      <c r="G894" s="218" t="n"/>
    </row>
    <row r="895">
      <c r="E895" s="218" t="n"/>
      <c r="G895" s="218" t="n"/>
    </row>
    <row r="896">
      <c r="E896" s="218" t="n"/>
      <c r="G896" s="218" t="n"/>
    </row>
    <row r="897">
      <c r="E897" s="218" t="n"/>
      <c r="G897" s="218" t="n"/>
    </row>
    <row r="898">
      <c r="E898" s="218" t="n"/>
      <c r="G898" s="218" t="n"/>
    </row>
    <row r="899">
      <c r="E899" s="218" t="n"/>
      <c r="G899" s="218" t="n"/>
    </row>
    <row r="900">
      <c r="E900" s="218" t="n"/>
      <c r="G900" s="218" t="n"/>
    </row>
    <row r="901">
      <c r="E901" s="218" t="n"/>
      <c r="G901" s="218" t="n"/>
    </row>
    <row r="902">
      <c r="E902" s="218" t="n"/>
      <c r="G902" s="218" t="n"/>
    </row>
    <row r="903">
      <c r="E903" s="218" t="n"/>
      <c r="G903" s="218" t="n"/>
    </row>
    <row r="904">
      <c r="E904" s="218" t="n"/>
      <c r="G904" s="218" t="n"/>
    </row>
    <row r="905">
      <c r="E905" s="218" t="n"/>
      <c r="G905" s="218" t="n"/>
    </row>
    <row r="906">
      <c r="E906" s="218" t="n"/>
      <c r="G906" s="218" t="n"/>
    </row>
    <row r="907">
      <c r="E907" s="218" t="n"/>
      <c r="G907" s="218" t="n"/>
    </row>
    <row r="908">
      <c r="E908" s="218" t="n"/>
      <c r="G908" s="218" t="n"/>
    </row>
    <row r="909">
      <c r="E909" s="218" t="n"/>
      <c r="G909" s="218" t="n"/>
    </row>
    <row r="910">
      <c r="E910" s="218" t="n"/>
      <c r="G910" s="218" t="n"/>
    </row>
    <row r="911">
      <c r="E911" s="218" t="n"/>
      <c r="G911" s="218" t="n"/>
    </row>
    <row r="912">
      <c r="E912" s="218" t="n"/>
      <c r="G912" s="218" t="n"/>
    </row>
    <row r="913">
      <c r="E913" s="218" t="n"/>
      <c r="G913" s="218" t="n"/>
    </row>
    <row r="914">
      <c r="E914" s="218" t="n"/>
      <c r="G914" s="218" t="n"/>
    </row>
    <row r="915">
      <c r="E915" s="218" t="n"/>
      <c r="G915" s="218" t="n"/>
    </row>
    <row r="916">
      <c r="E916" s="218" t="n"/>
      <c r="G916" s="218" t="n"/>
    </row>
    <row r="917">
      <c r="E917" s="218" t="n"/>
      <c r="G917" s="218" t="n"/>
    </row>
    <row r="918">
      <c r="E918" s="218" t="n"/>
      <c r="G918" s="218" t="n"/>
    </row>
    <row r="919">
      <c r="E919" s="218" t="n"/>
      <c r="G919" s="218" t="n"/>
    </row>
    <row r="920">
      <c r="E920" s="218" t="n"/>
      <c r="G920" s="218" t="n"/>
    </row>
    <row r="921">
      <c r="E921" s="218" t="n"/>
      <c r="G921" s="218" t="n"/>
    </row>
    <row r="922">
      <c r="E922" s="218" t="n"/>
      <c r="G922" s="218" t="n"/>
    </row>
    <row r="923">
      <c r="E923" s="218" t="n"/>
      <c r="G923" s="218" t="n"/>
    </row>
    <row r="924">
      <c r="E924" s="218" t="n"/>
      <c r="G924" s="218" t="n"/>
    </row>
    <row r="925">
      <c r="E925" s="218" t="n"/>
      <c r="G925" s="218" t="n"/>
    </row>
    <row r="926">
      <c r="E926" s="218" t="n"/>
      <c r="G926" s="218" t="n"/>
    </row>
    <row r="927">
      <c r="E927" s="218" t="n"/>
      <c r="G927" s="218" t="n"/>
    </row>
    <row r="928">
      <c r="E928" s="218" t="n"/>
      <c r="G928" s="218" t="n"/>
    </row>
    <row r="929">
      <c r="E929" s="218" t="n"/>
      <c r="G929" s="218" t="n"/>
    </row>
    <row r="930">
      <c r="E930" s="218" t="n"/>
      <c r="G930" s="218" t="n"/>
    </row>
    <row r="931">
      <c r="E931" s="218" t="n"/>
      <c r="G931" s="218" t="n"/>
    </row>
    <row r="932">
      <c r="E932" s="218" t="n"/>
      <c r="G932" s="218" t="n"/>
    </row>
    <row r="933">
      <c r="E933" s="218" t="n"/>
      <c r="G933" s="218" t="n"/>
    </row>
    <row r="934">
      <c r="E934" s="218" t="n"/>
      <c r="G934" s="218" t="n"/>
    </row>
    <row r="935">
      <c r="E935" s="218" t="n"/>
      <c r="G935" s="218" t="n"/>
    </row>
    <row r="936">
      <c r="E936" s="218" t="n"/>
      <c r="G936" s="218" t="n"/>
    </row>
    <row r="937">
      <c r="E937" s="218" t="n"/>
      <c r="G937" s="218" t="n"/>
    </row>
    <row r="938">
      <c r="E938" s="218" t="n"/>
      <c r="G938" s="218" t="n"/>
    </row>
    <row r="939">
      <c r="E939" s="218" t="n"/>
      <c r="G939" s="218" t="n"/>
    </row>
    <row r="940">
      <c r="E940" s="218" t="n"/>
      <c r="G940" s="218" t="n"/>
    </row>
    <row r="941">
      <c r="E941" s="218" t="n"/>
      <c r="G941" s="218" t="n"/>
    </row>
    <row r="942">
      <c r="E942" s="218" t="n"/>
      <c r="G942" s="218" t="n"/>
    </row>
    <row r="943">
      <c r="E943" s="218" t="n"/>
      <c r="G943" s="218" t="n"/>
    </row>
    <row r="944">
      <c r="E944" s="218" t="n"/>
      <c r="G944" s="218" t="n"/>
    </row>
    <row r="945">
      <c r="E945" s="218" t="n"/>
      <c r="G945" s="218" t="n"/>
    </row>
    <row r="946">
      <c r="E946" s="218" t="n"/>
      <c r="G946" s="218" t="n"/>
    </row>
    <row r="947">
      <c r="E947" s="218" t="n"/>
      <c r="G947" s="218" t="n"/>
    </row>
    <row r="948">
      <c r="E948" s="218" t="n"/>
      <c r="G948" s="218" t="n"/>
    </row>
    <row r="949">
      <c r="E949" s="218" t="n"/>
      <c r="G949" s="218" t="n"/>
    </row>
    <row r="950">
      <c r="E950" s="218" t="n"/>
      <c r="G950" s="218" t="n"/>
    </row>
    <row r="951">
      <c r="E951" s="218" t="n"/>
      <c r="G951" s="218" t="n"/>
    </row>
    <row r="952">
      <c r="E952" s="218" t="n"/>
      <c r="G952" s="218" t="n"/>
    </row>
    <row r="953">
      <c r="E953" s="218" t="n"/>
      <c r="G953" s="218" t="n"/>
    </row>
    <row r="954">
      <c r="E954" s="218" t="n"/>
      <c r="G954" s="218" t="n"/>
    </row>
    <row r="955">
      <c r="E955" s="218" t="n"/>
      <c r="G955" s="218" t="n"/>
    </row>
    <row r="956">
      <c r="E956" s="218" t="n"/>
      <c r="G956" s="218" t="n"/>
    </row>
    <row r="957">
      <c r="E957" s="218" t="n"/>
      <c r="G957" s="218" t="n"/>
    </row>
    <row r="958">
      <c r="E958" s="218" t="n"/>
      <c r="G958" s="218" t="n"/>
    </row>
    <row r="959">
      <c r="E959" s="218" t="n"/>
      <c r="G959" s="218" t="n"/>
    </row>
    <row r="960">
      <c r="E960" s="218" t="n"/>
      <c r="G960" s="218" t="n"/>
    </row>
    <row r="961">
      <c r="E961" s="218" t="n"/>
      <c r="G961" s="218" t="n"/>
    </row>
    <row r="962">
      <c r="E962" s="218" t="n"/>
      <c r="G962" s="218" t="n"/>
    </row>
    <row r="963">
      <c r="E963" s="218" t="n"/>
      <c r="G963" s="218" t="n"/>
    </row>
    <row r="964">
      <c r="E964" s="218" t="n"/>
      <c r="G964" s="218" t="n"/>
    </row>
    <row r="965">
      <c r="E965" s="218" t="n"/>
      <c r="G965" s="218" t="n"/>
    </row>
    <row r="966">
      <c r="E966" s="218" t="n"/>
      <c r="G966" s="218" t="n"/>
    </row>
    <row r="967">
      <c r="E967" s="218" t="n"/>
      <c r="G967" s="218" t="n"/>
    </row>
    <row r="968">
      <c r="E968" s="218" t="n"/>
      <c r="G968" s="218" t="n"/>
    </row>
    <row r="969">
      <c r="E969" s="218" t="n"/>
      <c r="G969" s="218" t="n"/>
    </row>
    <row r="970">
      <c r="E970" s="218" t="n"/>
      <c r="G970" s="218" t="n"/>
    </row>
    <row r="971">
      <c r="E971" s="218" t="n"/>
      <c r="G971" s="218" t="n"/>
    </row>
    <row r="972">
      <c r="E972" s="218" t="n"/>
      <c r="G972" s="218" t="n"/>
    </row>
    <row r="973">
      <c r="E973" s="218" t="n"/>
      <c r="G973" s="218" t="n"/>
    </row>
    <row r="974">
      <c r="E974" s="218" t="n"/>
      <c r="G974" s="218" t="n"/>
    </row>
    <row r="975">
      <c r="E975" s="218" t="n"/>
      <c r="G975" s="218" t="n"/>
    </row>
    <row r="976">
      <c r="E976" s="218" t="n"/>
      <c r="G976" s="218" t="n"/>
    </row>
    <row r="977">
      <c r="E977" s="218" t="n"/>
      <c r="G977" s="218" t="n"/>
    </row>
    <row r="978">
      <c r="E978" s="218" t="n"/>
      <c r="G978" s="218" t="n"/>
    </row>
    <row r="979">
      <c r="E979" s="218" t="n"/>
      <c r="G979" s="218" t="n"/>
    </row>
    <row r="980">
      <c r="E980" s="218" t="n"/>
      <c r="G980" s="218" t="n"/>
    </row>
    <row r="981">
      <c r="E981" s="218" t="n"/>
      <c r="G981" s="218" t="n"/>
    </row>
    <row r="982">
      <c r="E982" s="218" t="n"/>
      <c r="G982" s="218" t="n"/>
    </row>
    <row r="983">
      <c r="E983" s="218" t="n"/>
      <c r="G983" s="218" t="n"/>
    </row>
    <row r="984">
      <c r="E984" s="218" t="n"/>
      <c r="G984" s="218" t="n"/>
    </row>
    <row r="985">
      <c r="E985" s="218" t="n"/>
      <c r="G985" s="218" t="n"/>
    </row>
    <row r="986">
      <c r="E986" s="218" t="n"/>
      <c r="G986" s="218" t="n"/>
    </row>
    <row r="987">
      <c r="E987" s="218" t="n"/>
      <c r="G987" s="218" t="n"/>
    </row>
    <row r="988">
      <c r="E988" s="218" t="n"/>
      <c r="G988" s="218" t="n"/>
    </row>
    <row r="989">
      <c r="E989" s="218" t="n"/>
      <c r="G989" s="218" t="n"/>
    </row>
    <row r="990">
      <c r="E990" s="218" t="n"/>
      <c r="G990" s="218" t="n"/>
    </row>
    <row r="991">
      <c r="E991" s="218" t="n"/>
      <c r="G991" s="218" t="n"/>
    </row>
    <row r="992">
      <c r="E992" s="218" t="n"/>
      <c r="G992" s="218" t="n"/>
    </row>
    <row r="993">
      <c r="E993" s="218" t="n"/>
      <c r="G993" s="218" t="n"/>
    </row>
    <row r="994">
      <c r="E994" s="218" t="n"/>
      <c r="G994" s="218" t="n"/>
    </row>
    <row r="995">
      <c r="E995" s="218" t="n"/>
      <c r="G995" s="218" t="n"/>
    </row>
    <row r="996">
      <c r="E996" s="218" t="n"/>
      <c r="G996" s="218" t="n"/>
    </row>
    <row r="997">
      <c r="E997" s="218" t="n"/>
      <c r="G997" s="218" t="n"/>
    </row>
    <row r="998">
      <c r="E998" s="218" t="n"/>
      <c r="G998" s="218" t="n"/>
    </row>
    <row r="999">
      <c r="E999" s="218" t="n"/>
      <c r="G999" s="218" t="n"/>
    </row>
    <row r="1000">
      <c r="E1000" s="218" t="n"/>
      <c r="G1000" s="218" t="n"/>
    </row>
  </sheetData>
  <dataValidations count="2">
    <dataValidation sqref="E2:E1000" showDropDown="0" showInputMessage="0" showErrorMessage="0" allowBlank="1" type="list">
      <formula1>"Яндекс Директ,Контур.Фокус,Google Ads,Партнеры,Органика SEO"</formula1>
    </dataValidation>
    <dataValidation sqref="G2:G1000" showDropDown="0" showInputMessage="0" showErrorMessage="0" allowBlank="1" type="list">
      <formula1>"1. First Touch,2. Lead Creation,3. Middle Nurture,4. Deal Close"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383F49"/>
    <outlinePr summaryBelow="0" summaryRight="0"/>
    <pageSetUpPr/>
  </sheetPr>
  <dimension ref="A1:AS1000"/>
  <sheetViews>
    <sheetView workbookViewId="0">
      <selection activeCell="A1" sqref="A1"/>
    </sheetView>
  </sheetViews>
  <sheetFormatPr baseColWidth="8" defaultColWidth="12.63" defaultRowHeight="15.75" customHeight="1"/>
  <cols>
    <col width="13.88" customWidth="1" style="461" min="1" max="1"/>
    <col width="28.88" customWidth="1" style="461" min="2" max="2"/>
    <col width="18.88" customWidth="1" style="461" min="3" max="3"/>
    <col width="14.5" customWidth="1" style="461" min="4" max="4"/>
    <col width="31.38" customWidth="1" style="461" min="5" max="5"/>
    <col width="22.63" customWidth="1" style="461" min="6" max="7"/>
    <col width="13.88" customWidth="1" style="461" min="8" max="8"/>
    <col width="21.38" customWidth="1" style="461" min="9" max="9"/>
    <col width="18.88" customWidth="1" style="461" min="10" max="12"/>
    <col width="16.38" customWidth="1" style="461" min="13" max="13"/>
    <col width="38.88" customWidth="1" style="461" min="14" max="14"/>
    <col width="14.5" customWidth="1" style="461" min="15" max="15"/>
    <col width="11.38" customWidth="1" style="461" min="16" max="16"/>
    <col width="16.38" customWidth="1" style="461" min="17" max="17"/>
    <col width="18.88" customWidth="1" style="461" min="18" max="19"/>
    <col width="13.88" customWidth="1" style="461" min="20" max="20"/>
    <col width="16.38" customWidth="1" style="461" min="21" max="22"/>
    <col width="14.5" customWidth="1" style="461" min="23" max="25"/>
    <col width="21.38" customWidth="1" style="461" min="26" max="26"/>
    <col width="16.38" customWidth="1" style="461" min="27" max="29"/>
    <col width="23.88" customWidth="1" style="461" min="30" max="30"/>
    <col width="20.13" customWidth="1" style="461" min="31" max="31"/>
    <col width="21.38" customWidth="1" style="461" min="32" max="33"/>
    <col width="23.88" customWidth="1" style="461" min="34" max="34"/>
    <col width="18.88" customWidth="1" style="461" min="35" max="35"/>
  </cols>
  <sheetData>
    <row r="1" ht="19.5" customHeight="1" s="461">
      <c r="A1" s="215" t="inlineStr">
        <is>
          <t>deal_id</t>
        </is>
      </c>
      <c r="B1" s="215" t="inlineStr">
        <is>
          <t>client_name</t>
        </is>
      </c>
      <c r="C1" s="215" t="inlineStr">
        <is>
          <t>amount</t>
        </is>
      </c>
      <c r="D1" s="215" t="inlineStr">
        <is>
          <t>stage_id</t>
        </is>
      </c>
      <c r="E1" s="215" t="inlineStr">
        <is>
          <t>stage_name</t>
        </is>
      </c>
      <c r="F1" s="215" t="inlineStr">
        <is>
          <t>created_date</t>
        </is>
      </c>
      <c r="G1" s="215" t="inlineStr">
        <is>
          <t>stage_changed_date</t>
        </is>
      </c>
      <c r="H1" s="215" t="inlineStr">
        <is>
          <t>manager_id</t>
        </is>
      </c>
      <c r="I1" s="215" t="inlineStr">
        <is>
          <t>segment_code</t>
        </is>
      </c>
      <c r="J1" s="215" t="inlineStr">
        <is>
          <t>lead_source</t>
        </is>
      </c>
      <c r="K1" s="215" t="inlineStr">
        <is>
          <t>client_id</t>
        </is>
      </c>
      <c r="L1" s="215" t="inlineStr">
        <is>
          <t>scoring_tier</t>
        </is>
      </c>
      <c r="M1" s="215" t="inlineStr">
        <is>
          <t>loss_code</t>
        </is>
      </c>
      <c r="N1" s="215" t="inlineStr">
        <is>
          <t>synced_at</t>
        </is>
      </c>
      <c r="O1" s="215" t="inlineStr">
        <is>
          <t>is_won</t>
        </is>
      </c>
      <c r="P1" s="215" t="inlineStr">
        <is>
          <t>is_lost</t>
        </is>
      </c>
      <c r="Q1" s="215" t="inlineStr">
        <is>
          <t>days_in_stage</t>
        </is>
      </c>
      <c r="R1" s="215" t="inlineStr">
        <is>
          <t>aging_cohort</t>
        </is>
      </c>
      <c r="S1" s="215" t="inlineStr">
        <is>
          <t>weighted_val</t>
        </is>
      </c>
      <c r="T1" s="215" t="inlineStr">
        <is>
          <t>cycle_days</t>
        </is>
      </c>
      <c r="U1" s="215" t="inlineStr">
        <is>
          <t>utm_source</t>
        </is>
      </c>
      <c r="V1" s="215" t="inlineStr">
        <is>
          <t>utm_medium</t>
        </is>
      </c>
      <c r="W1" s="215" t="inlineStr">
        <is>
          <t>utm_campaign</t>
        </is>
      </c>
      <c r="X1" s="215" t="inlineStr">
        <is>
          <t>yclid</t>
        </is>
      </c>
      <c r="Y1" s="215" t="inlineStr">
        <is>
          <t>gclid</t>
        </is>
      </c>
      <c r="Z1" s="218" t="inlineStr">
        <is>
          <t>data_snapshot_date</t>
        </is>
      </c>
      <c r="AA1" s="218" t="inlineStr">
        <is>
          <t>data_version</t>
        </is>
      </c>
      <c r="AB1" s="218" t="inlineStr">
        <is>
          <t>uploaded_by</t>
        </is>
      </c>
      <c r="AC1" s="218" t="inlineStr">
        <is>
          <t>upload_hash</t>
        </is>
      </c>
      <c r="AD1" s="218" t="inlineStr">
        <is>
          <t>next_action_type</t>
        </is>
      </c>
      <c r="AE1" s="218" t="inlineStr">
        <is>
          <t>next_action_date</t>
        </is>
      </c>
      <c r="AF1" s="218" t="inlineStr">
        <is>
          <t>next_action_owner</t>
        </is>
      </c>
      <c r="AG1" s="218" t="inlineStr">
        <is>
          <t>next_action_channel</t>
        </is>
      </c>
      <c r="AH1" s="218" t="inlineStr">
        <is>
          <t>next_action_health</t>
        </is>
      </c>
      <c r="AI1" s="218" t="inlineStr">
        <is>
          <t>deal_health_score</t>
        </is>
      </c>
      <c r="AJ1" s="218" t="n"/>
      <c r="AK1" s="218" t="n"/>
      <c r="AL1" s="218" t="n"/>
      <c r="AM1" s="218" t="n"/>
      <c r="AN1" s="218" t="n"/>
      <c r="AO1" s="218" t="n"/>
      <c r="AP1" s="218" t="n"/>
      <c r="AQ1" s="218" t="n"/>
      <c r="AR1" s="218" t="n"/>
      <c r="AS1" s="218" t="n"/>
    </row>
    <row r="2">
      <c r="A2" s="218" t="inlineStr">
        <is>
          <t>D-101</t>
        </is>
      </c>
      <c r="B2" s="218" t="inlineStr">
        <is>
          <t>ООО "Альфа Трейд"</t>
        </is>
      </c>
      <c r="C2" s="346" t="n">
        <v>450000</v>
      </c>
      <c r="D2" s="218" t="n">
        <v>6</v>
      </c>
      <c r="E2" s="218" t="inlineStr">
        <is>
          <t>6. Успешно реализовано</t>
        </is>
      </c>
      <c r="F2" s="246" t="n">
        <v>46267</v>
      </c>
      <c r="G2" s="246" t="n">
        <v>46277</v>
      </c>
      <c r="H2" s="218" t="n">
        <v>102</v>
      </c>
      <c r="I2" s="218" t="inlineStr">
        <is>
          <t>SEG1</t>
        </is>
      </c>
      <c r="J2" s="218" t="inlineStr">
        <is>
          <t>Яндекс Директ</t>
        </is>
      </c>
      <c r="K2" s="218" t="inlineStr">
        <is>
          <t>ga_11</t>
        </is>
      </c>
      <c r="L2" s="218" t="inlineStr">
        <is>
          <t>A</t>
        </is>
      </c>
      <c r="M2" s="218" t="n"/>
      <c r="N2" s="227" t="n">
        <v>46285.47214517361</v>
      </c>
      <c r="O2" s="218">
        <f>IF(A2="","",D2=6)</f>
        <v/>
      </c>
      <c r="P2" s="218">
        <f>IF(A2="","",D2=7)</f>
        <v/>
      </c>
      <c r="Q2" s="218">
        <f>IF(A2="","",IF(D2&gt;=6,0,IF(ISBLANK(G2),0,IF(calc_engine!$B$1&gt;INT(G2),INT(calc_engine!$B$1-G2),0))))</f>
        <v/>
      </c>
      <c r="R2" s="218">
        <f>IF(A2="","",IF(D2&gt;=6,"closed",IF(Q2&lt;=3,"0-3",IF(Q2&lt;=7,"4-7",IF(Q2&lt;=14,"8-14",IF(Q2&lt;=30,"15-30","zombie"))))))</f>
        <v/>
      </c>
      <c r="S2" s="346">
        <f>IF(A2="","",C2*IFERROR(VLOOKUP(D2,'⚙️ Настройки'!$A$12:$D$18,4,FALSE),0))</f>
        <v/>
      </c>
      <c r="T2" s="218">
        <f>IF(A2="","",IF(D2&gt;=6,IF(G2&gt;F2,INT(G2-F2),1),IF(calc_engine!$B$1&gt;INT(F2),INT(calc_engine!$B$1-F2),1)))</f>
        <v/>
      </c>
      <c r="U2" s="218" t="inlineStr">
        <is>
          <t>yandex</t>
        </is>
      </c>
      <c r="V2" s="218" t="inlineStr">
        <is>
          <t>cpc</t>
        </is>
      </c>
      <c r="W2" s="218" t="inlineStr">
        <is>
          <t>retarget_b2b</t>
        </is>
      </c>
      <c r="X2" s="218" t="inlineStr">
        <is>
          <t>yclid_101</t>
        </is>
      </c>
      <c r="Z2" s="227">
        <f>calc_engine!$B$1</f>
        <v/>
      </c>
      <c r="AH2" s="218">
        <f>IF(A2="","", IF(AD2="","🔴 NO NEXT ACTION", IF(AE2&lt;calc_engine!$B$1,"🔴 OVERDUE", IF(AE2-calc_engine!$B$1&lt;=1,"🟡 TODAY", IF(AE2-calc_engine!$B$1&lt;=3,"🟢 SOON","🟢 PLANNED")))))</f>
        <v/>
      </c>
      <c r="AI2" s="218">
        <f>IF(A2="","", ROUND( IF(Q2&lt;=1, 30, IF(Q2&lt;=3, 20, IF(Q2&lt;=7, 10, 0))) + IF(AD2&lt;&gt;"", 25, 0) + IF(T2&lt;=14, 20, 10) + IF(I2="SEG1", 15, 10) + IF(C2&gt;=500000, 10, 5), 0))</f>
        <v/>
      </c>
    </row>
    <row r="3">
      <c r="A3" s="218" t="inlineStr">
        <is>
          <t>D-102</t>
        </is>
      </c>
      <c r="B3" s="218" t="inlineStr">
        <is>
          <t>АО "Северсталь Ресурс"</t>
        </is>
      </c>
      <c r="C3" s="346" t="n">
        <v>1200000</v>
      </c>
      <c r="D3" s="218" t="n">
        <v>6</v>
      </c>
      <c r="E3" s="218" t="inlineStr">
        <is>
          <t>6. Успешно реализовано</t>
        </is>
      </c>
      <c r="F3" s="246" t="n">
        <v>46269</v>
      </c>
      <c r="G3" s="246" t="n">
        <v>46281</v>
      </c>
      <c r="H3" s="218" t="n">
        <v>101</v>
      </c>
      <c r="I3" s="218" t="inlineStr">
        <is>
          <t>SEG1</t>
        </is>
      </c>
      <c r="J3" s="218" t="inlineStr">
        <is>
          <t>Контур.Фокус</t>
        </is>
      </c>
      <c r="K3" s="218" t="inlineStr">
        <is>
          <t>ga_12</t>
        </is>
      </c>
      <c r="L3" s="218" t="inlineStr">
        <is>
          <t>A</t>
        </is>
      </c>
      <c r="M3" s="218" t="n"/>
      <c r="N3" s="227" t="n">
        <v>46285.47214517361</v>
      </c>
      <c r="O3" s="218">
        <f>IF(A3="","",D3=6)</f>
        <v/>
      </c>
      <c r="P3" s="218">
        <f>IF(A3="","",D3=7)</f>
        <v/>
      </c>
      <c r="Q3" s="218">
        <f>IF(A3="","",IF(D3&gt;=6,0,IF(ISBLANK(G3),0,IF(calc_engine!$B$1&gt;INT(G3),INT(calc_engine!$B$1-G3),0))))</f>
        <v/>
      </c>
      <c r="R3" s="218">
        <f>IF(A3="","",IF(D3&gt;=6,"closed",IF(Q3&lt;=3,"0-3",IF(Q3&lt;=7,"4-7",IF(Q3&lt;=14,"8-14",IF(Q3&lt;=30,"15-30","zombie"))))))</f>
        <v/>
      </c>
      <c r="S3" s="346">
        <f>IF(A3="","",C3*IFERROR(VLOOKUP(D3,'⚙️ Настройки'!$A$12:$D$18,4,FALSE),0))</f>
        <v/>
      </c>
      <c r="T3" s="218">
        <f>IF(A3="","",IF(D3&gt;=6,IF(G3&gt;F3,INT(G3-F3),1),IF(calc_engine!$B$1&gt;INT(F3),INT(calc_engine!$B$1-F3),1)))</f>
        <v/>
      </c>
      <c r="U3" s="218" t="inlineStr">
        <is>
          <t>kontur</t>
        </is>
      </c>
      <c r="V3" s="218" t="inlineStr">
        <is>
          <t>cold</t>
        </is>
      </c>
      <c r="W3" s="218" t="inlineStr">
        <is>
          <t>cold_parsing</t>
        </is>
      </c>
      <c r="Z3" s="227">
        <f>calc_engine!$B$1</f>
        <v/>
      </c>
      <c r="AH3" s="218">
        <f>IF(A3="","", IF(AD3="","🔴 NO NEXT ACTION", IF(AE3&lt;calc_engine!$B$1,"🔴 OVERDUE", IF(AE3-calc_engine!$B$1&lt;=1,"🟡 TODAY", IF(AE3-calc_engine!$B$1&lt;=3,"🟢 SOON","🟢 PLANNED")))))</f>
        <v/>
      </c>
      <c r="AI3" s="218">
        <f>IF(A3="","", ROUND( IF(Q3&lt;=1, 30, IF(Q3&lt;=3, 20, IF(Q3&lt;=7, 10, 0))) + IF(AD3&lt;&gt;"", 25, 0) + IF(T3&lt;=14, 20, 10) + IF(I3="SEG1", 15, 10) + IF(C3&gt;=500000, 10, 5), 0))</f>
        <v/>
      </c>
    </row>
    <row r="4">
      <c r="A4" s="218" t="inlineStr">
        <is>
          <t>D-103</t>
        </is>
      </c>
      <c r="B4" s="218" t="inlineStr">
        <is>
          <t>ИП Смирнов О.В.</t>
        </is>
      </c>
      <c r="C4" s="346" t="n">
        <v>150000</v>
      </c>
      <c r="D4" s="218" t="n">
        <v>5</v>
      </c>
      <c r="E4" s="218" t="inlineStr">
        <is>
          <t>5. Счет выставлен</t>
        </is>
      </c>
      <c r="F4" s="246" t="n">
        <v>46275</v>
      </c>
      <c r="G4" s="246" t="n">
        <v>46285</v>
      </c>
      <c r="H4" s="218" t="n">
        <v>103</v>
      </c>
      <c r="I4" s="218" t="inlineStr">
        <is>
          <t>SEG2</t>
        </is>
      </c>
      <c r="J4" s="218" t="inlineStr">
        <is>
          <t>Google Ads</t>
        </is>
      </c>
      <c r="K4" s="218" t="inlineStr">
        <is>
          <t>ga_13</t>
        </is>
      </c>
      <c r="L4" s="218" t="inlineStr">
        <is>
          <t>B</t>
        </is>
      </c>
      <c r="M4" s="218" t="n"/>
      <c r="N4" s="227" t="n">
        <v>46285.47214517361</v>
      </c>
      <c r="O4" s="218">
        <f>IF(A4="","",D4=6)</f>
        <v/>
      </c>
      <c r="P4" s="218">
        <f>IF(A4="","",D4=7)</f>
        <v/>
      </c>
      <c r="Q4" s="218">
        <f>IF(A4="","",IF(D4&gt;=6,0,IF(ISBLANK(G4),0,IF(calc_engine!$B$1&gt;INT(G4),INT(calc_engine!$B$1-G4),0))))</f>
        <v/>
      </c>
      <c r="R4" s="218">
        <f>IF(A4="","",IF(D4&gt;=6,"closed",IF(Q4&lt;=3,"0-3",IF(Q4&lt;=7,"4-7",IF(Q4&lt;=14,"8-14",IF(Q4&lt;=30,"15-30","zombie"))))))</f>
        <v/>
      </c>
      <c r="S4" s="346">
        <f>IF(A4="","",C4*IFERROR(VLOOKUP(D4,'⚙️ Настройки'!$A$12:$D$18,4,FALSE),0))</f>
        <v/>
      </c>
      <c r="T4" s="218">
        <f>IF(A4="","",IF(D4&gt;=6,IF(G4&gt;F4,INT(G4-F4),1),IF(calc_engine!$B$1&gt;INT(F4),INT(calc_engine!$B$1-F4),1)))</f>
        <v/>
      </c>
      <c r="U4" s="218" t="inlineStr">
        <is>
          <t>google</t>
        </is>
      </c>
      <c r="V4" s="218" t="inlineStr">
        <is>
          <t>cpc</t>
        </is>
      </c>
      <c r="W4" s="218" t="inlineStr">
        <is>
          <t>search_brand</t>
        </is>
      </c>
      <c r="Y4" s="218" t="inlineStr">
        <is>
          <t>gclid_103</t>
        </is>
      </c>
      <c r="Z4" s="227">
        <f>calc_engine!$B$1</f>
        <v/>
      </c>
      <c r="AD4" s="218" t="inlineStr">
        <is>
          <t>счёт</t>
        </is>
      </c>
      <c r="AE4" s="246" t="n">
        <v>46293</v>
      </c>
      <c r="AF4" s="218" t="n">
        <v>102</v>
      </c>
      <c r="AG4" s="218" t="inlineStr">
        <is>
          <t>phone</t>
        </is>
      </c>
      <c r="AH4" s="218">
        <f>IF(A4="","", IF(AD4="","🔴 NO NEXT ACTION", IF(AE4&lt;calc_engine!$B$1,"🔴 OVERDUE", IF(AE4-calc_engine!$B$1&lt;=1,"🟡 TODAY", IF(AE4-calc_engine!$B$1&lt;=3,"🟢 SOON","🟢 PLANNED")))))</f>
        <v/>
      </c>
      <c r="AI4" s="218">
        <f>IF(A4="","", ROUND( IF(Q4&lt;=1, 30, IF(Q4&lt;=3, 20, IF(Q4&lt;=7, 10, 0))) + IF(AD4&lt;&gt;"", 25, 0) + IF(T4&lt;=14, 20, 10) + IF(I4="SEG1", 15, 10) + IF(C4&gt;=500000, 10, 5), 0))</f>
        <v/>
      </c>
    </row>
    <row r="5">
      <c r="A5" s="218" t="inlineStr">
        <is>
          <t>D-104</t>
        </is>
      </c>
      <c r="B5" s="218" t="inlineStr">
        <is>
          <t>ООО "Вектор Плюс"</t>
        </is>
      </c>
      <c r="C5" s="346" t="n">
        <v>850000</v>
      </c>
      <c r="D5" s="218" t="n">
        <v>4</v>
      </c>
      <c r="E5" s="218" t="inlineStr">
        <is>
          <t>4. КП и согласование</t>
        </is>
      </c>
      <c r="F5" s="246" t="n">
        <v>46277</v>
      </c>
      <c r="G5" s="246" t="n">
        <v>46282</v>
      </c>
      <c r="H5" s="218" t="n">
        <v>101</v>
      </c>
      <c r="I5" s="218" t="inlineStr">
        <is>
          <t>SEG1</t>
        </is>
      </c>
      <c r="J5" s="218" t="inlineStr">
        <is>
          <t>Контур.Фокус</t>
        </is>
      </c>
      <c r="K5" s="218" t="inlineStr">
        <is>
          <t>ga_14</t>
        </is>
      </c>
      <c r="L5" s="218" t="inlineStr">
        <is>
          <t>A</t>
        </is>
      </c>
      <c r="M5" s="218" t="n"/>
      <c r="N5" s="227" t="n">
        <v>46285.47214517361</v>
      </c>
      <c r="O5" s="218">
        <f>IF(A5="","",D5=6)</f>
        <v/>
      </c>
      <c r="P5" s="218">
        <f>IF(A5="","",D5=7)</f>
        <v/>
      </c>
      <c r="Q5" s="218">
        <f>IF(A5="","",IF(D5&gt;=6,0,IF(ISBLANK(G5),0,IF(calc_engine!$B$1&gt;INT(G5),INT(calc_engine!$B$1-G5),0))))</f>
        <v/>
      </c>
      <c r="R5" s="218">
        <f>IF(A5="","",IF(D5&gt;=6,"closed",IF(Q5&lt;=3,"0-3",IF(Q5&lt;=7,"4-7",IF(Q5&lt;=14,"8-14",IF(Q5&lt;=30,"15-30","zombie"))))))</f>
        <v/>
      </c>
      <c r="S5" s="346">
        <f>IF(A5="","",C5*IFERROR(VLOOKUP(D5,'⚙️ Настройки'!$A$12:$D$18,4,FALSE),0))</f>
        <v/>
      </c>
      <c r="T5" s="218">
        <f>IF(A5="","",IF(D5&gt;=6,IF(G5&gt;F5,INT(G5-F5),1),IF(calc_engine!$B$1&gt;INT(F5),INT(calc_engine!$B$1-F5),1)))</f>
        <v/>
      </c>
      <c r="U5" s="218" t="inlineStr">
        <is>
          <t>kontur</t>
        </is>
      </c>
      <c r="V5" s="218" t="inlineStr">
        <is>
          <t>cold</t>
        </is>
      </c>
      <c r="W5" s="218" t="inlineStr">
        <is>
          <t>cold_parsing</t>
        </is>
      </c>
      <c r="Z5" s="227">
        <f>calc_engine!$B$1</f>
        <v/>
      </c>
      <c r="AD5" s="218" t="inlineStr">
        <is>
          <t>КП</t>
        </is>
      </c>
      <c r="AE5" s="246" t="n">
        <v>46294</v>
      </c>
      <c r="AF5" s="218" t="n">
        <v>101</v>
      </c>
      <c r="AG5" s="218" t="inlineStr">
        <is>
          <t>email</t>
        </is>
      </c>
      <c r="AH5" s="218">
        <f>IF(A5="","", IF(AD5="","🔴 NO NEXT ACTION", IF(AE5&lt;calc_engine!$B$1,"🔴 OVERDUE", IF(AE5-calc_engine!$B$1&lt;=1,"🟡 TODAY", IF(AE5-calc_engine!$B$1&lt;=3,"🟢 SOON","🟢 PLANNED")))))</f>
        <v/>
      </c>
      <c r="AI5" s="218">
        <f>IF(A5="","", ROUND( IF(Q5&lt;=1, 30, IF(Q5&lt;=3, 20, IF(Q5&lt;=7, 10, 0))) + IF(AD5&lt;&gt;"", 25, 0) + IF(T5&lt;=14, 20, 10) + IF(I5="SEG1", 15, 10) + IF(C5&gt;=500000, 10, 5), 0))</f>
        <v/>
      </c>
    </row>
    <row r="6">
      <c r="A6" s="218" t="inlineStr">
        <is>
          <t>D-105</t>
        </is>
      </c>
      <c r="B6" s="218" t="inlineStr">
        <is>
          <t>ООО "Глобал Инвест"</t>
        </is>
      </c>
      <c r="C6" s="346" t="n">
        <v>3000000</v>
      </c>
      <c r="D6" s="218" t="n">
        <v>4</v>
      </c>
      <c r="E6" s="218" t="inlineStr">
        <is>
          <t>4. КП и согласование</t>
        </is>
      </c>
      <c r="F6" s="246" t="n">
        <v>46266</v>
      </c>
      <c r="G6" s="246" t="n">
        <v>46280</v>
      </c>
      <c r="H6" s="218" t="n">
        <v>102</v>
      </c>
      <c r="I6" s="218" t="inlineStr">
        <is>
          <t>Петров Александр (КАМ)</t>
        </is>
      </c>
      <c r="J6" s="218" t="inlineStr">
        <is>
          <t>Партнеры</t>
        </is>
      </c>
      <c r="K6" s="218" t="inlineStr">
        <is>
          <t>ga_15</t>
        </is>
      </c>
      <c r="L6" s="218" t="inlineStr">
        <is>
          <t>A</t>
        </is>
      </c>
      <c r="M6" s="218" t="n"/>
      <c r="N6" s="227" t="n">
        <v>46285.47214517361</v>
      </c>
      <c r="O6" s="218">
        <f>IF(A6="","",D6=6)</f>
        <v/>
      </c>
      <c r="P6" s="218">
        <f>IF(A6="","",D6=7)</f>
        <v/>
      </c>
      <c r="Q6" s="218">
        <f>IF(A6="","",IF(D6&gt;=6,0,IF(ISBLANK(G6),0,IF(calc_engine!$B$1&gt;INT(G6),INT(calc_engine!$B$1-G6),0))))</f>
        <v/>
      </c>
      <c r="R6" s="218">
        <f>IF(A6="","",IF(D6&gt;=6,"closed",IF(Q6&lt;=3,"0-3",IF(Q6&lt;=7,"4-7",IF(Q6&lt;=14,"8-14",IF(Q6&lt;=30,"15-30","zombie"))))))</f>
        <v/>
      </c>
      <c r="S6" s="346">
        <f>IF(A6="","",C6*IFERROR(VLOOKUP(D6,'⚙️ Настройки'!$A$12:$D$18,4,FALSE),0))</f>
        <v/>
      </c>
      <c r="T6" s="218">
        <f>IF(A6="","",IF(D6&gt;=6,IF(G6&gt;F6,INT(G6-F6),1),IF(calc_engine!$B$1&gt;INT(F6),INT(calc_engine!$B$1-F6),1)))</f>
        <v/>
      </c>
      <c r="U6" s="218" t="inlineStr">
        <is>
          <t>partner</t>
        </is>
      </c>
      <c r="V6" s="218" t="inlineStr">
        <is>
          <t>referral</t>
        </is>
      </c>
      <c r="W6" s="218" t="inlineStr">
        <is>
          <t>ref_network</t>
        </is>
      </c>
      <c r="Z6" s="227">
        <f>calc_engine!$B$1</f>
        <v/>
      </c>
      <c r="AD6" s="218" t="inlineStr">
        <is>
          <t>КП</t>
        </is>
      </c>
      <c r="AE6" s="246" t="n">
        <v>46295</v>
      </c>
      <c r="AF6" s="218" t="n">
        <v>103</v>
      </c>
      <c r="AG6" s="218" t="inlineStr">
        <is>
          <t>meeting</t>
        </is>
      </c>
      <c r="AH6" s="218">
        <f>IF(A6="","", IF(AD6="","🔴 NO NEXT ACTION", IF(AE6&lt;calc_engine!$B$1,"🔴 OVERDUE", IF(AE6-calc_engine!$B$1&lt;=1,"🟡 TODAY", IF(AE6-calc_engine!$B$1&lt;=3,"🟢 SOON","🟢 PLANNED")))))</f>
        <v/>
      </c>
      <c r="AI6" s="218">
        <f>IF(A6="","", ROUND( IF(Q6&lt;=1, 30, IF(Q6&lt;=3, 20, IF(Q6&lt;=7, 10, 0))) + IF(AD6&lt;&gt;"", 25, 0) + IF(T6&lt;=14, 20, 10) + IF(I6="SEG1", 15, 10) + IF(C6&gt;=500000, 10, 5), 0))</f>
        <v/>
      </c>
    </row>
    <row r="7">
      <c r="A7" s="218" t="inlineStr">
        <is>
          <t>D-106</t>
        </is>
      </c>
      <c r="B7" s="218" t="inlineStr">
        <is>
          <t>ООО "СнабСервис"</t>
        </is>
      </c>
      <c r="C7" s="346" t="n">
        <v>280000</v>
      </c>
      <c r="D7" s="218" t="n">
        <v>3</v>
      </c>
      <c r="E7" s="218" t="inlineStr">
        <is>
          <t>3. Встреча / Демо</t>
        </is>
      </c>
      <c r="F7" s="246" t="n">
        <v>46279</v>
      </c>
      <c r="G7" s="246" t="n">
        <v>46291</v>
      </c>
      <c r="H7" s="218" t="n">
        <v>102</v>
      </c>
      <c r="I7" s="218" t="inlineStr">
        <is>
          <t>SEG2</t>
        </is>
      </c>
      <c r="J7" s="218" t="inlineStr">
        <is>
          <t>Яндекс Директ</t>
        </is>
      </c>
      <c r="K7" s="218" t="inlineStr">
        <is>
          <t>ga_16</t>
        </is>
      </c>
      <c r="L7" s="218" t="inlineStr">
        <is>
          <t>B</t>
        </is>
      </c>
      <c r="M7" s="218" t="n"/>
      <c r="N7" s="227" t="n">
        <v>46285.47214517361</v>
      </c>
      <c r="O7" s="218">
        <f>IF(A7="","",D7=6)</f>
        <v/>
      </c>
      <c r="P7" s="218">
        <f>IF(A7="","",D7=7)</f>
        <v/>
      </c>
      <c r="Q7" s="218">
        <f>IF(A7="","",IF(D7&gt;=6,0,IF(ISBLANK(G7),0,IF(calc_engine!$B$1&gt;INT(G7),INT(calc_engine!$B$1-G7),0))))</f>
        <v/>
      </c>
      <c r="R7" s="218">
        <f>IF(A7="","",IF(D7&gt;=6,"closed",IF(Q7&lt;=3,"0-3",IF(Q7&lt;=7,"4-7",IF(Q7&lt;=14,"8-14",IF(Q7&lt;=30,"15-30","zombie"))))))</f>
        <v/>
      </c>
      <c r="S7" s="346">
        <f>IF(A7="","",C7*IFERROR(VLOOKUP(D7,'⚙️ Настройки'!$A$12:$D$18,4,FALSE),0))</f>
        <v/>
      </c>
      <c r="T7" s="218">
        <f>IF(A7="","",IF(D7&gt;=6,IF(G7&gt;F7,INT(G7-F7),1),IF(calc_engine!$B$1&gt;INT(F7),INT(calc_engine!$B$1-F7),1)))</f>
        <v/>
      </c>
      <c r="U7" s="218" t="inlineStr">
        <is>
          <t>yandex</t>
        </is>
      </c>
      <c r="V7" s="218" t="inlineStr">
        <is>
          <t>cpc</t>
        </is>
      </c>
      <c r="W7" s="218" t="inlineStr">
        <is>
          <t>search_rf</t>
        </is>
      </c>
      <c r="X7" s="218" t="inlineStr">
        <is>
          <t>yclid_106</t>
        </is>
      </c>
      <c r="Z7" s="227">
        <f>calc_engine!$B$1</f>
        <v/>
      </c>
      <c r="AD7" s="218" t="inlineStr">
        <is>
          <t>встреча</t>
        </is>
      </c>
      <c r="AE7" s="246" t="n">
        <v>46297</v>
      </c>
      <c r="AF7" s="218" t="n">
        <v>102</v>
      </c>
      <c r="AG7" s="218" t="inlineStr">
        <is>
          <t>meeting</t>
        </is>
      </c>
      <c r="AH7" s="218">
        <f>IF(A7="","", IF(AD7="","🔴 NO NEXT ACTION", IF(AE7&lt;calc_engine!$B$1,"🔴 OVERDUE", IF(AE7-calc_engine!$B$1&lt;=1,"🟡 TODAY", IF(AE7-calc_engine!$B$1&lt;=3,"🟢 SOON","🟢 PLANNED")))))</f>
        <v/>
      </c>
      <c r="AI7" s="218">
        <f>IF(A7="","", ROUND( IF(Q7&lt;=1, 30, IF(Q7&lt;=3, 20, IF(Q7&lt;=7, 10, 0))) + IF(AD7&lt;&gt;"", 25, 0) + IF(T7&lt;=14, 20, 10) + IF(I7="SEG1", 15, 10) + IF(C7&gt;=500000, 10, 5), 0))</f>
        <v/>
      </c>
    </row>
    <row r="8">
      <c r="A8" s="218" t="inlineStr">
        <is>
          <t>D-107</t>
        </is>
      </c>
      <c r="B8" s="218" t="inlineStr">
        <is>
          <t>ИП Николаев А.С.</t>
        </is>
      </c>
      <c r="C8" s="346" t="n">
        <v>120000</v>
      </c>
      <c r="D8" s="218" t="n">
        <v>2</v>
      </c>
      <c r="E8" s="218" t="inlineStr">
        <is>
          <t>2. Квалификация / ЛПР</t>
        </is>
      </c>
      <c r="F8" s="246" t="n">
        <v>46280</v>
      </c>
      <c r="G8" s="246" t="n">
        <v>46293</v>
      </c>
      <c r="H8" s="218" t="n">
        <v>103</v>
      </c>
      <c r="I8" s="218" t="inlineStr">
        <is>
          <t>SEG2</t>
        </is>
      </c>
      <c r="J8" s="218" t="inlineStr">
        <is>
          <t>Органика SEO</t>
        </is>
      </c>
      <c r="K8" s="218" t="inlineStr">
        <is>
          <t>ga_17</t>
        </is>
      </c>
      <c r="L8" s="218" t="inlineStr">
        <is>
          <t>C</t>
        </is>
      </c>
      <c r="M8" s="218" t="n"/>
      <c r="N8" s="227" t="n">
        <v>46285.47214517361</v>
      </c>
      <c r="O8" s="218">
        <f>IF(A8="","",D8=6)</f>
        <v/>
      </c>
      <c r="P8" s="218">
        <f>IF(A8="","",D8=7)</f>
        <v/>
      </c>
      <c r="Q8" s="218">
        <f>IF(A8="","",IF(D8&gt;=6,0,IF(ISBLANK(G8),0,IF(calc_engine!$B$1&gt;INT(G8),INT(calc_engine!$B$1-G8),0))))</f>
        <v/>
      </c>
      <c r="R8" s="218">
        <f>IF(A8="","",IF(D8&gt;=6,"closed",IF(Q8&lt;=3,"0-3",IF(Q8&lt;=7,"4-7",IF(Q8&lt;=14,"8-14",IF(Q8&lt;=30,"15-30","zombie"))))))</f>
        <v/>
      </c>
      <c r="S8" s="346">
        <f>IF(A8="","",C8*IFERROR(VLOOKUP(D8,'⚙️ Настройки'!$A$12:$D$18,4,FALSE),0))</f>
        <v/>
      </c>
      <c r="T8" s="218">
        <f>IF(A8="","",IF(D8&gt;=6,IF(G8&gt;F8,INT(G8-F8),1),IF(calc_engine!$B$1&gt;INT(F8),INT(calc_engine!$B$1-F8),1)))</f>
        <v/>
      </c>
      <c r="U8" s="218" t="inlineStr">
        <is>
          <t>organic</t>
        </is>
      </c>
      <c r="V8" s="218" t="inlineStr">
        <is>
          <t>search</t>
        </is>
      </c>
      <c r="W8" s="218" t="inlineStr">
        <is>
          <t>seo_blog</t>
        </is>
      </c>
      <c r="Z8" s="227">
        <f>calc_engine!$B$1</f>
        <v/>
      </c>
      <c r="AD8" s="218" t="inlineStr">
        <is>
          <t>звонок</t>
        </is>
      </c>
      <c r="AE8" s="246" t="n">
        <v>46300</v>
      </c>
      <c r="AF8" s="218" t="n">
        <v>103</v>
      </c>
      <c r="AG8" s="218" t="inlineStr">
        <is>
          <t>phone</t>
        </is>
      </c>
      <c r="AH8" s="218">
        <f>IF(A8="","", IF(AD8="","🔴 NO NEXT ACTION", IF(AE8&lt;calc_engine!$B$1,"🔴 OVERDUE", IF(AE8-calc_engine!$B$1&lt;=1,"🟡 TODAY", IF(AE8-calc_engine!$B$1&lt;=3,"🟢 SOON","🟢 PLANNED")))))</f>
        <v/>
      </c>
      <c r="AI8" s="218">
        <f>IF(A8="","", ROUND( IF(Q8&lt;=1, 30, IF(Q8&lt;=3, 20, IF(Q8&lt;=7, 10, 0))) + IF(AD8&lt;&gt;"", 25, 0) + IF(T8&lt;=14, 20, 10) + IF(I8="SEG1", 15, 10) + IF(C8&gt;=500000, 10, 5), 0))</f>
        <v/>
      </c>
    </row>
    <row r="9">
      <c r="A9" s="218" t="inlineStr">
        <is>
          <t>D-108</t>
        </is>
      </c>
      <c r="B9" s="218" t="inlineStr">
        <is>
          <t>ООО "Ритейл Групп"</t>
        </is>
      </c>
      <c r="C9" s="346" t="n">
        <v>950000</v>
      </c>
      <c r="D9" s="218" t="n">
        <v>1</v>
      </c>
      <c r="E9" s="218" t="inlineStr">
        <is>
          <t>1. Новый лид</t>
        </is>
      </c>
      <c r="F9" s="246" t="n">
        <v>46283</v>
      </c>
      <c r="G9" s="246" t="n">
        <v>46294</v>
      </c>
      <c r="H9" s="218" t="n">
        <v>103</v>
      </c>
      <c r="I9" s="218" t="inlineStr">
        <is>
          <t>SEG1</t>
        </is>
      </c>
      <c r="J9" s="218" t="inlineStr">
        <is>
          <t>Контур.Фокус</t>
        </is>
      </c>
      <c r="K9" s="218" t="inlineStr">
        <is>
          <t>ga_18</t>
        </is>
      </c>
      <c r="L9" s="218" t="inlineStr">
        <is>
          <t>A</t>
        </is>
      </c>
      <c r="M9" s="218" t="n"/>
      <c r="N9" s="227" t="n">
        <v>46285.47214517361</v>
      </c>
      <c r="O9" s="218">
        <f>IF(A9="","",D9=6)</f>
        <v/>
      </c>
      <c r="P9" s="218">
        <f>IF(A9="","",D9=7)</f>
        <v/>
      </c>
      <c r="Q9" s="218">
        <f>IF(A9="","",IF(D9&gt;=6,0,IF(ISBLANK(G9),0,IF(calc_engine!$B$1&gt;INT(G9),INT(calc_engine!$B$1-G9),0))))</f>
        <v/>
      </c>
      <c r="R9" s="218">
        <f>IF(A9="","",IF(D9&gt;=6,"closed",IF(Q9&lt;=3,"0-3",IF(Q9&lt;=7,"4-7",IF(Q9&lt;=14,"8-14",IF(Q9&lt;=30,"15-30","zombie"))))))</f>
        <v/>
      </c>
      <c r="S9" s="346">
        <f>IF(A9="","",C9*IFERROR(VLOOKUP(D9,'⚙️ Настройки'!$A$12:$D$18,4,FALSE),0))</f>
        <v/>
      </c>
      <c r="T9" s="218">
        <f>IF(A9="","",IF(D9&gt;=6,IF(G9&gt;F9,INT(G9-F9),1),IF(calc_engine!$B$1&gt;INT(F9),INT(calc_engine!$B$1-F9),1)))</f>
        <v/>
      </c>
      <c r="U9" s="218" t="inlineStr">
        <is>
          <t>kontur</t>
        </is>
      </c>
      <c r="V9" s="218" t="inlineStr">
        <is>
          <t>cold</t>
        </is>
      </c>
      <c r="W9" s="218" t="inlineStr">
        <is>
          <t>cold_parsing</t>
        </is>
      </c>
      <c r="Z9" s="227">
        <f>calc_engine!$B$1</f>
        <v/>
      </c>
      <c r="AD9" s="218" t="inlineStr">
        <is>
          <t>звонок</t>
        </is>
      </c>
      <c r="AE9" s="246" t="n">
        <v>46295</v>
      </c>
      <c r="AF9" s="218" t="n">
        <v>103</v>
      </c>
      <c r="AG9" s="218" t="inlineStr">
        <is>
          <t>phone</t>
        </is>
      </c>
      <c r="AH9" s="218">
        <f>IF(A9="","", IF(AD9="","🔴 NO NEXT ACTION", IF(AE9&lt;calc_engine!$B$1,"🔴 OVERDUE", IF(AE9-calc_engine!$B$1&lt;=1,"🟡 TODAY", IF(AE9-calc_engine!$B$1&lt;=3,"🟢 SOON","🟢 PLANNED")))))</f>
        <v/>
      </c>
      <c r="AI9" s="218">
        <f>IF(A9="","", ROUND( IF(Q9&lt;=1, 30, IF(Q9&lt;=3, 20, IF(Q9&lt;=7, 10, 0))) + IF(AD9&lt;&gt;"", 25, 0) + IF(T9&lt;=14, 20, 10) + IF(I9="SEG1", 15, 10) + IF(C9&gt;=500000, 10, 5), 0))</f>
        <v/>
      </c>
    </row>
    <row r="10">
      <c r="A10" s="218" t="inlineStr">
        <is>
          <t>D-109</t>
        </is>
      </c>
      <c r="B10" s="218" t="inlineStr">
        <is>
          <t>ООО "ПромКомплект"</t>
        </is>
      </c>
      <c r="C10" s="346" t="n">
        <v>600000</v>
      </c>
      <c r="D10" s="218" t="n">
        <v>7</v>
      </c>
      <c r="E10" s="218" t="inlineStr">
        <is>
          <t>7. Закрыто и не реализовано</t>
        </is>
      </c>
      <c r="F10" s="246" t="n">
        <v>46268</v>
      </c>
      <c r="G10" s="246" t="n">
        <v>46275</v>
      </c>
      <c r="H10" s="218" t="n">
        <v>102</v>
      </c>
      <c r="I10" s="218" t="inlineStr">
        <is>
          <t>SEG1</t>
        </is>
      </c>
      <c r="J10" s="218" t="inlineStr">
        <is>
          <t>Яндекс Директ</t>
        </is>
      </c>
      <c r="K10" s="218" t="inlineStr">
        <is>
          <t>ga_19</t>
        </is>
      </c>
      <c r="L10" s="218" t="inlineStr">
        <is>
          <t>A</t>
        </is>
      </c>
      <c r="M10" s="218" t="inlineStr">
        <is>
          <t>L1</t>
        </is>
      </c>
      <c r="N10" s="227" t="n">
        <v>46285.47214517361</v>
      </c>
      <c r="O10" s="218">
        <f>IF(A10="","",D10=6)</f>
        <v/>
      </c>
      <c r="P10" s="218">
        <f>IF(A10="","",D10=7)</f>
        <v/>
      </c>
      <c r="Q10" s="218">
        <f>IF(A10="","",IF(D10&gt;=6,0,IF(ISBLANK(G10),0,IF(calc_engine!$B$1&gt;INT(G10),INT(calc_engine!$B$1-G10),0))))</f>
        <v/>
      </c>
      <c r="R10" s="218">
        <f>IF(A10="","",IF(D10&gt;=6,"closed",IF(Q10&lt;=3,"0-3",IF(Q10&lt;=7,"4-7",IF(Q10&lt;=14,"8-14",IF(Q10&lt;=30,"15-30","zombie"))))))</f>
        <v/>
      </c>
      <c r="S10" s="346">
        <f>IF(A10="","",C10*IFERROR(VLOOKUP(D10,'⚙️ Настройки'!$A$12:$D$18,4,FALSE),0))</f>
        <v/>
      </c>
      <c r="T10" s="218">
        <f>IF(A10="","",IF(D10&gt;=6,IF(G10&gt;F10,INT(G10-F10),1),IF(calc_engine!$B$1&gt;INT(F10),INT(calc_engine!$B$1-F10),1)))</f>
        <v/>
      </c>
      <c r="U10" s="218" t="inlineStr">
        <is>
          <t>yandex</t>
        </is>
      </c>
      <c r="V10" s="218" t="inlineStr">
        <is>
          <t>cpc</t>
        </is>
      </c>
      <c r="W10" s="218" t="inlineStr">
        <is>
          <t>retarget_b2b</t>
        </is>
      </c>
      <c r="X10" s="218" t="inlineStr">
        <is>
          <t>yclid_109</t>
        </is>
      </c>
      <c r="Z10" s="227">
        <f>calc_engine!$B$1</f>
        <v/>
      </c>
      <c r="AH10" s="218">
        <f>IF(A10="","", IF(AD10="","🔴 NO NEXT ACTION", IF(AE10&lt;calc_engine!$B$1,"🔴 OVERDUE", IF(AE10-calc_engine!$B$1&lt;=1,"🟡 TODAY", IF(AE10-calc_engine!$B$1&lt;=3,"🟢 SOON","🟢 PLANNED")))))</f>
        <v/>
      </c>
      <c r="AI10" s="218">
        <f>IF(A10="","", ROUND( IF(Q10&lt;=1, 30, IF(Q10&lt;=3, 20, IF(Q10&lt;=7, 10, 0))) + IF(AD10&lt;&gt;"", 25, 0) + IF(T10&lt;=14, 20, 10) + IF(I10="SEG1", 15, 10) + IF(C10&gt;=500000, 10, 5), 0))</f>
        <v/>
      </c>
    </row>
    <row r="11">
      <c r="A11" s="218" t="inlineStr">
        <is>
          <t>D-110</t>
        </is>
      </c>
      <c r="B11" s="218" t="inlineStr">
        <is>
          <t>ЗАО "ТехноМаш"</t>
        </is>
      </c>
      <c r="C11" s="346" t="n">
        <v>400000</v>
      </c>
      <c r="D11" s="218" t="n">
        <v>7</v>
      </c>
      <c r="E11" s="218" t="inlineStr">
        <is>
          <t>7. Закрыто и не реализовано</t>
        </is>
      </c>
      <c r="F11" s="246" t="n">
        <v>46270</v>
      </c>
      <c r="G11" s="246" t="n">
        <v>46279</v>
      </c>
      <c r="H11" s="218" t="n">
        <v>102</v>
      </c>
      <c r="I11" s="218" t="inlineStr">
        <is>
          <t>SEG2</t>
        </is>
      </c>
      <c r="J11" s="218" t="inlineStr">
        <is>
          <t>Google Ads</t>
        </is>
      </c>
      <c r="K11" s="218" t="inlineStr">
        <is>
          <t>ga_20</t>
        </is>
      </c>
      <c r="L11" s="218" t="inlineStr">
        <is>
          <t>B</t>
        </is>
      </c>
      <c r="M11" s="218" t="inlineStr">
        <is>
          <t>L2</t>
        </is>
      </c>
      <c r="N11" s="227" t="n">
        <v>46285.47214517361</v>
      </c>
      <c r="O11" s="218">
        <f>IF(A11="","",D11=6)</f>
        <v/>
      </c>
      <c r="P11" s="218">
        <f>IF(A11="","",D11=7)</f>
        <v/>
      </c>
      <c r="Q11" s="218">
        <f>IF(A11="","",IF(D11&gt;=6,0,IF(ISBLANK(G11),0,IF(calc_engine!$B$1&gt;INT(G11),INT(calc_engine!$B$1-G11),0))))</f>
        <v/>
      </c>
      <c r="R11" s="218">
        <f>IF(A11="","",IF(D11&gt;=6,"closed",IF(Q11&lt;=3,"0-3",IF(Q11&lt;=7,"4-7",IF(Q11&lt;=14,"8-14",IF(Q11&lt;=30,"15-30","zombie"))))))</f>
        <v/>
      </c>
      <c r="S11" s="346">
        <f>IF(A11="","",C11*IFERROR(VLOOKUP(D11,'⚙️ Настройки'!$A$12:$D$18,4,FALSE),0))</f>
        <v/>
      </c>
      <c r="T11" s="218">
        <f>IF(A11="","",IF(D11&gt;=6,IF(G11&gt;F11,INT(G11-F11),1),IF(calc_engine!$B$1&gt;INT(F11),INT(calc_engine!$B$1-F11),1)))</f>
        <v/>
      </c>
      <c r="U11" s="218" t="inlineStr">
        <is>
          <t>google</t>
        </is>
      </c>
      <c r="V11" s="218" t="inlineStr">
        <is>
          <t>cpc</t>
        </is>
      </c>
      <c r="W11" s="218" t="inlineStr">
        <is>
          <t>search_brand</t>
        </is>
      </c>
      <c r="Y11" s="218" t="inlineStr">
        <is>
          <t>gclid_110</t>
        </is>
      </c>
      <c r="Z11" s="227">
        <f>calc_engine!$B$1</f>
        <v/>
      </c>
      <c r="AH11" s="218">
        <f>IF(A11="","", IF(AD11="","🔴 NO NEXT ACTION", IF(AE11&lt;calc_engine!$B$1,"🔴 OVERDUE", IF(AE11-calc_engine!$B$1&lt;=1,"🟡 TODAY", IF(AE11-calc_engine!$B$1&lt;=3,"🟢 SOON","🟢 PLANNED")))))</f>
        <v/>
      </c>
      <c r="AI11" s="218">
        <f>IF(A11="","", ROUND( IF(Q11&lt;=1, 30, IF(Q11&lt;=3, 20, IF(Q11&lt;=7, 10, 0))) + IF(AD11&lt;&gt;"", 25, 0) + IF(T11&lt;=14, 20, 10) + IF(I11="SEG1", 15, 10) + IF(C11&gt;=500000, 10, 5), 0))</f>
        <v/>
      </c>
    </row>
    <row r="12">
      <c r="A12" s="218" t="inlineStr">
        <is>
          <t>D-099</t>
        </is>
      </c>
      <c r="B12" s="218" t="inlineStr">
        <is>
          <t>ООО "ПромСбыт"</t>
        </is>
      </c>
      <c r="C12" s="346" t="n">
        <v>180000</v>
      </c>
      <c r="D12" s="218" t="n">
        <v>5</v>
      </c>
      <c r="E12" s="218" t="inlineStr">
        <is>
          <t>5. Счет выставлен</t>
        </is>
      </c>
      <c r="F12" s="247" t="n">
        <v>46235</v>
      </c>
      <c r="G12" s="247" t="n">
        <v>46244</v>
      </c>
      <c r="H12" s="218" t="n">
        <v>103</v>
      </c>
      <c r="I12" s="218" t="inlineStr">
        <is>
          <t>SEG2</t>
        </is>
      </c>
      <c r="J12" s="218" t="inlineStr">
        <is>
          <t>Яндекс Директ</t>
        </is>
      </c>
      <c r="K12" s="218" t="inlineStr">
        <is>
          <t>ga_08</t>
        </is>
      </c>
      <c r="L12" s="218" t="inlineStr">
        <is>
          <t>Tier B</t>
        </is>
      </c>
      <c r="M12" s="218" t="n"/>
      <c r="N12" s="247" t="n">
        <v>46259</v>
      </c>
      <c r="O12" s="218">
        <f>IF(A12="","",D12=6)</f>
        <v/>
      </c>
      <c r="P12" s="218">
        <f>IF(A12="","",D12=7)</f>
        <v/>
      </c>
      <c r="Q12" s="218">
        <f>IF(A12="","",IF(D12&gt;=6,0,IF(ISBLANK(G12),0,IF(calc_engine!$B$1&gt;INT(G12),INT(calc_engine!$B$1-G12),0))))</f>
        <v/>
      </c>
      <c r="R12" s="218">
        <f>IF(A12="","",IF(D12&gt;=6,"closed",IF(Q12&lt;=3,"0-3",IF(Q12&lt;=7,"4-7",IF(Q12&lt;=14,"8-14",IF(Q12&lt;=30,"15-30","zombie"))))))</f>
        <v/>
      </c>
      <c r="S12" s="346">
        <f>IF(A12="","",C12*IFERROR(VLOOKUP(D12,'⚙️ Настройки'!$A$12:$D$18,4,FALSE),0))</f>
        <v/>
      </c>
      <c r="T12" s="218">
        <f>IF(A12="","",IF(D12&gt;=6,IF(G12&gt;F12,INT(G12-F12),1),IF(calc_engine!$B$1&gt;INT(F12),INT(calc_engine!$B$1-F12),1)))</f>
        <v/>
      </c>
      <c r="U12" s="218" t="inlineStr">
        <is>
          <t>yandex</t>
        </is>
      </c>
      <c r="V12" s="218" t="inlineStr">
        <is>
          <t>cpc</t>
        </is>
      </c>
      <c r="W12" s="218" t="inlineStr">
        <is>
          <t>b2b_context</t>
        </is>
      </c>
      <c r="Z12" s="227">
        <f>calc_engine!$B$1</f>
        <v/>
      </c>
      <c r="AD12" s="218" t="inlineStr">
        <is>
          <t>follow-up</t>
        </is>
      </c>
      <c r="AE12" s="246" t="n">
        <v>46292</v>
      </c>
      <c r="AF12" s="218" t="n">
        <v>101</v>
      </c>
      <c r="AG12" s="218" t="inlineStr">
        <is>
          <t>whatsapp</t>
        </is>
      </c>
      <c r="AH12" s="218">
        <f>IF(A12="","", IF(AD12="","🔴 NO NEXT ACTION", IF(AE12&lt;calc_engine!$B$1,"🔴 OVERDUE", IF(AE12-calc_engine!$B$1&lt;=1,"🟡 TODAY", IF(AE12-calc_engine!$B$1&lt;=3,"🟢 SOON","🟢 PLANNED")))))</f>
        <v/>
      </c>
      <c r="AI12" s="218">
        <f>IF(A12="","", ROUND( IF(Q12&lt;=1, 30, IF(Q12&lt;=3, 20, IF(Q12&lt;=7, 10, 0))) + IF(AD12&lt;&gt;"", 25, 0) + IF(T12&lt;=14, 20, 10) + IF(I12="SEG1", 15, 10) + IF(C12&gt;=500000, 10, 5), 0))</f>
        <v/>
      </c>
    </row>
    <row r="13">
      <c r="C13" s="346" t="n"/>
      <c r="D13" s="218" t="n"/>
      <c r="H13" s="218" t="n"/>
      <c r="I13" s="218" t="n"/>
      <c r="J13" s="218" t="n"/>
      <c r="M13" s="218" t="n"/>
      <c r="O13" s="218">
        <f>IF(A13="","",D13=6)</f>
        <v/>
      </c>
      <c r="P13" s="218">
        <f>IF(A13="","",D13=7)</f>
        <v/>
      </c>
      <c r="Q13" s="218">
        <f>IF(A13="","",IF(D13&gt;=6,0,IF(ISBLANK(G13),0,IF(calc_engine!$B$1&gt;INT(G13),INT(calc_engine!$B$1-G13),0))))</f>
        <v/>
      </c>
      <c r="R13" s="218">
        <f>IF(A13="","",IF(D13&gt;=6,"closed",IF(Q13&lt;=3,"0-3",IF(Q13&lt;=7,"4-7",IF(Q13&lt;=14,"8-14",IF(Q13&lt;=30,"15-30","zombie"))))))</f>
        <v/>
      </c>
      <c r="S13" s="346">
        <f>IF(A13="","",C13*IFERROR(VLOOKUP(D13,'⚙️ Настройки'!$A$12:$D$18,4,FALSE),0))</f>
        <v/>
      </c>
      <c r="T13" s="218">
        <f>IF(A13="","",IF(D13&gt;=6,IF(G13&gt;F13,INT(G13-F13),1),IF(calc_engine!$B$1&gt;INT(F13),INT(calc_engine!$B$1-F13),1)))</f>
        <v/>
      </c>
    </row>
    <row r="14">
      <c r="C14" s="346" t="n"/>
      <c r="D14" s="218" t="n"/>
      <c r="H14" s="218" t="n"/>
      <c r="I14" s="218" t="n"/>
      <c r="J14" s="218" t="n"/>
      <c r="M14" s="218" t="n"/>
      <c r="S14" s="346" t="n"/>
    </row>
    <row r="15">
      <c r="C15" s="346" t="n"/>
      <c r="D15" s="218" t="n"/>
      <c r="H15" s="218" t="n"/>
      <c r="I15" s="218" t="n"/>
      <c r="J15" s="218" t="n"/>
      <c r="M15" s="218" t="n"/>
      <c r="S15" s="346" t="n"/>
    </row>
    <row r="16">
      <c r="C16" s="346" t="n"/>
      <c r="D16" s="218" t="n"/>
      <c r="H16" s="218" t="n"/>
      <c r="I16" s="218" t="n"/>
      <c r="J16" s="218" t="n"/>
      <c r="M16" s="218" t="n"/>
      <c r="S16" s="346" t="n"/>
    </row>
    <row r="17">
      <c r="C17" s="346" t="n"/>
      <c r="D17" s="218" t="n"/>
      <c r="H17" s="218" t="n"/>
      <c r="I17" s="218" t="n"/>
      <c r="J17" s="218" t="n"/>
      <c r="M17" s="218" t="n"/>
      <c r="S17" s="346" t="n"/>
    </row>
    <row r="18">
      <c r="C18" s="346" t="n"/>
      <c r="D18" s="218" t="n"/>
      <c r="H18" s="218" t="n"/>
      <c r="I18" s="218" t="n"/>
      <c r="J18" s="218" t="n"/>
      <c r="M18" s="218" t="n"/>
      <c r="S18" s="346" t="n"/>
    </row>
    <row r="19">
      <c r="C19" s="346" t="n"/>
      <c r="D19" s="218" t="n"/>
      <c r="H19" s="218" t="n"/>
      <c r="I19" s="218" t="n"/>
      <c r="J19" s="218" t="n"/>
      <c r="M19" s="218" t="n"/>
      <c r="S19" s="346" t="n"/>
    </row>
    <row r="20">
      <c r="C20" s="346" t="n"/>
      <c r="D20" s="218" t="n"/>
      <c r="H20" s="218" t="n"/>
      <c r="I20" s="218" t="n"/>
      <c r="J20" s="218" t="n"/>
      <c r="M20" s="218" t="n"/>
      <c r="S20" s="346" t="n"/>
    </row>
    <row r="21">
      <c r="C21" s="346" t="n"/>
      <c r="D21" s="218" t="n"/>
      <c r="H21" s="218" t="n"/>
      <c r="I21" s="218" t="n"/>
      <c r="J21" s="218" t="n"/>
      <c r="M21" s="218" t="n"/>
      <c r="S21" s="346" t="n"/>
    </row>
    <row r="22">
      <c r="C22" s="346" t="n"/>
      <c r="D22" s="218" t="n"/>
      <c r="H22" s="218" t="n"/>
      <c r="I22" s="218" t="n"/>
      <c r="J22" s="218" t="n"/>
      <c r="M22" s="218" t="n"/>
      <c r="S22" s="346" t="n"/>
    </row>
    <row r="23">
      <c r="C23" s="346" t="n"/>
      <c r="D23" s="218" t="n"/>
      <c r="H23" s="218" t="n"/>
      <c r="I23" s="218" t="n"/>
      <c r="J23" s="218" t="n"/>
      <c r="M23" s="218" t="n"/>
      <c r="S23" s="346" t="n"/>
    </row>
    <row r="24">
      <c r="C24" s="346" t="n"/>
      <c r="D24" s="218" t="n"/>
      <c r="H24" s="218" t="n"/>
      <c r="I24" s="218" t="n"/>
      <c r="J24" s="218" t="n"/>
      <c r="M24" s="218" t="n"/>
      <c r="S24" s="346" t="n"/>
    </row>
    <row r="25">
      <c r="C25" s="346" t="n"/>
      <c r="D25" s="218" t="n"/>
      <c r="H25" s="218" t="n"/>
      <c r="I25" s="218" t="n"/>
      <c r="J25" s="218" t="n"/>
      <c r="M25" s="218" t="n"/>
      <c r="S25" s="346" t="n"/>
    </row>
    <row r="26">
      <c r="C26" s="346" t="n"/>
      <c r="D26" s="218" t="n"/>
      <c r="H26" s="218" t="n"/>
      <c r="I26" s="218" t="n"/>
      <c r="J26" s="218" t="n"/>
      <c r="M26" s="218" t="n"/>
      <c r="S26" s="346" t="n"/>
    </row>
    <row r="27">
      <c r="C27" s="346" t="n"/>
      <c r="D27" s="218" t="n"/>
      <c r="H27" s="218" t="n"/>
      <c r="I27" s="218" t="n"/>
      <c r="J27" s="218" t="n"/>
      <c r="M27" s="218" t="n"/>
      <c r="S27" s="346" t="n"/>
    </row>
    <row r="28">
      <c r="C28" s="346" t="n"/>
      <c r="D28" s="218" t="n"/>
      <c r="H28" s="218" t="n"/>
      <c r="I28" s="218" t="n"/>
      <c r="J28" s="218" t="n"/>
      <c r="M28" s="218" t="n"/>
      <c r="S28" s="346" t="n"/>
    </row>
    <row r="29">
      <c r="C29" s="346" t="n"/>
      <c r="D29" s="218" t="n"/>
      <c r="H29" s="218" t="n"/>
      <c r="I29" s="218" t="n"/>
      <c r="J29" s="218" t="n"/>
      <c r="M29" s="218" t="n"/>
      <c r="S29" s="346" t="n"/>
    </row>
    <row r="30">
      <c r="C30" s="346" t="n"/>
      <c r="D30" s="218" t="n"/>
      <c r="H30" s="218" t="n"/>
      <c r="I30" s="218" t="n"/>
      <c r="J30" s="218" t="n"/>
      <c r="M30" s="218" t="n"/>
      <c r="S30" s="346" t="n"/>
    </row>
    <row r="31">
      <c r="C31" s="346" t="n"/>
      <c r="D31" s="218" t="n"/>
      <c r="H31" s="218" t="n"/>
      <c r="I31" s="218" t="n"/>
      <c r="J31" s="218" t="n"/>
      <c r="M31" s="218" t="n"/>
      <c r="S31" s="346" t="n"/>
    </row>
    <row r="32">
      <c r="C32" s="346" t="n"/>
      <c r="D32" s="218" t="n"/>
      <c r="H32" s="218" t="n"/>
      <c r="I32" s="218" t="n"/>
      <c r="J32" s="218" t="n"/>
      <c r="M32" s="218" t="n"/>
      <c r="S32" s="346" t="n"/>
    </row>
    <row r="33">
      <c r="C33" s="346" t="n"/>
      <c r="D33" s="218" t="n"/>
      <c r="H33" s="218" t="n"/>
      <c r="I33" s="218" t="n"/>
      <c r="J33" s="218" t="n"/>
      <c r="M33" s="218" t="n"/>
      <c r="S33" s="346" t="n"/>
    </row>
    <row r="34">
      <c r="C34" s="346" t="n"/>
      <c r="D34" s="218" t="n"/>
      <c r="H34" s="218" t="n"/>
      <c r="I34" s="218" t="n"/>
      <c r="J34" s="218" t="n"/>
      <c r="M34" s="218" t="n"/>
      <c r="S34" s="346" t="n"/>
    </row>
    <row r="35">
      <c r="C35" s="346" t="n"/>
      <c r="D35" s="218" t="n"/>
      <c r="H35" s="218" t="n"/>
      <c r="I35" s="218" t="n"/>
      <c r="J35" s="218" t="n"/>
      <c r="M35" s="218" t="n"/>
      <c r="S35" s="346" t="n"/>
    </row>
    <row r="36">
      <c r="C36" s="346" t="n"/>
      <c r="D36" s="218" t="n"/>
      <c r="H36" s="218" t="n"/>
      <c r="I36" s="218" t="n"/>
      <c r="J36" s="218" t="n"/>
      <c r="M36" s="218" t="n"/>
      <c r="S36" s="346" t="n"/>
    </row>
    <row r="37">
      <c r="C37" s="346" t="n"/>
      <c r="D37" s="218" t="n"/>
      <c r="H37" s="218" t="n"/>
      <c r="I37" s="218" t="n"/>
      <c r="J37" s="218" t="n"/>
      <c r="M37" s="218" t="n"/>
      <c r="S37" s="346" t="n"/>
    </row>
    <row r="38">
      <c r="C38" s="346" t="n"/>
      <c r="D38" s="218" t="n"/>
      <c r="H38" s="218" t="n"/>
      <c r="I38" s="218" t="n"/>
      <c r="J38" s="218" t="n"/>
      <c r="M38" s="218" t="n"/>
      <c r="S38" s="346" t="n"/>
    </row>
    <row r="39">
      <c r="C39" s="346" t="n"/>
      <c r="D39" s="218" t="n"/>
      <c r="H39" s="218" t="n"/>
      <c r="I39" s="218" t="n"/>
      <c r="J39" s="218" t="n"/>
      <c r="M39" s="218" t="n"/>
      <c r="S39" s="346" t="n"/>
    </row>
    <row r="40">
      <c r="C40" s="346" t="n"/>
      <c r="D40" s="218" t="n"/>
      <c r="H40" s="218" t="n"/>
      <c r="I40" s="218" t="n"/>
      <c r="J40" s="218" t="n"/>
      <c r="M40" s="218" t="n"/>
      <c r="S40" s="346" t="n"/>
    </row>
    <row r="41">
      <c r="C41" s="346" t="n"/>
      <c r="D41" s="218" t="n"/>
      <c r="H41" s="218" t="n"/>
      <c r="I41" s="218" t="n"/>
      <c r="J41" s="218" t="n"/>
      <c r="M41" s="218" t="n"/>
      <c r="S41" s="346" t="n"/>
    </row>
    <row r="42">
      <c r="C42" s="346" t="n"/>
      <c r="D42" s="218" t="n"/>
      <c r="H42" s="218" t="n"/>
      <c r="I42" s="218" t="n"/>
      <c r="J42" s="218" t="n"/>
      <c r="M42" s="218" t="n"/>
      <c r="S42" s="346" t="n"/>
    </row>
    <row r="43">
      <c r="C43" s="346" t="n"/>
      <c r="D43" s="218" t="n"/>
      <c r="H43" s="218" t="n"/>
      <c r="I43" s="218" t="n"/>
      <c r="J43" s="218" t="n"/>
      <c r="M43" s="218" t="n"/>
      <c r="S43" s="346" t="n"/>
    </row>
    <row r="44">
      <c r="C44" s="346" t="n"/>
      <c r="D44" s="218" t="n"/>
      <c r="H44" s="218" t="n"/>
      <c r="I44" s="218" t="n"/>
      <c r="J44" s="218" t="n"/>
      <c r="M44" s="218" t="n"/>
      <c r="S44" s="346" t="n"/>
    </row>
    <row r="45">
      <c r="C45" s="346" t="n"/>
      <c r="D45" s="218" t="n"/>
      <c r="H45" s="218" t="n"/>
      <c r="I45" s="218" t="n"/>
      <c r="J45" s="218" t="n"/>
      <c r="M45" s="218" t="n"/>
      <c r="S45" s="346" t="n"/>
    </row>
    <row r="46">
      <c r="C46" s="346" t="n"/>
      <c r="D46" s="218" t="n"/>
      <c r="H46" s="218" t="n"/>
      <c r="I46" s="218" t="n"/>
      <c r="J46" s="218" t="n"/>
      <c r="M46" s="218" t="n"/>
      <c r="S46" s="346" t="n"/>
    </row>
    <row r="47">
      <c r="C47" s="346" t="n"/>
      <c r="D47" s="218" t="n"/>
      <c r="H47" s="218" t="n"/>
      <c r="I47" s="218" t="n"/>
      <c r="J47" s="218" t="n"/>
      <c r="M47" s="218" t="n"/>
      <c r="S47" s="346" t="n"/>
    </row>
    <row r="48">
      <c r="C48" s="346" t="n"/>
      <c r="D48" s="218" t="n"/>
      <c r="H48" s="218" t="n"/>
      <c r="I48" s="218" t="n"/>
      <c r="J48" s="218" t="n"/>
      <c r="M48" s="218" t="n"/>
      <c r="S48" s="346" t="n"/>
    </row>
    <row r="49">
      <c r="C49" s="346" t="n"/>
      <c r="D49" s="218" t="n"/>
      <c r="H49" s="218" t="n"/>
      <c r="I49" s="218" t="n"/>
      <c r="J49" s="218" t="n"/>
      <c r="M49" s="218" t="n"/>
      <c r="S49" s="346" t="n"/>
    </row>
    <row r="50">
      <c r="C50" s="346" t="n"/>
      <c r="D50" s="218" t="n"/>
      <c r="H50" s="218" t="n"/>
      <c r="I50" s="218" t="n"/>
      <c r="J50" s="218" t="n"/>
      <c r="M50" s="218" t="n"/>
      <c r="S50" s="346" t="n"/>
    </row>
    <row r="51">
      <c r="C51" s="346" t="n"/>
      <c r="D51" s="218" t="n"/>
      <c r="H51" s="218" t="n"/>
      <c r="I51" s="218" t="n"/>
      <c r="J51" s="218" t="n"/>
      <c r="M51" s="218" t="n"/>
      <c r="S51" s="346" t="n"/>
    </row>
    <row r="52">
      <c r="C52" s="346" t="n"/>
      <c r="D52" s="218" t="n"/>
      <c r="H52" s="218" t="n"/>
      <c r="I52" s="218" t="n"/>
      <c r="J52" s="218" t="n"/>
      <c r="M52" s="218" t="n"/>
      <c r="S52" s="346" t="n"/>
    </row>
    <row r="53">
      <c r="C53" s="346" t="n"/>
      <c r="D53" s="218" t="n"/>
      <c r="H53" s="218" t="n"/>
      <c r="I53" s="218" t="n"/>
      <c r="J53" s="218" t="n"/>
      <c r="M53" s="218" t="n"/>
      <c r="S53" s="346" t="n"/>
    </row>
    <row r="54">
      <c r="C54" s="346" t="n"/>
      <c r="D54" s="218" t="n"/>
      <c r="H54" s="218" t="n"/>
      <c r="I54" s="218" t="n"/>
      <c r="J54" s="218" t="n"/>
      <c r="M54" s="218" t="n"/>
      <c r="S54" s="346" t="n"/>
    </row>
    <row r="55">
      <c r="C55" s="346" t="n"/>
      <c r="D55" s="218" t="n"/>
      <c r="H55" s="218" t="n"/>
      <c r="I55" s="218" t="n"/>
      <c r="J55" s="218" t="n"/>
      <c r="M55" s="218" t="n"/>
      <c r="S55" s="346" t="n"/>
    </row>
    <row r="56">
      <c r="C56" s="346" t="n"/>
      <c r="D56" s="218" t="n"/>
      <c r="H56" s="218" t="n"/>
      <c r="I56" s="218" t="n"/>
      <c r="J56" s="218" t="n"/>
      <c r="M56" s="218" t="n"/>
      <c r="S56" s="346" t="n"/>
    </row>
    <row r="57">
      <c r="C57" s="346" t="n"/>
      <c r="D57" s="218" t="n"/>
      <c r="H57" s="218" t="n"/>
      <c r="I57" s="218" t="n"/>
      <c r="J57" s="218" t="n"/>
      <c r="M57" s="218" t="n"/>
      <c r="S57" s="346" t="n"/>
    </row>
    <row r="58">
      <c r="C58" s="346" t="n"/>
      <c r="D58" s="218" t="n"/>
      <c r="H58" s="218" t="n"/>
      <c r="I58" s="218" t="n"/>
      <c r="J58" s="218" t="n"/>
      <c r="M58" s="218" t="n"/>
      <c r="S58" s="346" t="n"/>
    </row>
    <row r="59">
      <c r="C59" s="346" t="n"/>
      <c r="D59" s="218" t="n"/>
      <c r="H59" s="218" t="n"/>
      <c r="I59" s="218" t="n"/>
      <c r="J59" s="218" t="n"/>
      <c r="M59" s="218" t="n"/>
      <c r="S59" s="346" t="n"/>
    </row>
    <row r="60">
      <c r="C60" s="346" t="n"/>
      <c r="D60" s="218" t="n"/>
      <c r="H60" s="218" t="n"/>
      <c r="I60" s="218" t="n"/>
      <c r="J60" s="218" t="n"/>
      <c r="M60" s="218" t="n"/>
      <c r="S60" s="346" t="n"/>
    </row>
    <row r="61">
      <c r="C61" s="346" t="n"/>
      <c r="D61" s="218" t="n"/>
      <c r="H61" s="218" t="n"/>
      <c r="I61" s="218" t="n"/>
      <c r="J61" s="218" t="n"/>
      <c r="M61" s="218" t="n"/>
      <c r="S61" s="346" t="n"/>
    </row>
    <row r="62">
      <c r="C62" s="346" t="n"/>
      <c r="D62" s="218" t="n"/>
      <c r="H62" s="218" t="n"/>
      <c r="I62" s="218" t="n"/>
      <c r="J62" s="218" t="n"/>
      <c r="M62" s="218" t="n"/>
      <c r="S62" s="346" t="n"/>
    </row>
    <row r="63">
      <c r="C63" s="346" t="n"/>
      <c r="D63" s="218" t="n"/>
      <c r="H63" s="218" t="n"/>
      <c r="I63" s="218" t="n"/>
      <c r="J63" s="218" t="n"/>
      <c r="M63" s="218" t="n"/>
      <c r="S63" s="346" t="n"/>
    </row>
    <row r="64">
      <c r="C64" s="346" t="n"/>
      <c r="D64" s="218" t="n"/>
      <c r="H64" s="218" t="n"/>
      <c r="I64" s="218" t="n"/>
      <c r="J64" s="218" t="n"/>
      <c r="M64" s="218" t="n"/>
      <c r="S64" s="346" t="n"/>
    </row>
    <row r="65">
      <c r="C65" s="346" t="n"/>
      <c r="D65" s="218" t="n"/>
      <c r="H65" s="218" t="n"/>
      <c r="I65" s="218" t="n"/>
      <c r="J65" s="218" t="n"/>
      <c r="M65" s="218" t="n"/>
      <c r="S65" s="346" t="n"/>
    </row>
    <row r="66">
      <c r="C66" s="346" t="n"/>
      <c r="D66" s="218" t="n"/>
      <c r="H66" s="218" t="n"/>
      <c r="I66" s="218" t="n"/>
      <c r="J66" s="218" t="n"/>
      <c r="M66" s="218" t="n"/>
      <c r="S66" s="346" t="n"/>
    </row>
    <row r="67">
      <c r="C67" s="346" t="n"/>
      <c r="D67" s="218" t="n"/>
      <c r="H67" s="218" t="n"/>
      <c r="I67" s="218" t="n"/>
      <c r="J67" s="218" t="n"/>
      <c r="M67" s="218" t="n"/>
      <c r="S67" s="346" t="n"/>
    </row>
    <row r="68">
      <c r="C68" s="346" t="n"/>
      <c r="D68" s="218" t="n"/>
      <c r="H68" s="218" t="n"/>
      <c r="I68" s="218" t="n"/>
      <c r="J68" s="218" t="n"/>
      <c r="M68" s="218" t="n"/>
      <c r="S68" s="346" t="n"/>
    </row>
    <row r="69">
      <c r="C69" s="346" t="n"/>
      <c r="D69" s="218" t="n"/>
      <c r="H69" s="218" t="n"/>
      <c r="I69" s="218" t="n"/>
      <c r="J69" s="218" t="n"/>
      <c r="M69" s="218" t="n"/>
      <c r="S69" s="346" t="n"/>
    </row>
    <row r="70">
      <c r="C70" s="346" t="n"/>
      <c r="D70" s="218" t="n"/>
      <c r="H70" s="218" t="n"/>
      <c r="I70" s="218" t="n"/>
      <c r="J70" s="218" t="n"/>
      <c r="M70" s="218" t="n"/>
      <c r="S70" s="346" t="n"/>
    </row>
    <row r="71">
      <c r="C71" s="346" t="n"/>
      <c r="D71" s="218" t="n"/>
      <c r="H71" s="218" t="n"/>
      <c r="I71" s="218" t="n"/>
      <c r="J71" s="218" t="n"/>
      <c r="M71" s="218" t="n"/>
      <c r="S71" s="346" t="n"/>
    </row>
    <row r="72">
      <c r="C72" s="346" t="n"/>
      <c r="D72" s="218" t="n"/>
      <c r="H72" s="218" t="n"/>
      <c r="I72" s="218" t="n"/>
      <c r="J72" s="218" t="n"/>
      <c r="M72" s="218" t="n"/>
      <c r="S72" s="346" t="n"/>
    </row>
    <row r="73">
      <c r="C73" s="346" t="n"/>
      <c r="D73" s="218" t="n"/>
      <c r="H73" s="218" t="n"/>
      <c r="I73" s="218" t="n"/>
      <c r="J73" s="218" t="n"/>
      <c r="M73" s="218" t="n"/>
      <c r="S73" s="346" t="n"/>
    </row>
    <row r="74">
      <c r="C74" s="346" t="n"/>
      <c r="D74" s="218" t="n"/>
      <c r="H74" s="218" t="n"/>
      <c r="I74" s="218" t="n"/>
      <c r="J74" s="218" t="n"/>
      <c r="M74" s="218" t="n"/>
      <c r="S74" s="346" t="n"/>
    </row>
    <row r="75">
      <c r="C75" s="346" t="n"/>
      <c r="D75" s="218" t="n"/>
      <c r="H75" s="218" t="n"/>
      <c r="I75" s="218" t="n"/>
      <c r="J75" s="218" t="n"/>
      <c r="M75" s="218" t="n"/>
      <c r="S75" s="346" t="n"/>
    </row>
    <row r="76">
      <c r="C76" s="346" t="n"/>
      <c r="D76" s="218" t="n"/>
      <c r="H76" s="218" t="n"/>
      <c r="I76" s="218" t="n"/>
      <c r="J76" s="218" t="n"/>
      <c r="M76" s="218" t="n"/>
      <c r="S76" s="346" t="n"/>
    </row>
    <row r="77">
      <c r="C77" s="346" t="n"/>
      <c r="D77" s="218" t="n"/>
      <c r="H77" s="218" t="n"/>
      <c r="I77" s="218" t="n"/>
      <c r="J77" s="218" t="n"/>
      <c r="M77" s="218" t="n"/>
      <c r="S77" s="346" t="n"/>
    </row>
    <row r="78">
      <c r="C78" s="346" t="n"/>
      <c r="D78" s="218" t="n"/>
      <c r="H78" s="218" t="n"/>
      <c r="I78" s="218" t="n"/>
      <c r="J78" s="218" t="n"/>
      <c r="M78" s="218" t="n"/>
      <c r="S78" s="346" t="n"/>
    </row>
    <row r="79">
      <c r="C79" s="346" t="n"/>
      <c r="D79" s="218" t="n"/>
      <c r="H79" s="218" t="n"/>
      <c r="I79" s="218" t="n"/>
      <c r="J79" s="218" t="n"/>
      <c r="M79" s="218" t="n"/>
      <c r="S79" s="346" t="n"/>
    </row>
    <row r="80">
      <c r="C80" s="346" t="n"/>
      <c r="D80" s="218" t="n"/>
      <c r="H80" s="218" t="n"/>
      <c r="I80" s="218" t="n"/>
      <c r="J80" s="218" t="n"/>
      <c r="M80" s="218" t="n"/>
      <c r="S80" s="346" t="n"/>
    </row>
    <row r="81">
      <c r="C81" s="346" t="n"/>
      <c r="D81" s="218" t="n"/>
      <c r="H81" s="218" t="n"/>
      <c r="I81" s="218" t="n"/>
      <c r="J81" s="218" t="n"/>
      <c r="M81" s="218" t="n"/>
      <c r="S81" s="346" t="n"/>
    </row>
    <row r="82">
      <c r="C82" s="346" t="n"/>
      <c r="D82" s="218" t="n"/>
      <c r="H82" s="218" t="n"/>
      <c r="I82" s="218" t="n"/>
      <c r="J82" s="218" t="n"/>
      <c r="M82" s="218" t="n"/>
      <c r="S82" s="346" t="n"/>
    </row>
    <row r="83">
      <c r="C83" s="346" t="n"/>
      <c r="D83" s="218" t="n"/>
      <c r="H83" s="218" t="n"/>
      <c r="I83" s="218" t="n"/>
      <c r="J83" s="218" t="n"/>
      <c r="M83" s="218" t="n"/>
      <c r="S83" s="346" t="n"/>
    </row>
    <row r="84">
      <c r="C84" s="346" t="n"/>
      <c r="D84" s="218" t="n"/>
      <c r="H84" s="218" t="n"/>
      <c r="I84" s="218" t="n"/>
      <c r="J84" s="218" t="n"/>
      <c r="M84" s="218" t="n"/>
      <c r="S84" s="346" t="n"/>
    </row>
    <row r="85">
      <c r="C85" s="346" t="n"/>
      <c r="D85" s="218" t="n"/>
      <c r="H85" s="218" t="n"/>
      <c r="I85" s="218" t="n"/>
      <c r="J85" s="218" t="n"/>
      <c r="M85" s="218" t="n"/>
      <c r="S85" s="346" t="n"/>
    </row>
    <row r="86">
      <c r="C86" s="346" t="n"/>
      <c r="D86" s="218" t="n"/>
      <c r="H86" s="218" t="n"/>
      <c r="I86" s="218" t="n"/>
      <c r="J86" s="218" t="n"/>
      <c r="M86" s="218" t="n"/>
      <c r="S86" s="346" t="n"/>
    </row>
    <row r="87">
      <c r="C87" s="346" t="n"/>
      <c r="D87" s="218" t="n"/>
      <c r="H87" s="218" t="n"/>
      <c r="I87" s="218" t="n"/>
      <c r="J87" s="218" t="n"/>
      <c r="M87" s="218" t="n"/>
      <c r="S87" s="346" t="n"/>
    </row>
    <row r="88">
      <c r="C88" s="346" t="n"/>
      <c r="D88" s="218" t="n"/>
      <c r="H88" s="218" t="n"/>
      <c r="I88" s="218" t="n"/>
      <c r="J88" s="218" t="n"/>
      <c r="M88" s="218" t="n"/>
      <c r="S88" s="346" t="n"/>
    </row>
    <row r="89">
      <c r="C89" s="346" t="n"/>
      <c r="D89" s="218" t="n"/>
      <c r="H89" s="218" t="n"/>
      <c r="I89" s="218" t="n"/>
      <c r="J89" s="218" t="n"/>
      <c r="M89" s="218" t="n"/>
      <c r="S89" s="346" t="n"/>
    </row>
    <row r="90">
      <c r="C90" s="346" t="n"/>
      <c r="D90" s="218" t="n"/>
      <c r="H90" s="218" t="n"/>
      <c r="I90" s="218" t="n"/>
      <c r="J90" s="218" t="n"/>
      <c r="M90" s="218" t="n"/>
      <c r="S90" s="346" t="n"/>
    </row>
    <row r="91">
      <c r="C91" s="346" t="n"/>
      <c r="D91" s="218" t="n"/>
      <c r="H91" s="218" t="n"/>
      <c r="I91" s="218" t="n"/>
      <c r="J91" s="218" t="n"/>
      <c r="M91" s="218" t="n"/>
      <c r="S91" s="346" t="n"/>
    </row>
    <row r="92">
      <c r="C92" s="346" t="n"/>
      <c r="D92" s="218" t="n"/>
      <c r="H92" s="218" t="n"/>
      <c r="I92" s="218" t="n"/>
      <c r="J92" s="218" t="n"/>
      <c r="M92" s="218" t="n"/>
      <c r="S92" s="346" t="n"/>
    </row>
    <row r="93">
      <c r="C93" s="346" t="n"/>
      <c r="D93" s="218" t="n"/>
      <c r="H93" s="218" t="n"/>
      <c r="I93" s="218" t="n"/>
      <c r="J93" s="218" t="n"/>
      <c r="M93" s="218" t="n"/>
      <c r="S93" s="346" t="n"/>
    </row>
    <row r="94">
      <c r="C94" s="346" t="n"/>
      <c r="D94" s="218" t="n"/>
      <c r="H94" s="218" t="n"/>
      <c r="I94" s="218" t="n"/>
      <c r="J94" s="218" t="n"/>
      <c r="M94" s="218" t="n"/>
      <c r="S94" s="346" t="n"/>
    </row>
    <row r="95">
      <c r="C95" s="346" t="n"/>
      <c r="D95" s="218" t="n"/>
      <c r="H95" s="218" t="n"/>
      <c r="I95" s="218" t="n"/>
      <c r="J95" s="218" t="n"/>
      <c r="M95" s="218" t="n"/>
      <c r="S95" s="346" t="n"/>
    </row>
    <row r="96">
      <c r="C96" s="346" t="n"/>
      <c r="D96" s="218" t="n"/>
      <c r="H96" s="218" t="n"/>
      <c r="I96" s="218" t="n"/>
      <c r="J96" s="218" t="n"/>
      <c r="M96" s="218" t="n"/>
      <c r="S96" s="346" t="n"/>
    </row>
    <row r="97">
      <c r="C97" s="346" t="n"/>
      <c r="D97" s="218" t="n"/>
      <c r="H97" s="218" t="n"/>
      <c r="I97" s="218" t="n"/>
      <c r="J97" s="218" t="n"/>
      <c r="M97" s="218" t="n"/>
      <c r="S97" s="346" t="n"/>
    </row>
    <row r="98">
      <c r="C98" s="346" t="n"/>
      <c r="D98" s="218" t="n"/>
      <c r="H98" s="218" t="n"/>
      <c r="I98" s="218" t="n"/>
      <c r="J98" s="218" t="n"/>
      <c r="M98" s="218" t="n"/>
      <c r="S98" s="346" t="n"/>
    </row>
    <row r="99">
      <c r="C99" s="346" t="n"/>
      <c r="D99" s="218" t="n"/>
      <c r="H99" s="218" t="n"/>
      <c r="I99" s="218" t="n"/>
      <c r="J99" s="218" t="n"/>
      <c r="M99" s="218" t="n"/>
      <c r="S99" s="346" t="n"/>
    </row>
    <row r="100">
      <c r="C100" s="346" t="n"/>
      <c r="D100" s="218" t="n"/>
      <c r="H100" s="218" t="n"/>
      <c r="I100" s="218" t="n"/>
      <c r="J100" s="218" t="n"/>
      <c r="M100" s="218" t="n"/>
      <c r="S100" s="346" t="n"/>
    </row>
    <row r="101">
      <c r="C101" s="346" t="n"/>
      <c r="D101" s="218" t="n"/>
      <c r="H101" s="218" t="n"/>
      <c r="I101" s="218" t="n"/>
      <c r="J101" s="218" t="n"/>
      <c r="M101" s="218" t="n"/>
      <c r="S101" s="346" t="n"/>
    </row>
    <row r="102">
      <c r="C102" s="346" t="n"/>
      <c r="D102" s="218" t="n"/>
      <c r="H102" s="218" t="n"/>
      <c r="I102" s="218" t="n"/>
      <c r="J102" s="218" t="n"/>
      <c r="M102" s="218" t="n"/>
      <c r="S102" s="346" t="n"/>
    </row>
    <row r="103">
      <c r="C103" s="346" t="n"/>
      <c r="D103" s="218" t="n"/>
      <c r="H103" s="218" t="n"/>
      <c r="I103" s="218" t="n"/>
      <c r="J103" s="218" t="n"/>
      <c r="M103" s="218" t="n"/>
      <c r="S103" s="346" t="n"/>
    </row>
    <row r="104">
      <c r="C104" s="346" t="n"/>
      <c r="D104" s="218" t="n"/>
      <c r="H104" s="218" t="n"/>
      <c r="I104" s="218" t="n"/>
      <c r="J104" s="218" t="n"/>
      <c r="M104" s="218" t="n"/>
      <c r="S104" s="346" t="n"/>
    </row>
    <row r="105">
      <c r="C105" s="346" t="n"/>
      <c r="D105" s="218" t="n"/>
      <c r="H105" s="218" t="n"/>
      <c r="I105" s="218" t="n"/>
      <c r="J105" s="218" t="n"/>
      <c r="M105" s="218" t="n"/>
      <c r="S105" s="346" t="n"/>
    </row>
    <row r="106">
      <c r="C106" s="346" t="n"/>
      <c r="D106" s="218" t="n"/>
      <c r="H106" s="218" t="n"/>
      <c r="I106" s="218" t="n"/>
      <c r="J106" s="218" t="n"/>
      <c r="M106" s="218" t="n"/>
      <c r="S106" s="346" t="n"/>
    </row>
    <row r="107">
      <c r="C107" s="346" t="n"/>
      <c r="D107" s="218" t="n"/>
      <c r="H107" s="218" t="n"/>
      <c r="I107" s="218" t="n"/>
      <c r="J107" s="218" t="n"/>
      <c r="M107" s="218" t="n"/>
      <c r="S107" s="346" t="n"/>
    </row>
    <row r="108">
      <c r="C108" s="346" t="n"/>
      <c r="D108" s="218" t="n"/>
      <c r="H108" s="218" t="n"/>
      <c r="I108" s="218" t="n"/>
      <c r="J108" s="218" t="n"/>
      <c r="M108" s="218" t="n"/>
      <c r="S108" s="346" t="n"/>
    </row>
    <row r="109">
      <c r="C109" s="346" t="n"/>
      <c r="D109" s="218" t="n"/>
      <c r="H109" s="218" t="n"/>
      <c r="I109" s="218" t="n"/>
      <c r="J109" s="218" t="n"/>
      <c r="M109" s="218" t="n"/>
      <c r="S109" s="346" t="n"/>
    </row>
    <row r="110">
      <c r="C110" s="346" t="n"/>
      <c r="D110" s="218" t="n"/>
      <c r="H110" s="218" t="n"/>
      <c r="I110" s="218" t="n"/>
      <c r="J110" s="218" t="n"/>
      <c r="M110" s="218" t="n"/>
      <c r="S110" s="346" t="n"/>
    </row>
    <row r="111">
      <c r="C111" s="346" t="n"/>
      <c r="D111" s="218" t="n"/>
      <c r="H111" s="218" t="n"/>
      <c r="I111" s="218" t="n"/>
      <c r="J111" s="218" t="n"/>
      <c r="M111" s="218" t="n"/>
      <c r="S111" s="346" t="n"/>
    </row>
    <row r="112">
      <c r="C112" s="346" t="n"/>
      <c r="D112" s="218" t="n"/>
      <c r="H112" s="218" t="n"/>
      <c r="I112" s="218" t="n"/>
      <c r="J112" s="218" t="n"/>
      <c r="M112" s="218" t="n"/>
      <c r="S112" s="346" t="n"/>
    </row>
    <row r="113">
      <c r="C113" s="346" t="n"/>
      <c r="D113" s="218" t="n"/>
      <c r="H113" s="218" t="n"/>
      <c r="I113" s="218" t="n"/>
      <c r="J113" s="218" t="n"/>
      <c r="M113" s="218" t="n"/>
      <c r="S113" s="346" t="n"/>
    </row>
    <row r="114">
      <c r="C114" s="346" t="n"/>
      <c r="D114" s="218" t="n"/>
      <c r="H114" s="218" t="n"/>
      <c r="I114" s="218" t="n"/>
      <c r="J114" s="218" t="n"/>
      <c r="M114" s="218" t="n"/>
      <c r="S114" s="346" t="n"/>
    </row>
    <row r="115">
      <c r="C115" s="346" t="n"/>
      <c r="D115" s="218" t="n"/>
      <c r="H115" s="218" t="n"/>
      <c r="I115" s="218" t="n"/>
      <c r="J115" s="218" t="n"/>
      <c r="M115" s="218" t="n"/>
      <c r="S115" s="346" t="n"/>
    </row>
    <row r="116">
      <c r="C116" s="346" t="n"/>
      <c r="D116" s="218" t="n"/>
      <c r="H116" s="218" t="n"/>
      <c r="I116" s="218" t="n"/>
      <c r="J116" s="218" t="n"/>
      <c r="M116" s="218" t="n"/>
      <c r="S116" s="346" t="n"/>
    </row>
    <row r="117">
      <c r="C117" s="346" t="n"/>
      <c r="D117" s="218" t="n"/>
      <c r="H117" s="218" t="n"/>
      <c r="I117" s="218" t="n"/>
      <c r="J117" s="218" t="n"/>
      <c r="M117" s="218" t="n"/>
      <c r="S117" s="346" t="n"/>
    </row>
    <row r="118">
      <c r="C118" s="346" t="n"/>
      <c r="D118" s="218" t="n"/>
      <c r="H118" s="218" t="n"/>
      <c r="I118" s="218" t="n"/>
      <c r="J118" s="218" t="n"/>
      <c r="M118" s="218" t="n"/>
      <c r="S118" s="346" t="n"/>
    </row>
    <row r="119">
      <c r="C119" s="346" t="n"/>
      <c r="D119" s="218" t="n"/>
      <c r="H119" s="218" t="n"/>
      <c r="I119" s="218" t="n"/>
      <c r="J119" s="218" t="n"/>
      <c r="M119" s="218" t="n"/>
      <c r="S119" s="346" t="n"/>
    </row>
    <row r="120">
      <c r="C120" s="346" t="n"/>
      <c r="D120" s="218" t="n"/>
      <c r="H120" s="218" t="n"/>
      <c r="I120" s="218" t="n"/>
      <c r="J120" s="218" t="n"/>
      <c r="M120" s="218" t="n"/>
      <c r="S120" s="346" t="n"/>
    </row>
    <row r="121">
      <c r="C121" s="346" t="n"/>
      <c r="D121" s="218" t="n"/>
      <c r="H121" s="218" t="n"/>
      <c r="I121" s="218" t="n"/>
      <c r="J121" s="218" t="n"/>
      <c r="M121" s="218" t="n"/>
      <c r="S121" s="346" t="n"/>
    </row>
    <row r="122">
      <c r="C122" s="346" t="n"/>
      <c r="D122" s="218" t="n"/>
      <c r="H122" s="218" t="n"/>
      <c r="I122" s="218" t="n"/>
      <c r="J122" s="218" t="n"/>
      <c r="M122" s="218" t="n"/>
      <c r="S122" s="346" t="n"/>
    </row>
    <row r="123">
      <c r="C123" s="346" t="n"/>
      <c r="D123" s="218" t="n"/>
      <c r="H123" s="218" t="n"/>
      <c r="I123" s="218" t="n"/>
      <c r="J123" s="218" t="n"/>
      <c r="M123" s="218" t="n"/>
      <c r="S123" s="346" t="n"/>
    </row>
    <row r="124">
      <c r="C124" s="346" t="n"/>
      <c r="D124" s="218" t="n"/>
      <c r="H124" s="218" t="n"/>
      <c r="I124" s="218" t="n"/>
      <c r="J124" s="218" t="n"/>
      <c r="M124" s="218" t="n"/>
      <c r="S124" s="346" t="n"/>
    </row>
    <row r="125">
      <c r="C125" s="346" t="n"/>
      <c r="D125" s="218" t="n"/>
      <c r="H125" s="218" t="n"/>
      <c r="I125" s="218" t="n"/>
      <c r="J125" s="218" t="n"/>
      <c r="M125" s="218" t="n"/>
      <c r="S125" s="346" t="n"/>
    </row>
    <row r="126">
      <c r="C126" s="346" t="n"/>
      <c r="D126" s="218" t="n"/>
      <c r="H126" s="218" t="n"/>
      <c r="I126" s="218" t="n"/>
      <c r="J126" s="218" t="n"/>
      <c r="M126" s="218" t="n"/>
      <c r="S126" s="346" t="n"/>
    </row>
    <row r="127">
      <c r="C127" s="346" t="n"/>
      <c r="D127" s="218" t="n"/>
      <c r="H127" s="218" t="n"/>
      <c r="I127" s="218" t="n"/>
      <c r="J127" s="218" t="n"/>
      <c r="M127" s="218" t="n"/>
      <c r="S127" s="346" t="n"/>
    </row>
    <row r="128">
      <c r="C128" s="346" t="n"/>
      <c r="D128" s="218" t="n"/>
      <c r="H128" s="218" t="n"/>
      <c r="I128" s="218" t="n"/>
      <c r="J128" s="218" t="n"/>
      <c r="M128" s="218" t="n"/>
      <c r="S128" s="346" t="n"/>
    </row>
    <row r="129">
      <c r="C129" s="346" t="n"/>
      <c r="D129" s="218" t="n"/>
      <c r="H129" s="218" t="n"/>
      <c r="I129" s="218" t="n"/>
      <c r="J129" s="218" t="n"/>
      <c r="M129" s="218" t="n"/>
      <c r="S129" s="346" t="n"/>
    </row>
    <row r="130">
      <c r="C130" s="346" t="n"/>
      <c r="D130" s="218" t="n"/>
      <c r="H130" s="218" t="n"/>
      <c r="I130" s="218" t="n"/>
      <c r="J130" s="218" t="n"/>
      <c r="M130" s="218" t="n"/>
      <c r="S130" s="346" t="n"/>
    </row>
    <row r="131">
      <c r="C131" s="346" t="n"/>
      <c r="D131" s="218" t="n"/>
      <c r="H131" s="218" t="n"/>
      <c r="I131" s="218" t="n"/>
      <c r="J131" s="218" t="n"/>
      <c r="M131" s="218" t="n"/>
      <c r="S131" s="346" t="n"/>
    </row>
    <row r="132">
      <c r="C132" s="346" t="n"/>
      <c r="D132" s="218" t="n"/>
      <c r="H132" s="218" t="n"/>
      <c r="I132" s="218" t="n"/>
      <c r="J132" s="218" t="n"/>
      <c r="M132" s="218" t="n"/>
      <c r="S132" s="346" t="n"/>
    </row>
    <row r="133">
      <c r="C133" s="346" t="n"/>
      <c r="D133" s="218" t="n"/>
      <c r="H133" s="218" t="n"/>
      <c r="I133" s="218" t="n"/>
      <c r="J133" s="218" t="n"/>
      <c r="M133" s="218" t="n"/>
      <c r="S133" s="346" t="n"/>
    </row>
    <row r="134">
      <c r="C134" s="346" t="n"/>
      <c r="D134" s="218" t="n"/>
      <c r="H134" s="218" t="n"/>
      <c r="I134" s="218" t="n"/>
      <c r="J134" s="218" t="n"/>
      <c r="M134" s="218" t="n"/>
      <c r="S134" s="346" t="n"/>
    </row>
    <row r="135">
      <c r="C135" s="346" t="n"/>
      <c r="D135" s="218" t="n"/>
      <c r="H135" s="218" t="n"/>
      <c r="I135" s="218" t="n"/>
      <c r="J135" s="218" t="n"/>
      <c r="M135" s="218" t="n"/>
      <c r="S135" s="346" t="n"/>
    </row>
    <row r="136">
      <c r="C136" s="346" t="n"/>
      <c r="D136" s="218" t="n"/>
      <c r="H136" s="218" t="n"/>
      <c r="I136" s="218" t="n"/>
      <c r="J136" s="218" t="n"/>
      <c r="M136" s="218" t="n"/>
      <c r="S136" s="346" t="n"/>
    </row>
    <row r="137">
      <c r="C137" s="346" t="n"/>
      <c r="D137" s="218" t="n"/>
      <c r="H137" s="218" t="n"/>
      <c r="I137" s="218" t="n"/>
      <c r="J137" s="218" t="n"/>
      <c r="M137" s="218" t="n"/>
      <c r="S137" s="346" t="n"/>
    </row>
    <row r="138">
      <c r="C138" s="346" t="n"/>
      <c r="D138" s="218" t="n"/>
      <c r="H138" s="218" t="n"/>
      <c r="I138" s="218" t="n"/>
      <c r="J138" s="218" t="n"/>
      <c r="M138" s="218" t="n"/>
      <c r="S138" s="346" t="n"/>
    </row>
    <row r="139">
      <c r="C139" s="346" t="n"/>
      <c r="D139" s="218" t="n"/>
      <c r="H139" s="218" t="n"/>
      <c r="I139" s="218" t="n"/>
      <c r="J139" s="218" t="n"/>
      <c r="M139" s="218" t="n"/>
      <c r="S139" s="346" t="n"/>
    </row>
    <row r="140">
      <c r="C140" s="346" t="n"/>
      <c r="D140" s="218" t="n"/>
      <c r="H140" s="218" t="n"/>
      <c r="I140" s="218" t="n"/>
      <c r="J140" s="218" t="n"/>
      <c r="M140" s="218" t="n"/>
      <c r="S140" s="346" t="n"/>
    </row>
    <row r="141">
      <c r="C141" s="346" t="n"/>
      <c r="D141" s="218" t="n"/>
      <c r="H141" s="218" t="n"/>
      <c r="I141" s="218" t="n"/>
      <c r="J141" s="218" t="n"/>
      <c r="M141" s="218" t="n"/>
      <c r="S141" s="346" t="n"/>
    </row>
    <row r="142">
      <c r="C142" s="346" t="n"/>
      <c r="D142" s="218" t="n"/>
      <c r="H142" s="218" t="n"/>
      <c r="I142" s="218" t="n"/>
      <c r="J142" s="218" t="n"/>
      <c r="M142" s="218" t="n"/>
      <c r="S142" s="346" t="n"/>
    </row>
    <row r="143">
      <c r="C143" s="346" t="n"/>
      <c r="D143" s="218" t="n"/>
      <c r="H143" s="218" t="n"/>
      <c r="I143" s="218" t="n"/>
      <c r="J143" s="218" t="n"/>
      <c r="M143" s="218" t="n"/>
      <c r="S143" s="346" t="n"/>
    </row>
    <row r="144">
      <c r="C144" s="346" t="n"/>
      <c r="D144" s="218" t="n"/>
      <c r="H144" s="218" t="n"/>
      <c r="I144" s="218" t="n"/>
      <c r="J144" s="218" t="n"/>
      <c r="M144" s="218" t="n"/>
      <c r="S144" s="346" t="n"/>
    </row>
    <row r="145">
      <c r="C145" s="346" t="n"/>
      <c r="D145" s="218" t="n"/>
      <c r="H145" s="218" t="n"/>
      <c r="I145" s="218" t="n"/>
      <c r="J145" s="218" t="n"/>
      <c r="M145" s="218" t="n"/>
      <c r="S145" s="346" t="n"/>
    </row>
    <row r="146">
      <c r="C146" s="346" t="n"/>
      <c r="D146" s="218" t="n"/>
      <c r="H146" s="218" t="n"/>
      <c r="I146" s="218" t="n"/>
      <c r="J146" s="218" t="n"/>
      <c r="M146" s="218" t="n"/>
      <c r="S146" s="346" t="n"/>
    </row>
    <row r="147">
      <c r="C147" s="346" t="n"/>
      <c r="D147" s="218" t="n"/>
      <c r="H147" s="218" t="n"/>
      <c r="I147" s="218" t="n"/>
      <c r="J147" s="218" t="n"/>
      <c r="M147" s="218" t="n"/>
      <c r="S147" s="346" t="n"/>
    </row>
    <row r="148">
      <c r="C148" s="346" t="n"/>
      <c r="D148" s="218" t="n"/>
      <c r="H148" s="218" t="n"/>
      <c r="I148" s="218" t="n"/>
      <c r="J148" s="218" t="n"/>
      <c r="M148" s="218" t="n"/>
      <c r="S148" s="346" t="n"/>
    </row>
    <row r="149">
      <c r="C149" s="346" t="n"/>
      <c r="D149" s="218" t="n"/>
      <c r="H149" s="218" t="n"/>
      <c r="I149" s="218" t="n"/>
      <c r="J149" s="218" t="n"/>
      <c r="M149" s="218" t="n"/>
      <c r="S149" s="346" t="n"/>
    </row>
    <row r="150">
      <c r="C150" s="346" t="n"/>
      <c r="D150" s="218" t="n"/>
      <c r="H150" s="218" t="n"/>
      <c r="I150" s="218" t="n"/>
      <c r="J150" s="218" t="n"/>
      <c r="M150" s="218" t="n"/>
      <c r="S150" s="346" t="n"/>
    </row>
    <row r="151">
      <c r="C151" s="346" t="n"/>
      <c r="D151" s="218" t="n"/>
      <c r="H151" s="218" t="n"/>
      <c r="I151" s="218" t="n"/>
      <c r="J151" s="218" t="n"/>
      <c r="M151" s="218" t="n"/>
      <c r="S151" s="346" t="n"/>
    </row>
    <row r="152">
      <c r="C152" s="346" t="n"/>
      <c r="D152" s="218" t="n"/>
      <c r="H152" s="218" t="n"/>
      <c r="I152" s="218" t="n"/>
      <c r="J152" s="218" t="n"/>
      <c r="M152" s="218" t="n"/>
      <c r="S152" s="346" t="n"/>
    </row>
    <row r="153">
      <c r="C153" s="346" t="n"/>
      <c r="D153" s="218" t="n"/>
      <c r="H153" s="218" t="n"/>
      <c r="I153" s="218" t="n"/>
      <c r="J153" s="218" t="n"/>
      <c r="M153" s="218" t="n"/>
      <c r="S153" s="346" t="n"/>
    </row>
    <row r="154">
      <c r="C154" s="346" t="n"/>
      <c r="D154" s="218" t="n"/>
      <c r="H154" s="218" t="n"/>
      <c r="I154" s="218" t="n"/>
      <c r="J154" s="218" t="n"/>
      <c r="M154" s="218" t="n"/>
      <c r="S154" s="346" t="n"/>
    </row>
    <row r="155">
      <c r="C155" s="346" t="n"/>
      <c r="D155" s="218" t="n"/>
      <c r="H155" s="218" t="n"/>
      <c r="I155" s="218" t="n"/>
      <c r="J155" s="218" t="n"/>
      <c r="M155" s="218" t="n"/>
      <c r="S155" s="346" t="n"/>
    </row>
    <row r="156">
      <c r="C156" s="346" t="n"/>
      <c r="D156" s="218" t="n"/>
      <c r="H156" s="218" t="n"/>
      <c r="I156" s="218" t="n"/>
      <c r="J156" s="218" t="n"/>
      <c r="M156" s="218" t="n"/>
      <c r="S156" s="346" t="n"/>
    </row>
    <row r="157">
      <c r="C157" s="346" t="n"/>
      <c r="D157" s="218" t="n"/>
      <c r="H157" s="218" t="n"/>
      <c r="I157" s="218" t="n"/>
      <c r="J157" s="218" t="n"/>
      <c r="M157" s="218" t="n"/>
      <c r="S157" s="346" t="n"/>
    </row>
    <row r="158">
      <c r="C158" s="346" t="n"/>
      <c r="D158" s="218" t="n"/>
      <c r="H158" s="218" t="n"/>
      <c r="I158" s="218" t="n"/>
      <c r="J158" s="218" t="n"/>
      <c r="M158" s="218" t="n"/>
      <c r="S158" s="346" t="n"/>
    </row>
    <row r="159">
      <c r="C159" s="346" t="n"/>
      <c r="D159" s="218" t="n"/>
      <c r="H159" s="218" t="n"/>
      <c r="I159" s="218" t="n"/>
      <c r="J159" s="218" t="n"/>
      <c r="M159" s="218" t="n"/>
      <c r="S159" s="346" t="n"/>
    </row>
    <row r="160">
      <c r="C160" s="346" t="n"/>
      <c r="D160" s="218" t="n"/>
      <c r="H160" s="218" t="n"/>
      <c r="I160" s="218" t="n"/>
      <c r="J160" s="218" t="n"/>
      <c r="M160" s="218" t="n"/>
      <c r="S160" s="346" t="n"/>
    </row>
    <row r="161">
      <c r="C161" s="346" t="n"/>
      <c r="D161" s="218" t="n"/>
      <c r="H161" s="218" t="n"/>
      <c r="I161" s="218" t="n"/>
      <c r="J161" s="218" t="n"/>
      <c r="M161" s="218" t="n"/>
      <c r="S161" s="346" t="n"/>
    </row>
    <row r="162">
      <c r="C162" s="346" t="n"/>
      <c r="D162" s="218" t="n"/>
      <c r="H162" s="218" t="n"/>
      <c r="I162" s="218" t="n"/>
      <c r="J162" s="218" t="n"/>
      <c r="M162" s="218" t="n"/>
      <c r="S162" s="346" t="n"/>
    </row>
    <row r="163">
      <c r="C163" s="346" t="n"/>
      <c r="D163" s="218" t="n"/>
      <c r="H163" s="218" t="n"/>
      <c r="I163" s="218" t="n"/>
      <c r="J163" s="218" t="n"/>
      <c r="M163" s="218" t="n"/>
      <c r="S163" s="346" t="n"/>
    </row>
    <row r="164">
      <c r="C164" s="346" t="n"/>
      <c r="D164" s="218" t="n"/>
      <c r="H164" s="218" t="n"/>
      <c r="I164" s="218" t="n"/>
      <c r="J164" s="218" t="n"/>
      <c r="M164" s="218" t="n"/>
      <c r="S164" s="346" t="n"/>
    </row>
    <row r="165">
      <c r="C165" s="346" t="n"/>
      <c r="D165" s="218" t="n"/>
      <c r="H165" s="218" t="n"/>
      <c r="I165" s="218" t="n"/>
      <c r="J165" s="218" t="n"/>
      <c r="M165" s="218" t="n"/>
      <c r="S165" s="346" t="n"/>
    </row>
    <row r="166">
      <c r="C166" s="346" t="n"/>
      <c r="D166" s="218" t="n"/>
      <c r="H166" s="218" t="n"/>
      <c r="I166" s="218" t="n"/>
      <c r="J166" s="218" t="n"/>
      <c r="M166" s="218" t="n"/>
      <c r="S166" s="346" t="n"/>
    </row>
    <row r="167">
      <c r="C167" s="346" t="n"/>
      <c r="D167" s="218" t="n"/>
      <c r="H167" s="218" t="n"/>
      <c r="I167" s="218" t="n"/>
      <c r="J167" s="218" t="n"/>
      <c r="M167" s="218" t="n"/>
      <c r="S167" s="346" t="n"/>
    </row>
    <row r="168">
      <c r="C168" s="346" t="n"/>
      <c r="D168" s="218" t="n"/>
      <c r="H168" s="218" t="n"/>
      <c r="I168" s="218" t="n"/>
      <c r="J168" s="218" t="n"/>
      <c r="M168" s="218" t="n"/>
      <c r="S168" s="346" t="n"/>
    </row>
    <row r="169">
      <c r="C169" s="346" t="n"/>
      <c r="D169" s="218" t="n"/>
      <c r="H169" s="218" t="n"/>
      <c r="I169" s="218" t="n"/>
      <c r="J169" s="218" t="n"/>
      <c r="M169" s="218" t="n"/>
      <c r="S169" s="346" t="n"/>
    </row>
    <row r="170">
      <c r="C170" s="346" t="n"/>
      <c r="D170" s="218" t="n"/>
      <c r="H170" s="218" t="n"/>
      <c r="I170" s="218" t="n"/>
      <c r="J170" s="218" t="n"/>
      <c r="M170" s="218" t="n"/>
      <c r="S170" s="346" t="n"/>
    </row>
    <row r="171">
      <c r="C171" s="346" t="n"/>
      <c r="D171" s="218" t="n"/>
      <c r="H171" s="218" t="n"/>
      <c r="I171" s="218" t="n"/>
      <c r="J171" s="218" t="n"/>
      <c r="M171" s="218" t="n"/>
      <c r="S171" s="346" t="n"/>
    </row>
    <row r="172">
      <c r="C172" s="346" t="n"/>
      <c r="D172" s="218" t="n"/>
      <c r="H172" s="218" t="n"/>
      <c r="I172" s="218" t="n"/>
      <c r="J172" s="218" t="n"/>
      <c r="M172" s="218" t="n"/>
      <c r="S172" s="346" t="n"/>
    </row>
    <row r="173">
      <c r="C173" s="346" t="n"/>
      <c r="D173" s="218" t="n"/>
      <c r="H173" s="218" t="n"/>
      <c r="I173" s="218" t="n"/>
      <c r="J173" s="218" t="n"/>
      <c r="M173" s="218" t="n"/>
      <c r="S173" s="346" t="n"/>
    </row>
    <row r="174">
      <c r="C174" s="346" t="n"/>
      <c r="D174" s="218" t="n"/>
      <c r="H174" s="218" t="n"/>
      <c r="I174" s="218" t="n"/>
      <c r="J174" s="218" t="n"/>
      <c r="M174" s="218" t="n"/>
      <c r="S174" s="346" t="n"/>
    </row>
    <row r="175">
      <c r="C175" s="346" t="n"/>
      <c r="D175" s="218" t="n"/>
      <c r="H175" s="218" t="n"/>
      <c r="I175" s="218" t="n"/>
      <c r="J175" s="218" t="n"/>
      <c r="M175" s="218" t="n"/>
      <c r="S175" s="346" t="n"/>
    </row>
    <row r="176">
      <c r="C176" s="346" t="n"/>
      <c r="D176" s="218" t="n"/>
      <c r="H176" s="218" t="n"/>
      <c r="I176" s="218" t="n"/>
      <c r="J176" s="218" t="n"/>
      <c r="M176" s="218" t="n"/>
      <c r="S176" s="346" t="n"/>
    </row>
    <row r="177">
      <c r="C177" s="346" t="n"/>
      <c r="D177" s="218" t="n"/>
      <c r="H177" s="218" t="n"/>
      <c r="I177" s="218" t="n"/>
      <c r="J177" s="218" t="n"/>
      <c r="M177" s="218" t="n"/>
      <c r="S177" s="346" t="n"/>
    </row>
    <row r="178">
      <c r="C178" s="346" t="n"/>
      <c r="D178" s="218" t="n"/>
      <c r="H178" s="218" t="n"/>
      <c r="I178" s="218" t="n"/>
      <c r="J178" s="218" t="n"/>
      <c r="M178" s="218" t="n"/>
      <c r="S178" s="346" t="n"/>
    </row>
    <row r="179">
      <c r="C179" s="346" t="n"/>
      <c r="D179" s="218" t="n"/>
      <c r="H179" s="218" t="n"/>
      <c r="I179" s="218" t="n"/>
      <c r="J179" s="218" t="n"/>
      <c r="M179" s="218" t="n"/>
      <c r="S179" s="346" t="n"/>
    </row>
    <row r="180">
      <c r="C180" s="346" t="n"/>
      <c r="D180" s="218" t="n"/>
      <c r="H180" s="218" t="n"/>
      <c r="I180" s="218" t="n"/>
      <c r="J180" s="218" t="n"/>
      <c r="M180" s="218" t="n"/>
      <c r="S180" s="346" t="n"/>
    </row>
    <row r="181">
      <c r="C181" s="346" t="n"/>
      <c r="D181" s="218" t="n"/>
      <c r="H181" s="218" t="n"/>
      <c r="I181" s="218" t="n"/>
      <c r="J181" s="218" t="n"/>
      <c r="M181" s="218" t="n"/>
      <c r="S181" s="346" t="n"/>
    </row>
    <row r="182">
      <c r="C182" s="346" t="n"/>
      <c r="D182" s="218" t="n"/>
      <c r="H182" s="218" t="n"/>
      <c r="I182" s="218" t="n"/>
      <c r="J182" s="218" t="n"/>
      <c r="M182" s="218" t="n"/>
      <c r="S182" s="346" t="n"/>
    </row>
    <row r="183">
      <c r="C183" s="346" t="n"/>
      <c r="D183" s="218" t="n"/>
      <c r="H183" s="218" t="n"/>
      <c r="I183" s="218" t="n"/>
      <c r="J183" s="218" t="n"/>
      <c r="M183" s="218" t="n"/>
      <c r="S183" s="346" t="n"/>
    </row>
    <row r="184">
      <c r="C184" s="346" t="n"/>
      <c r="D184" s="218" t="n"/>
      <c r="H184" s="218" t="n"/>
      <c r="I184" s="218" t="n"/>
      <c r="J184" s="218" t="n"/>
      <c r="M184" s="218" t="n"/>
      <c r="S184" s="346" t="n"/>
    </row>
    <row r="185">
      <c r="C185" s="346" t="n"/>
      <c r="D185" s="218" t="n"/>
      <c r="H185" s="218" t="n"/>
      <c r="I185" s="218" t="n"/>
      <c r="J185" s="218" t="n"/>
      <c r="M185" s="218" t="n"/>
      <c r="S185" s="346" t="n"/>
    </row>
    <row r="186">
      <c r="C186" s="346" t="n"/>
      <c r="D186" s="218" t="n"/>
      <c r="H186" s="218" t="n"/>
      <c r="I186" s="218" t="n"/>
      <c r="J186" s="218" t="n"/>
      <c r="M186" s="218" t="n"/>
      <c r="S186" s="346" t="n"/>
    </row>
    <row r="187">
      <c r="C187" s="346" t="n"/>
      <c r="D187" s="218" t="n"/>
      <c r="H187" s="218" t="n"/>
      <c r="I187" s="218" t="n"/>
      <c r="J187" s="218" t="n"/>
      <c r="M187" s="218" t="n"/>
      <c r="S187" s="346" t="n"/>
    </row>
    <row r="188">
      <c r="C188" s="346" t="n"/>
      <c r="D188" s="218" t="n"/>
      <c r="H188" s="218" t="n"/>
      <c r="I188" s="218" t="n"/>
      <c r="J188" s="218" t="n"/>
      <c r="M188" s="218" t="n"/>
      <c r="S188" s="346" t="n"/>
    </row>
    <row r="189">
      <c r="C189" s="346" t="n"/>
      <c r="D189" s="218" t="n"/>
      <c r="H189" s="218" t="n"/>
      <c r="I189" s="218" t="n"/>
      <c r="J189" s="218" t="n"/>
      <c r="M189" s="218" t="n"/>
      <c r="S189" s="346" t="n"/>
    </row>
    <row r="190">
      <c r="C190" s="346" t="n"/>
      <c r="D190" s="218" t="n"/>
      <c r="H190" s="218" t="n"/>
      <c r="I190" s="218" t="n"/>
      <c r="J190" s="218" t="n"/>
      <c r="M190" s="218" t="n"/>
      <c r="S190" s="346" t="n"/>
    </row>
    <row r="191">
      <c r="C191" s="346" t="n"/>
      <c r="D191" s="218" t="n"/>
      <c r="H191" s="218" t="n"/>
      <c r="I191" s="218" t="n"/>
      <c r="J191" s="218" t="n"/>
      <c r="M191" s="218" t="n"/>
      <c r="S191" s="346" t="n"/>
    </row>
    <row r="192">
      <c r="C192" s="346" t="n"/>
      <c r="D192" s="218" t="n"/>
      <c r="H192" s="218" t="n"/>
      <c r="I192" s="218" t="n"/>
      <c r="J192" s="218" t="n"/>
      <c r="M192" s="218" t="n"/>
      <c r="S192" s="346" t="n"/>
    </row>
    <row r="193">
      <c r="C193" s="346" t="n"/>
      <c r="D193" s="218" t="n"/>
      <c r="H193" s="218" t="n"/>
      <c r="I193" s="218" t="n"/>
      <c r="J193" s="218" t="n"/>
      <c r="M193" s="218" t="n"/>
      <c r="S193" s="346" t="n"/>
    </row>
    <row r="194">
      <c r="C194" s="346" t="n"/>
      <c r="D194" s="218" t="n"/>
      <c r="H194" s="218" t="n"/>
      <c r="I194" s="218" t="n"/>
      <c r="J194" s="218" t="n"/>
      <c r="M194" s="218" t="n"/>
      <c r="S194" s="346" t="n"/>
    </row>
    <row r="195">
      <c r="C195" s="346" t="n"/>
      <c r="D195" s="218" t="n"/>
      <c r="H195" s="218" t="n"/>
      <c r="I195" s="218" t="n"/>
      <c r="J195" s="218" t="n"/>
      <c r="M195" s="218" t="n"/>
      <c r="S195" s="346" t="n"/>
    </row>
    <row r="196">
      <c r="C196" s="346" t="n"/>
      <c r="D196" s="218" t="n"/>
      <c r="H196" s="218" t="n"/>
      <c r="I196" s="218" t="n"/>
      <c r="J196" s="218" t="n"/>
      <c r="M196" s="218" t="n"/>
      <c r="S196" s="346" t="n"/>
    </row>
    <row r="197">
      <c r="C197" s="346" t="n"/>
      <c r="D197" s="218" t="n"/>
      <c r="H197" s="218" t="n"/>
      <c r="I197" s="218" t="n"/>
      <c r="J197" s="218" t="n"/>
      <c r="M197" s="218" t="n"/>
      <c r="S197" s="346" t="n"/>
    </row>
    <row r="198">
      <c r="C198" s="346" t="n"/>
      <c r="D198" s="218" t="n"/>
      <c r="H198" s="218" t="n"/>
      <c r="I198" s="218" t="n"/>
      <c r="J198" s="218" t="n"/>
      <c r="M198" s="218" t="n"/>
      <c r="S198" s="346" t="n"/>
    </row>
    <row r="199">
      <c r="C199" s="346" t="n"/>
      <c r="D199" s="218" t="n"/>
      <c r="H199" s="218" t="n"/>
      <c r="I199" s="218" t="n"/>
      <c r="J199" s="218" t="n"/>
      <c r="M199" s="218" t="n"/>
      <c r="S199" s="346" t="n"/>
    </row>
    <row r="200">
      <c r="C200" s="346" t="n"/>
      <c r="D200" s="218" t="n"/>
      <c r="H200" s="218" t="n"/>
      <c r="I200" s="218" t="n"/>
      <c r="J200" s="218" t="n"/>
      <c r="M200" s="218" t="n"/>
      <c r="S200" s="346" t="n"/>
    </row>
    <row r="201">
      <c r="C201" s="346" t="n"/>
      <c r="D201" s="218" t="n"/>
      <c r="H201" s="218" t="n"/>
      <c r="I201" s="218" t="n"/>
      <c r="J201" s="218" t="n"/>
      <c r="M201" s="218" t="n"/>
      <c r="S201" s="346" t="n"/>
    </row>
    <row r="202">
      <c r="C202" s="346" t="n"/>
      <c r="D202" s="218" t="n"/>
      <c r="H202" s="218" t="n"/>
      <c r="I202" s="218" t="n"/>
      <c r="J202" s="218" t="n"/>
      <c r="M202" s="218" t="n"/>
      <c r="S202" s="346" t="n"/>
    </row>
    <row r="203">
      <c r="C203" s="346" t="n"/>
      <c r="D203" s="218" t="n"/>
      <c r="H203" s="218" t="n"/>
      <c r="I203" s="218" t="n"/>
      <c r="J203" s="218" t="n"/>
      <c r="M203" s="218" t="n"/>
      <c r="S203" s="346" t="n"/>
    </row>
    <row r="204">
      <c r="C204" s="346" t="n"/>
      <c r="D204" s="218" t="n"/>
      <c r="H204" s="218" t="n"/>
      <c r="I204" s="218" t="n"/>
      <c r="J204" s="218" t="n"/>
      <c r="M204" s="218" t="n"/>
      <c r="S204" s="346" t="n"/>
    </row>
    <row r="205">
      <c r="C205" s="346" t="n"/>
      <c r="D205" s="218" t="n"/>
      <c r="H205" s="218" t="n"/>
      <c r="I205" s="218" t="n"/>
      <c r="J205" s="218" t="n"/>
      <c r="M205" s="218" t="n"/>
      <c r="S205" s="346" t="n"/>
    </row>
    <row r="206">
      <c r="C206" s="346" t="n"/>
      <c r="D206" s="218" t="n"/>
      <c r="H206" s="218" t="n"/>
      <c r="I206" s="218" t="n"/>
      <c r="J206" s="218" t="n"/>
      <c r="M206" s="218" t="n"/>
      <c r="S206" s="346" t="n"/>
    </row>
    <row r="207">
      <c r="C207" s="346" t="n"/>
      <c r="D207" s="218" t="n"/>
      <c r="H207" s="218" t="n"/>
      <c r="I207" s="218" t="n"/>
      <c r="J207" s="218" t="n"/>
      <c r="M207" s="218" t="n"/>
      <c r="S207" s="346" t="n"/>
    </row>
    <row r="208">
      <c r="C208" s="346" t="n"/>
      <c r="D208" s="218" t="n"/>
      <c r="H208" s="218" t="n"/>
      <c r="I208" s="218" t="n"/>
      <c r="J208" s="218" t="n"/>
      <c r="M208" s="218" t="n"/>
      <c r="S208" s="346" t="n"/>
    </row>
    <row r="209">
      <c r="C209" s="346" t="n"/>
      <c r="D209" s="218" t="n"/>
      <c r="H209" s="218" t="n"/>
      <c r="I209" s="218" t="n"/>
      <c r="J209" s="218" t="n"/>
      <c r="M209" s="218" t="n"/>
      <c r="S209" s="346" t="n"/>
    </row>
    <row r="210">
      <c r="C210" s="346" t="n"/>
      <c r="D210" s="218" t="n"/>
      <c r="H210" s="218" t="n"/>
      <c r="I210" s="218" t="n"/>
      <c r="J210" s="218" t="n"/>
      <c r="M210" s="218" t="n"/>
      <c r="S210" s="346" t="n"/>
    </row>
    <row r="211">
      <c r="C211" s="346" t="n"/>
      <c r="D211" s="218" t="n"/>
      <c r="H211" s="218" t="n"/>
      <c r="I211" s="218" t="n"/>
      <c r="J211" s="218" t="n"/>
      <c r="M211" s="218" t="n"/>
      <c r="S211" s="346" t="n"/>
    </row>
    <row r="212">
      <c r="C212" s="346" t="n"/>
      <c r="D212" s="218" t="n"/>
      <c r="H212" s="218" t="n"/>
      <c r="I212" s="218" t="n"/>
      <c r="J212" s="218" t="n"/>
      <c r="M212" s="218" t="n"/>
      <c r="S212" s="346" t="n"/>
    </row>
    <row r="213">
      <c r="C213" s="346" t="n"/>
      <c r="D213" s="218" t="n"/>
      <c r="H213" s="218" t="n"/>
      <c r="I213" s="218" t="n"/>
      <c r="J213" s="218" t="n"/>
      <c r="M213" s="218" t="n"/>
      <c r="S213" s="346" t="n"/>
    </row>
    <row r="214">
      <c r="C214" s="346" t="n"/>
      <c r="D214" s="218" t="n"/>
      <c r="H214" s="218" t="n"/>
      <c r="I214" s="218" t="n"/>
      <c r="J214" s="218" t="n"/>
      <c r="M214" s="218" t="n"/>
      <c r="S214" s="346" t="n"/>
    </row>
    <row r="215">
      <c r="C215" s="346" t="n"/>
      <c r="D215" s="218" t="n"/>
      <c r="H215" s="218" t="n"/>
      <c r="I215" s="218" t="n"/>
      <c r="J215" s="218" t="n"/>
      <c r="M215" s="218" t="n"/>
      <c r="S215" s="346" t="n"/>
    </row>
    <row r="216">
      <c r="C216" s="346" t="n"/>
      <c r="D216" s="218" t="n"/>
      <c r="H216" s="218" t="n"/>
      <c r="I216" s="218" t="n"/>
      <c r="J216" s="218" t="n"/>
      <c r="M216" s="218" t="n"/>
      <c r="S216" s="346" t="n"/>
    </row>
    <row r="217">
      <c r="C217" s="346" t="n"/>
      <c r="D217" s="218" t="n"/>
      <c r="H217" s="218" t="n"/>
      <c r="I217" s="218" t="n"/>
      <c r="J217" s="218" t="n"/>
      <c r="M217" s="218" t="n"/>
      <c r="S217" s="346" t="n"/>
    </row>
    <row r="218">
      <c r="C218" s="346" t="n"/>
      <c r="D218" s="218" t="n"/>
      <c r="H218" s="218" t="n"/>
      <c r="I218" s="218" t="n"/>
      <c r="J218" s="218" t="n"/>
      <c r="M218" s="218" t="n"/>
      <c r="S218" s="346" t="n"/>
    </row>
    <row r="219">
      <c r="C219" s="346" t="n"/>
      <c r="D219" s="218" t="n"/>
      <c r="H219" s="218" t="n"/>
      <c r="I219" s="218" t="n"/>
      <c r="J219" s="218" t="n"/>
      <c r="M219" s="218" t="n"/>
      <c r="S219" s="346" t="n"/>
    </row>
    <row r="220">
      <c r="C220" s="346" t="n"/>
      <c r="D220" s="218" t="n"/>
      <c r="H220" s="218" t="n"/>
      <c r="I220" s="218" t="n"/>
      <c r="J220" s="218" t="n"/>
      <c r="M220" s="218" t="n"/>
      <c r="S220" s="346" t="n"/>
    </row>
    <row r="221">
      <c r="C221" s="346" t="n"/>
      <c r="D221" s="218" t="n"/>
      <c r="H221" s="218" t="n"/>
      <c r="I221" s="218" t="n"/>
      <c r="J221" s="218" t="n"/>
      <c r="M221" s="218" t="n"/>
      <c r="S221" s="346" t="n"/>
    </row>
    <row r="222">
      <c r="C222" s="346" t="n"/>
      <c r="D222" s="218" t="n"/>
      <c r="H222" s="218" t="n"/>
      <c r="I222" s="218" t="n"/>
      <c r="J222" s="218" t="n"/>
      <c r="M222" s="218" t="n"/>
      <c r="S222" s="346" t="n"/>
    </row>
    <row r="223">
      <c r="C223" s="346" t="n"/>
      <c r="D223" s="218" t="n"/>
      <c r="H223" s="218" t="n"/>
      <c r="I223" s="218" t="n"/>
      <c r="J223" s="218" t="n"/>
      <c r="M223" s="218" t="n"/>
      <c r="S223" s="346" t="n"/>
    </row>
    <row r="224">
      <c r="C224" s="346" t="n"/>
      <c r="D224" s="218" t="n"/>
      <c r="H224" s="218" t="n"/>
      <c r="I224" s="218" t="n"/>
      <c r="J224" s="218" t="n"/>
      <c r="M224" s="218" t="n"/>
      <c r="S224" s="346" t="n"/>
    </row>
    <row r="225">
      <c r="C225" s="346" t="n"/>
      <c r="D225" s="218" t="n"/>
      <c r="H225" s="218" t="n"/>
      <c r="I225" s="218" t="n"/>
      <c r="J225" s="218" t="n"/>
      <c r="M225" s="218" t="n"/>
      <c r="S225" s="346" t="n"/>
    </row>
    <row r="226">
      <c r="C226" s="346" t="n"/>
      <c r="D226" s="218" t="n"/>
      <c r="H226" s="218" t="n"/>
      <c r="I226" s="218" t="n"/>
      <c r="J226" s="218" t="n"/>
      <c r="M226" s="218" t="n"/>
      <c r="S226" s="346" t="n"/>
    </row>
    <row r="227">
      <c r="C227" s="346" t="n"/>
      <c r="D227" s="218" t="n"/>
      <c r="H227" s="218" t="n"/>
      <c r="I227" s="218" t="n"/>
      <c r="J227" s="218" t="n"/>
      <c r="M227" s="218" t="n"/>
      <c r="S227" s="346" t="n"/>
    </row>
    <row r="228">
      <c r="C228" s="346" t="n"/>
      <c r="D228" s="218" t="n"/>
      <c r="H228" s="218" t="n"/>
      <c r="I228" s="218" t="n"/>
      <c r="J228" s="218" t="n"/>
      <c r="M228" s="218" t="n"/>
      <c r="S228" s="346" t="n"/>
    </row>
    <row r="229">
      <c r="C229" s="346" t="n"/>
      <c r="D229" s="218" t="n"/>
      <c r="H229" s="218" t="n"/>
      <c r="I229" s="218" t="n"/>
      <c r="J229" s="218" t="n"/>
      <c r="M229" s="218" t="n"/>
      <c r="S229" s="346" t="n"/>
    </row>
    <row r="230">
      <c r="C230" s="346" t="n"/>
      <c r="D230" s="218" t="n"/>
      <c r="H230" s="218" t="n"/>
      <c r="I230" s="218" t="n"/>
      <c r="J230" s="218" t="n"/>
      <c r="M230" s="218" t="n"/>
      <c r="S230" s="346" t="n"/>
    </row>
    <row r="231">
      <c r="C231" s="346" t="n"/>
      <c r="D231" s="218" t="n"/>
      <c r="H231" s="218" t="n"/>
      <c r="I231" s="218" t="n"/>
      <c r="J231" s="218" t="n"/>
      <c r="M231" s="218" t="n"/>
      <c r="S231" s="346" t="n"/>
    </row>
    <row r="232">
      <c r="C232" s="346" t="n"/>
      <c r="D232" s="218" t="n"/>
      <c r="H232" s="218" t="n"/>
      <c r="I232" s="218" t="n"/>
      <c r="J232" s="218" t="n"/>
      <c r="M232" s="218" t="n"/>
      <c r="S232" s="346" t="n"/>
    </row>
    <row r="233">
      <c r="C233" s="346" t="n"/>
      <c r="D233" s="218" t="n"/>
      <c r="H233" s="218" t="n"/>
      <c r="I233" s="218" t="n"/>
      <c r="J233" s="218" t="n"/>
      <c r="M233" s="218" t="n"/>
      <c r="S233" s="346" t="n"/>
    </row>
    <row r="234">
      <c r="C234" s="346" t="n"/>
      <c r="D234" s="218" t="n"/>
      <c r="H234" s="218" t="n"/>
      <c r="I234" s="218" t="n"/>
      <c r="J234" s="218" t="n"/>
      <c r="M234" s="218" t="n"/>
      <c r="S234" s="346" t="n"/>
    </row>
    <row r="235">
      <c r="C235" s="346" t="n"/>
      <c r="D235" s="218" t="n"/>
      <c r="H235" s="218" t="n"/>
      <c r="I235" s="218" t="n"/>
      <c r="J235" s="218" t="n"/>
      <c r="M235" s="218" t="n"/>
      <c r="S235" s="346" t="n"/>
    </row>
    <row r="236">
      <c r="C236" s="346" t="n"/>
      <c r="D236" s="218" t="n"/>
      <c r="H236" s="218" t="n"/>
      <c r="I236" s="218" t="n"/>
      <c r="J236" s="218" t="n"/>
      <c r="M236" s="218" t="n"/>
      <c r="S236" s="346" t="n"/>
    </row>
    <row r="237">
      <c r="C237" s="346" t="n"/>
      <c r="D237" s="218" t="n"/>
      <c r="H237" s="218" t="n"/>
      <c r="I237" s="218" t="n"/>
      <c r="J237" s="218" t="n"/>
      <c r="M237" s="218" t="n"/>
      <c r="S237" s="346" t="n"/>
    </row>
    <row r="238">
      <c r="C238" s="346" t="n"/>
      <c r="D238" s="218" t="n"/>
      <c r="H238" s="218" t="n"/>
      <c r="I238" s="218" t="n"/>
      <c r="J238" s="218" t="n"/>
      <c r="M238" s="218" t="n"/>
      <c r="S238" s="346" t="n"/>
    </row>
    <row r="239">
      <c r="C239" s="346" t="n"/>
      <c r="D239" s="218" t="n"/>
      <c r="H239" s="218" t="n"/>
      <c r="I239" s="218" t="n"/>
      <c r="J239" s="218" t="n"/>
      <c r="M239" s="218" t="n"/>
      <c r="S239" s="346" t="n"/>
    </row>
    <row r="240">
      <c r="C240" s="346" t="n"/>
      <c r="D240" s="218" t="n"/>
      <c r="H240" s="218" t="n"/>
      <c r="I240" s="218" t="n"/>
      <c r="J240" s="218" t="n"/>
      <c r="M240" s="218" t="n"/>
      <c r="S240" s="346" t="n"/>
    </row>
    <row r="241">
      <c r="C241" s="346" t="n"/>
      <c r="D241" s="218" t="n"/>
      <c r="H241" s="218" t="n"/>
      <c r="I241" s="218" t="n"/>
      <c r="J241" s="218" t="n"/>
      <c r="M241" s="218" t="n"/>
      <c r="S241" s="346" t="n"/>
    </row>
    <row r="242">
      <c r="C242" s="346" t="n"/>
      <c r="D242" s="218" t="n"/>
      <c r="H242" s="218" t="n"/>
      <c r="I242" s="218" t="n"/>
      <c r="J242" s="218" t="n"/>
      <c r="M242" s="218" t="n"/>
      <c r="S242" s="346" t="n"/>
    </row>
    <row r="243">
      <c r="C243" s="346" t="n"/>
      <c r="D243" s="218" t="n"/>
      <c r="H243" s="218" t="n"/>
      <c r="I243" s="218" t="n"/>
      <c r="J243" s="218" t="n"/>
      <c r="M243" s="218" t="n"/>
      <c r="S243" s="346" t="n"/>
    </row>
    <row r="244">
      <c r="C244" s="346" t="n"/>
      <c r="D244" s="218" t="n"/>
      <c r="H244" s="218" t="n"/>
      <c r="I244" s="218" t="n"/>
      <c r="J244" s="218" t="n"/>
      <c r="M244" s="218" t="n"/>
      <c r="S244" s="346" t="n"/>
    </row>
    <row r="245">
      <c r="C245" s="346" t="n"/>
      <c r="D245" s="218" t="n"/>
      <c r="H245" s="218" t="n"/>
      <c r="I245" s="218" t="n"/>
      <c r="J245" s="218" t="n"/>
      <c r="M245" s="218" t="n"/>
      <c r="S245" s="346" t="n"/>
    </row>
    <row r="246">
      <c r="C246" s="346" t="n"/>
      <c r="D246" s="218" t="n"/>
      <c r="H246" s="218" t="n"/>
      <c r="I246" s="218" t="n"/>
      <c r="J246" s="218" t="n"/>
      <c r="M246" s="218" t="n"/>
      <c r="S246" s="346" t="n"/>
    </row>
    <row r="247">
      <c r="C247" s="346" t="n"/>
      <c r="D247" s="218" t="n"/>
      <c r="H247" s="218" t="n"/>
      <c r="I247" s="218" t="n"/>
      <c r="J247" s="218" t="n"/>
      <c r="M247" s="218" t="n"/>
      <c r="S247" s="346" t="n"/>
    </row>
    <row r="248">
      <c r="C248" s="346" t="n"/>
      <c r="D248" s="218" t="n"/>
      <c r="H248" s="218" t="n"/>
      <c r="I248" s="218" t="n"/>
      <c r="J248" s="218" t="n"/>
      <c r="M248" s="218" t="n"/>
      <c r="S248" s="346" t="n"/>
    </row>
    <row r="249">
      <c r="C249" s="346" t="n"/>
      <c r="D249" s="218" t="n"/>
      <c r="H249" s="218" t="n"/>
      <c r="I249" s="218" t="n"/>
      <c r="J249" s="218" t="n"/>
      <c r="M249" s="218" t="n"/>
      <c r="S249" s="346" t="n"/>
    </row>
    <row r="250">
      <c r="C250" s="346" t="n"/>
      <c r="D250" s="218" t="n"/>
      <c r="H250" s="218" t="n"/>
      <c r="I250" s="218" t="n"/>
      <c r="J250" s="218" t="n"/>
      <c r="M250" s="218" t="n"/>
      <c r="S250" s="346" t="n"/>
    </row>
    <row r="251">
      <c r="C251" s="346" t="n"/>
      <c r="D251" s="218" t="n"/>
      <c r="H251" s="218" t="n"/>
      <c r="I251" s="218" t="n"/>
      <c r="J251" s="218" t="n"/>
      <c r="M251" s="218" t="n"/>
      <c r="S251" s="346" t="n"/>
    </row>
    <row r="252">
      <c r="C252" s="346" t="n"/>
      <c r="D252" s="218" t="n"/>
      <c r="H252" s="218" t="n"/>
      <c r="I252" s="218" t="n"/>
      <c r="J252" s="218" t="n"/>
      <c r="M252" s="218" t="n"/>
      <c r="S252" s="346" t="n"/>
    </row>
    <row r="253">
      <c r="C253" s="346" t="n"/>
      <c r="D253" s="218" t="n"/>
      <c r="H253" s="218" t="n"/>
      <c r="I253" s="218" t="n"/>
      <c r="J253" s="218" t="n"/>
      <c r="M253" s="218" t="n"/>
      <c r="S253" s="346" t="n"/>
    </row>
    <row r="254">
      <c r="C254" s="346" t="n"/>
      <c r="D254" s="218" t="n"/>
      <c r="H254" s="218" t="n"/>
      <c r="I254" s="218" t="n"/>
      <c r="J254" s="218" t="n"/>
      <c r="M254" s="218" t="n"/>
      <c r="S254" s="346" t="n"/>
    </row>
    <row r="255">
      <c r="C255" s="346" t="n"/>
      <c r="D255" s="218" t="n"/>
      <c r="H255" s="218" t="n"/>
      <c r="I255" s="218" t="n"/>
      <c r="J255" s="218" t="n"/>
      <c r="M255" s="218" t="n"/>
      <c r="S255" s="346" t="n"/>
    </row>
    <row r="256">
      <c r="C256" s="346" t="n"/>
      <c r="D256" s="218" t="n"/>
      <c r="H256" s="218" t="n"/>
      <c r="I256" s="218" t="n"/>
      <c r="J256" s="218" t="n"/>
      <c r="M256" s="218" t="n"/>
      <c r="S256" s="346" t="n"/>
    </row>
    <row r="257">
      <c r="C257" s="346" t="n"/>
      <c r="D257" s="218" t="n"/>
      <c r="H257" s="218" t="n"/>
      <c r="I257" s="218" t="n"/>
      <c r="J257" s="218" t="n"/>
      <c r="M257" s="218" t="n"/>
      <c r="S257" s="346" t="n"/>
    </row>
    <row r="258">
      <c r="C258" s="346" t="n"/>
      <c r="D258" s="218" t="n"/>
      <c r="H258" s="218" t="n"/>
      <c r="I258" s="218" t="n"/>
      <c r="J258" s="218" t="n"/>
      <c r="M258" s="218" t="n"/>
      <c r="S258" s="346" t="n"/>
    </row>
    <row r="259">
      <c r="C259" s="346" t="n"/>
      <c r="D259" s="218" t="n"/>
      <c r="H259" s="218" t="n"/>
      <c r="I259" s="218" t="n"/>
      <c r="J259" s="218" t="n"/>
      <c r="M259" s="218" t="n"/>
      <c r="S259" s="346" t="n"/>
    </row>
    <row r="260">
      <c r="C260" s="346" t="n"/>
      <c r="D260" s="218" t="n"/>
      <c r="H260" s="218" t="n"/>
      <c r="I260" s="218" t="n"/>
      <c r="J260" s="218" t="n"/>
      <c r="M260" s="218" t="n"/>
      <c r="S260" s="346" t="n"/>
    </row>
    <row r="261">
      <c r="C261" s="346" t="n"/>
      <c r="D261" s="218" t="n"/>
      <c r="H261" s="218" t="n"/>
      <c r="I261" s="218" t="n"/>
      <c r="J261" s="218" t="n"/>
      <c r="M261" s="218" t="n"/>
      <c r="S261" s="346" t="n"/>
    </row>
    <row r="262">
      <c r="C262" s="346" t="n"/>
      <c r="D262" s="218" t="n"/>
      <c r="H262" s="218" t="n"/>
      <c r="I262" s="218" t="n"/>
      <c r="J262" s="218" t="n"/>
      <c r="M262" s="218" t="n"/>
      <c r="S262" s="346" t="n"/>
    </row>
    <row r="263">
      <c r="C263" s="346" t="n"/>
      <c r="D263" s="218" t="n"/>
      <c r="H263" s="218" t="n"/>
      <c r="I263" s="218" t="n"/>
      <c r="J263" s="218" t="n"/>
      <c r="M263" s="218" t="n"/>
      <c r="S263" s="346" t="n"/>
    </row>
    <row r="264">
      <c r="C264" s="346" t="n"/>
      <c r="D264" s="218" t="n"/>
      <c r="H264" s="218" t="n"/>
      <c r="I264" s="218" t="n"/>
      <c r="J264" s="218" t="n"/>
      <c r="M264" s="218" t="n"/>
      <c r="S264" s="346" t="n"/>
    </row>
    <row r="265">
      <c r="C265" s="346" t="n"/>
      <c r="D265" s="218" t="n"/>
      <c r="H265" s="218" t="n"/>
      <c r="I265" s="218" t="n"/>
      <c r="J265" s="218" t="n"/>
      <c r="M265" s="218" t="n"/>
      <c r="S265" s="346" t="n"/>
    </row>
    <row r="266">
      <c r="C266" s="346" t="n"/>
      <c r="D266" s="218" t="n"/>
      <c r="H266" s="218" t="n"/>
      <c r="I266" s="218" t="n"/>
      <c r="J266" s="218" t="n"/>
      <c r="M266" s="218" t="n"/>
      <c r="S266" s="346" t="n"/>
    </row>
    <row r="267">
      <c r="C267" s="346" t="n"/>
      <c r="D267" s="218" t="n"/>
      <c r="H267" s="218" t="n"/>
      <c r="I267" s="218" t="n"/>
      <c r="J267" s="218" t="n"/>
      <c r="M267" s="218" t="n"/>
      <c r="S267" s="346" t="n"/>
    </row>
    <row r="268">
      <c r="C268" s="346" t="n"/>
      <c r="D268" s="218" t="n"/>
      <c r="H268" s="218" t="n"/>
      <c r="I268" s="218" t="n"/>
      <c r="J268" s="218" t="n"/>
      <c r="M268" s="218" t="n"/>
      <c r="S268" s="346" t="n"/>
    </row>
    <row r="269">
      <c r="C269" s="346" t="n"/>
      <c r="D269" s="218" t="n"/>
      <c r="H269" s="218" t="n"/>
      <c r="I269" s="218" t="n"/>
      <c r="J269" s="218" t="n"/>
      <c r="M269" s="218" t="n"/>
      <c r="S269" s="346" t="n"/>
    </row>
    <row r="270">
      <c r="C270" s="346" t="n"/>
      <c r="D270" s="218" t="n"/>
      <c r="H270" s="218" t="n"/>
      <c r="I270" s="218" t="n"/>
      <c r="J270" s="218" t="n"/>
      <c r="M270" s="218" t="n"/>
      <c r="S270" s="346" t="n"/>
    </row>
    <row r="271">
      <c r="C271" s="346" t="n"/>
      <c r="D271" s="218" t="n"/>
      <c r="H271" s="218" t="n"/>
      <c r="I271" s="218" t="n"/>
      <c r="J271" s="218" t="n"/>
      <c r="M271" s="218" t="n"/>
      <c r="S271" s="346" t="n"/>
    </row>
    <row r="272">
      <c r="C272" s="346" t="n"/>
      <c r="D272" s="218" t="n"/>
      <c r="H272" s="218" t="n"/>
      <c r="I272" s="218" t="n"/>
      <c r="J272" s="218" t="n"/>
      <c r="M272" s="218" t="n"/>
      <c r="S272" s="346" t="n"/>
    </row>
    <row r="273">
      <c r="C273" s="346" t="n"/>
      <c r="D273" s="218" t="n"/>
      <c r="H273" s="218" t="n"/>
      <c r="I273" s="218" t="n"/>
      <c r="J273" s="218" t="n"/>
      <c r="M273" s="218" t="n"/>
      <c r="S273" s="346" t="n"/>
    </row>
    <row r="274">
      <c r="C274" s="346" t="n"/>
      <c r="D274" s="218" t="n"/>
      <c r="H274" s="218" t="n"/>
      <c r="I274" s="218" t="n"/>
      <c r="J274" s="218" t="n"/>
      <c r="M274" s="218" t="n"/>
      <c r="S274" s="346" t="n"/>
    </row>
    <row r="275">
      <c r="C275" s="346" t="n"/>
      <c r="D275" s="218" t="n"/>
      <c r="H275" s="218" t="n"/>
      <c r="I275" s="218" t="n"/>
      <c r="J275" s="218" t="n"/>
      <c r="M275" s="218" t="n"/>
      <c r="S275" s="346" t="n"/>
    </row>
    <row r="276">
      <c r="C276" s="346" t="n"/>
      <c r="D276" s="218" t="n"/>
      <c r="H276" s="218" t="n"/>
      <c r="I276" s="218" t="n"/>
      <c r="J276" s="218" t="n"/>
      <c r="M276" s="218" t="n"/>
      <c r="S276" s="346" t="n"/>
    </row>
    <row r="277">
      <c r="C277" s="346" t="n"/>
      <c r="D277" s="218" t="n"/>
      <c r="H277" s="218" t="n"/>
      <c r="I277" s="218" t="n"/>
      <c r="J277" s="218" t="n"/>
      <c r="M277" s="218" t="n"/>
      <c r="S277" s="346" t="n"/>
    </row>
    <row r="278">
      <c r="C278" s="346" t="n"/>
      <c r="D278" s="218" t="n"/>
      <c r="H278" s="218" t="n"/>
      <c r="I278" s="218" t="n"/>
      <c r="J278" s="218" t="n"/>
      <c r="M278" s="218" t="n"/>
      <c r="S278" s="346" t="n"/>
    </row>
    <row r="279">
      <c r="C279" s="346" t="n"/>
      <c r="D279" s="218" t="n"/>
      <c r="H279" s="218" t="n"/>
      <c r="I279" s="218" t="n"/>
      <c r="J279" s="218" t="n"/>
      <c r="M279" s="218" t="n"/>
      <c r="S279" s="346" t="n"/>
    </row>
    <row r="280">
      <c r="C280" s="346" t="n"/>
      <c r="D280" s="218" t="n"/>
      <c r="H280" s="218" t="n"/>
      <c r="I280" s="218" t="n"/>
      <c r="J280" s="218" t="n"/>
      <c r="M280" s="218" t="n"/>
      <c r="S280" s="346" t="n"/>
    </row>
    <row r="281">
      <c r="C281" s="346" t="n"/>
      <c r="D281" s="218" t="n"/>
      <c r="H281" s="218" t="n"/>
      <c r="I281" s="218" t="n"/>
      <c r="J281" s="218" t="n"/>
      <c r="M281" s="218" t="n"/>
      <c r="S281" s="346" t="n"/>
    </row>
    <row r="282">
      <c r="C282" s="346" t="n"/>
      <c r="D282" s="218" t="n"/>
      <c r="H282" s="218" t="n"/>
      <c r="I282" s="218" t="n"/>
      <c r="J282" s="218" t="n"/>
      <c r="M282" s="218" t="n"/>
      <c r="S282" s="346" t="n"/>
    </row>
    <row r="283">
      <c r="C283" s="346" t="n"/>
      <c r="D283" s="218" t="n"/>
      <c r="H283" s="218" t="n"/>
      <c r="I283" s="218" t="n"/>
      <c r="J283" s="218" t="n"/>
      <c r="M283" s="218" t="n"/>
      <c r="S283" s="346" t="n"/>
    </row>
    <row r="284">
      <c r="C284" s="346" t="n"/>
      <c r="D284" s="218" t="n"/>
      <c r="H284" s="218" t="n"/>
      <c r="I284" s="218" t="n"/>
      <c r="J284" s="218" t="n"/>
      <c r="M284" s="218" t="n"/>
      <c r="S284" s="346" t="n"/>
    </row>
    <row r="285">
      <c r="C285" s="346" t="n"/>
      <c r="D285" s="218" t="n"/>
      <c r="H285" s="218" t="n"/>
      <c r="I285" s="218" t="n"/>
      <c r="J285" s="218" t="n"/>
      <c r="M285" s="218" t="n"/>
      <c r="S285" s="346" t="n"/>
    </row>
    <row r="286">
      <c r="C286" s="346" t="n"/>
      <c r="D286" s="218" t="n"/>
      <c r="H286" s="218" t="n"/>
      <c r="I286" s="218" t="n"/>
      <c r="J286" s="218" t="n"/>
      <c r="M286" s="218" t="n"/>
      <c r="S286" s="346" t="n"/>
    </row>
    <row r="287">
      <c r="C287" s="346" t="n"/>
      <c r="D287" s="218" t="n"/>
      <c r="H287" s="218" t="n"/>
      <c r="I287" s="218" t="n"/>
      <c r="J287" s="218" t="n"/>
      <c r="M287" s="218" t="n"/>
      <c r="S287" s="346" t="n"/>
    </row>
    <row r="288">
      <c r="C288" s="346" t="n"/>
      <c r="D288" s="218" t="n"/>
      <c r="H288" s="218" t="n"/>
      <c r="I288" s="218" t="n"/>
      <c r="J288" s="218" t="n"/>
      <c r="M288" s="218" t="n"/>
      <c r="S288" s="346" t="n"/>
    </row>
    <row r="289">
      <c r="C289" s="346" t="n"/>
      <c r="D289" s="218" t="n"/>
      <c r="H289" s="218" t="n"/>
      <c r="I289" s="218" t="n"/>
      <c r="J289" s="218" t="n"/>
      <c r="M289" s="218" t="n"/>
      <c r="S289" s="346" t="n"/>
    </row>
    <row r="290">
      <c r="C290" s="346" t="n"/>
      <c r="D290" s="218" t="n"/>
      <c r="H290" s="218" t="n"/>
      <c r="I290" s="218" t="n"/>
      <c r="J290" s="218" t="n"/>
      <c r="M290" s="218" t="n"/>
      <c r="S290" s="346" t="n"/>
    </row>
    <row r="291">
      <c r="C291" s="346" t="n"/>
      <c r="D291" s="218" t="n"/>
      <c r="H291" s="218" t="n"/>
      <c r="I291" s="218" t="n"/>
      <c r="J291" s="218" t="n"/>
      <c r="M291" s="218" t="n"/>
      <c r="S291" s="346" t="n"/>
    </row>
    <row r="292">
      <c r="C292" s="346" t="n"/>
      <c r="D292" s="218" t="n"/>
      <c r="H292" s="218" t="n"/>
      <c r="I292" s="218" t="n"/>
      <c r="J292" s="218" t="n"/>
      <c r="M292" s="218" t="n"/>
      <c r="S292" s="346" t="n"/>
    </row>
    <row r="293">
      <c r="C293" s="346" t="n"/>
      <c r="D293" s="218" t="n"/>
      <c r="H293" s="218" t="n"/>
      <c r="I293" s="218" t="n"/>
      <c r="J293" s="218" t="n"/>
      <c r="M293" s="218" t="n"/>
      <c r="S293" s="346" t="n"/>
    </row>
    <row r="294">
      <c r="C294" s="346" t="n"/>
      <c r="D294" s="218" t="n"/>
      <c r="H294" s="218" t="n"/>
      <c r="I294" s="218" t="n"/>
      <c r="J294" s="218" t="n"/>
      <c r="M294" s="218" t="n"/>
      <c r="S294" s="346" t="n"/>
    </row>
    <row r="295">
      <c r="C295" s="346" t="n"/>
      <c r="D295" s="218" t="n"/>
      <c r="H295" s="218" t="n"/>
      <c r="I295" s="218" t="n"/>
      <c r="J295" s="218" t="n"/>
      <c r="M295" s="218" t="n"/>
      <c r="S295" s="346" t="n"/>
    </row>
    <row r="296">
      <c r="C296" s="346" t="n"/>
      <c r="D296" s="218" t="n"/>
      <c r="H296" s="218" t="n"/>
      <c r="I296" s="218" t="n"/>
      <c r="J296" s="218" t="n"/>
      <c r="M296" s="218" t="n"/>
      <c r="S296" s="346" t="n"/>
    </row>
    <row r="297">
      <c r="C297" s="346" t="n"/>
      <c r="D297" s="218" t="n"/>
      <c r="H297" s="218" t="n"/>
      <c r="I297" s="218" t="n"/>
      <c r="J297" s="218" t="n"/>
      <c r="M297" s="218" t="n"/>
      <c r="S297" s="346" t="n"/>
    </row>
    <row r="298">
      <c r="C298" s="346" t="n"/>
      <c r="D298" s="218" t="n"/>
      <c r="H298" s="218" t="n"/>
      <c r="I298" s="218" t="n"/>
      <c r="J298" s="218" t="n"/>
      <c r="M298" s="218" t="n"/>
      <c r="S298" s="346" t="n"/>
    </row>
    <row r="299">
      <c r="C299" s="346" t="n"/>
      <c r="D299" s="218" t="n"/>
      <c r="H299" s="218" t="n"/>
      <c r="I299" s="218" t="n"/>
      <c r="J299" s="218" t="n"/>
      <c r="M299" s="218" t="n"/>
      <c r="S299" s="346" t="n"/>
    </row>
    <row r="300">
      <c r="C300" s="346" t="n"/>
      <c r="D300" s="218" t="n"/>
      <c r="H300" s="218" t="n"/>
      <c r="I300" s="218" t="n"/>
      <c r="J300" s="218" t="n"/>
      <c r="M300" s="218" t="n"/>
      <c r="S300" s="346" t="n"/>
    </row>
    <row r="301">
      <c r="C301" s="346" t="n"/>
      <c r="D301" s="218" t="n"/>
      <c r="H301" s="218" t="n"/>
      <c r="I301" s="218" t="n"/>
      <c r="J301" s="218" t="n"/>
      <c r="M301" s="218" t="n"/>
      <c r="S301" s="346" t="n"/>
    </row>
    <row r="302">
      <c r="C302" s="346" t="n"/>
      <c r="D302" s="218" t="n"/>
      <c r="H302" s="218" t="n"/>
      <c r="I302" s="218" t="n"/>
      <c r="J302" s="218" t="n"/>
      <c r="M302" s="218" t="n"/>
      <c r="S302" s="346" t="n"/>
    </row>
    <row r="303">
      <c r="C303" s="346" t="n"/>
      <c r="D303" s="218" t="n"/>
      <c r="H303" s="218" t="n"/>
      <c r="I303" s="218" t="n"/>
      <c r="J303" s="218" t="n"/>
      <c r="M303" s="218" t="n"/>
      <c r="S303" s="346" t="n"/>
    </row>
    <row r="304">
      <c r="C304" s="346" t="n"/>
      <c r="D304" s="218" t="n"/>
      <c r="H304" s="218" t="n"/>
      <c r="I304" s="218" t="n"/>
      <c r="J304" s="218" t="n"/>
      <c r="M304" s="218" t="n"/>
      <c r="S304" s="346" t="n"/>
    </row>
    <row r="305">
      <c r="C305" s="346" t="n"/>
      <c r="D305" s="218" t="n"/>
      <c r="H305" s="218" t="n"/>
      <c r="I305" s="218" t="n"/>
      <c r="J305" s="218" t="n"/>
      <c r="M305" s="218" t="n"/>
      <c r="S305" s="346" t="n"/>
    </row>
    <row r="306">
      <c r="C306" s="346" t="n"/>
      <c r="D306" s="218" t="n"/>
      <c r="H306" s="218" t="n"/>
      <c r="I306" s="218" t="n"/>
      <c r="J306" s="218" t="n"/>
      <c r="M306" s="218" t="n"/>
      <c r="S306" s="346" t="n"/>
    </row>
    <row r="307">
      <c r="C307" s="346" t="n"/>
      <c r="D307" s="218" t="n"/>
      <c r="H307" s="218" t="n"/>
      <c r="I307" s="218" t="n"/>
      <c r="J307" s="218" t="n"/>
      <c r="M307" s="218" t="n"/>
      <c r="S307" s="346" t="n"/>
    </row>
    <row r="308">
      <c r="C308" s="346" t="n"/>
      <c r="D308" s="218" t="n"/>
      <c r="H308" s="218" t="n"/>
      <c r="I308" s="218" t="n"/>
      <c r="J308" s="218" t="n"/>
      <c r="M308" s="218" t="n"/>
      <c r="S308" s="346" t="n"/>
    </row>
    <row r="309">
      <c r="C309" s="346" t="n"/>
      <c r="D309" s="218" t="n"/>
      <c r="H309" s="218" t="n"/>
      <c r="I309" s="218" t="n"/>
      <c r="J309" s="218" t="n"/>
      <c r="M309" s="218" t="n"/>
      <c r="S309" s="346" t="n"/>
    </row>
    <row r="310">
      <c r="C310" s="346" t="n"/>
      <c r="D310" s="218" t="n"/>
      <c r="H310" s="218" t="n"/>
      <c r="I310" s="218" t="n"/>
      <c r="J310" s="218" t="n"/>
      <c r="M310" s="218" t="n"/>
      <c r="S310" s="346" t="n"/>
    </row>
    <row r="311">
      <c r="C311" s="346" t="n"/>
      <c r="D311" s="218" t="n"/>
      <c r="H311" s="218" t="n"/>
      <c r="I311" s="218" t="n"/>
      <c r="J311" s="218" t="n"/>
      <c r="M311" s="218" t="n"/>
      <c r="S311" s="346" t="n"/>
    </row>
    <row r="312">
      <c r="C312" s="346" t="n"/>
      <c r="D312" s="218" t="n"/>
      <c r="H312" s="218" t="n"/>
      <c r="I312" s="218" t="n"/>
      <c r="J312" s="218" t="n"/>
      <c r="M312" s="218" t="n"/>
      <c r="S312" s="346" t="n"/>
    </row>
    <row r="313">
      <c r="C313" s="346" t="n"/>
      <c r="D313" s="218" t="n"/>
      <c r="H313" s="218" t="n"/>
      <c r="I313" s="218" t="n"/>
      <c r="J313" s="218" t="n"/>
      <c r="M313" s="218" t="n"/>
      <c r="S313" s="346" t="n"/>
    </row>
    <row r="314">
      <c r="C314" s="346" t="n"/>
      <c r="D314" s="218" t="n"/>
      <c r="H314" s="218" t="n"/>
      <c r="I314" s="218" t="n"/>
      <c r="J314" s="218" t="n"/>
      <c r="M314" s="218" t="n"/>
      <c r="S314" s="346" t="n"/>
    </row>
    <row r="315">
      <c r="C315" s="346" t="n"/>
      <c r="D315" s="218" t="n"/>
      <c r="H315" s="218" t="n"/>
      <c r="I315" s="218" t="n"/>
      <c r="J315" s="218" t="n"/>
      <c r="M315" s="218" t="n"/>
      <c r="S315" s="346" t="n"/>
    </row>
    <row r="316">
      <c r="C316" s="346" t="n"/>
      <c r="D316" s="218" t="n"/>
      <c r="H316" s="218" t="n"/>
      <c r="I316" s="218" t="n"/>
      <c r="J316" s="218" t="n"/>
      <c r="M316" s="218" t="n"/>
      <c r="S316" s="346" t="n"/>
    </row>
    <row r="317">
      <c r="C317" s="346" t="n"/>
      <c r="D317" s="218" t="n"/>
      <c r="H317" s="218" t="n"/>
      <c r="I317" s="218" t="n"/>
      <c r="J317" s="218" t="n"/>
      <c r="M317" s="218" t="n"/>
      <c r="S317" s="346" t="n"/>
    </row>
    <row r="318">
      <c r="C318" s="346" t="n"/>
      <c r="D318" s="218" t="n"/>
      <c r="H318" s="218" t="n"/>
      <c r="I318" s="218" t="n"/>
      <c r="J318" s="218" t="n"/>
      <c r="M318" s="218" t="n"/>
      <c r="S318" s="346" t="n"/>
    </row>
    <row r="319">
      <c r="C319" s="346" t="n"/>
      <c r="D319" s="218" t="n"/>
      <c r="H319" s="218" t="n"/>
      <c r="I319" s="218" t="n"/>
      <c r="J319" s="218" t="n"/>
      <c r="M319" s="218" t="n"/>
      <c r="S319" s="346" t="n"/>
    </row>
    <row r="320">
      <c r="C320" s="346" t="n"/>
      <c r="D320" s="218" t="n"/>
      <c r="H320" s="218" t="n"/>
      <c r="I320" s="218" t="n"/>
      <c r="J320" s="218" t="n"/>
      <c r="M320" s="218" t="n"/>
      <c r="S320" s="346" t="n"/>
    </row>
    <row r="321">
      <c r="C321" s="346" t="n"/>
      <c r="D321" s="218" t="n"/>
      <c r="H321" s="218" t="n"/>
      <c r="I321" s="218" t="n"/>
      <c r="J321" s="218" t="n"/>
      <c r="M321" s="218" t="n"/>
      <c r="S321" s="346" t="n"/>
    </row>
    <row r="322">
      <c r="C322" s="346" t="n"/>
      <c r="D322" s="218" t="n"/>
      <c r="H322" s="218" t="n"/>
      <c r="I322" s="218" t="n"/>
      <c r="J322" s="218" t="n"/>
      <c r="M322" s="218" t="n"/>
      <c r="S322" s="346" t="n"/>
    </row>
    <row r="323">
      <c r="C323" s="346" t="n"/>
      <c r="D323" s="218" t="n"/>
      <c r="H323" s="218" t="n"/>
      <c r="I323" s="218" t="n"/>
      <c r="J323" s="218" t="n"/>
      <c r="M323" s="218" t="n"/>
      <c r="S323" s="346" t="n"/>
    </row>
    <row r="324">
      <c r="C324" s="346" t="n"/>
      <c r="D324" s="218" t="n"/>
      <c r="H324" s="218" t="n"/>
      <c r="I324" s="218" t="n"/>
      <c r="J324" s="218" t="n"/>
      <c r="M324" s="218" t="n"/>
      <c r="S324" s="346" t="n"/>
    </row>
    <row r="325">
      <c r="C325" s="346" t="n"/>
      <c r="D325" s="218" t="n"/>
      <c r="H325" s="218" t="n"/>
      <c r="I325" s="218" t="n"/>
      <c r="J325" s="218" t="n"/>
      <c r="M325" s="218" t="n"/>
      <c r="S325" s="346" t="n"/>
    </row>
    <row r="326">
      <c r="C326" s="346" t="n"/>
      <c r="D326" s="218" t="n"/>
      <c r="H326" s="218" t="n"/>
      <c r="I326" s="218" t="n"/>
      <c r="J326" s="218" t="n"/>
      <c r="M326" s="218" t="n"/>
      <c r="S326" s="346" t="n"/>
    </row>
    <row r="327">
      <c r="C327" s="346" t="n"/>
      <c r="D327" s="218" t="n"/>
      <c r="H327" s="218" t="n"/>
      <c r="I327" s="218" t="n"/>
      <c r="J327" s="218" t="n"/>
      <c r="M327" s="218" t="n"/>
      <c r="S327" s="346" t="n"/>
    </row>
    <row r="328">
      <c r="C328" s="346" t="n"/>
      <c r="D328" s="218" t="n"/>
      <c r="H328" s="218" t="n"/>
      <c r="I328" s="218" t="n"/>
      <c r="J328" s="218" t="n"/>
      <c r="M328" s="218" t="n"/>
      <c r="S328" s="346" t="n"/>
    </row>
    <row r="329">
      <c r="C329" s="346" t="n"/>
      <c r="D329" s="218" t="n"/>
      <c r="H329" s="218" t="n"/>
      <c r="I329" s="218" t="n"/>
      <c r="J329" s="218" t="n"/>
      <c r="M329" s="218" t="n"/>
      <c r="S329" s="346" t="n"/>
    </row>
    <row r="330">
      <c r="C330" s="346" t="n"/>
      <c r="D330" s="218" t="n"/>
      <c r="H330" s="218" t="n"/>
      <c r="I330" s="218" t="n"/>
      <c r="J330" s="218" t="n"/>
      <c r="M330" s="218" t="n"/>
      <c r="S330" s="346" t="n"/>
    </row>
    <row r="331">
      <c r="C331" s="346" t="n"/>
      <c r="D331" s="218" t="n"/>
      <c r="H331" s="218" t="n"/>
      <c r="I331" s="218" t="n"/>
      <c r="J331" s="218" t="n"/>
      <c r="M331" s="218" t="n"/>
      <c r="S331" s="346" t="n"/>
    </row>
    <row r="332">
      <c r="C332" s="346" t="n"/>
      <c r="D332" s="218" t="n"/>
      <c r="H332" s="218" t="n"/>
      <c r="I332" s="218" t="n"/>
      <c r="J332" s="218" t="n"/>
      <c r="M332" s="218" t="n"/>
      <c r="S332" s="346" t="n"/>
    </row>
    <row r="333">
      <c r="C333" s="346" t="n"/>
      <c r="D333" s="218" t="n"/>
      <c r="H333" s="218" t="n"/>
      <c r="I333" s="218" t="n"/>
      <c r="J333" s="218" t="n"/>
      <c r="M333" s="218" t="n"/>
      <c r="S333" s="346" t="n"/>
    </row>
    <row r="334">
      <c r="C334" s="346" t="n"/>
      <c r="D334" s="218" t="n"/>
      <c r="H334" s="218" t="n"/>
      <c r="I334" s="218" t="n"/>
      <c r="J334" s="218" t="n"/>
      <c r="M334" s="218" t="n"/>
      <c r="S334" s="346" t="n"/>
    </row>
    <row r="335">
      <c r="C335" s="346" t="n"/>
      <c r="D335" s="218" t="n"/>
      <c r="H335" s="218" t="n"/>
      <c r="I335" s="218" t="n"/>
      <c r="J335" s="218" t="n"/>
      <c r="M335" s="218" t="n"/>
      <c r="S335" s="346" t="n"/>
    </row>
    <row r="336">
      <c r="C336" s="346" t="n"/>
      <c r="D336" s="218" t="n"/>
      <c r="H336" s="218" t="n"/>
      <c r="I336" s="218" t="n"/>
      <c r="J336" s="218" t="n"/>
      <c r="M336" s="218" t="n"/>
      <c r="S336" s="346" t="n"/>
    </row>
    <row r="337">
      <c r="C337" s="346" t="n"/>
      <c r="D337" s="218" t="n"/>
      <c r="H337" s="218" t="n"/>
      <c r="I337" s="218" t="n"/>
      <c r="J337" s="218" t="n"/>
      <c r="M337" s="218" t="n"/>
      <c r="S337" s="346" t="n"/>
    </row>
    <row r="338">
      <c r="C338" s="346" t="n"/>
      <c r="D338" s="218" t="n"/>
      <c r="H338" s="218" t="n"/>
      <c r="I338" s="218" t="n"/>
      <c r="J338" s="218" t="n"/>
      <c r="M338" s="218" t="n"/>
      <c r="S338" s="346" t="n"/>
    </row>
    <row r="339">
      <c r="C339" s="346" t="n"/>
      <c r="D339" s="218" t="n"/>
      <c r="H339" s="218" t="n"/>
      <c r="I339" s="218" t="n"/>
      <c r="J339" s="218" t="n"/>
      <c r="M339" s="218" t="n"/>
      <c r="S339" s="346" t="n"/>
    </row>
    <row r="340">
      <c r="C340" s="346" t="n"/>
      <c r="D340" s="218" t="n"/>
      <c r="H340" s="218" t="n"/>
      <c r="I340" s="218" t="n"/>
      <c r="J340" s="218" t="n"/>
      <c r="M340" s="218" t="n"/>
      <c r="S340" s="346" t="n"/>
    </row>
    <row r="341">
      <c r="C341" s="346" t="n"/>
      <c r="D341" s="218" t="n"/>
      <c r="H341" s="218" t="n"/>
      <c r="I341" s="218" t="n"/>
      <c r="J341" s="218" t="n"/>
      <c r="M341" s="218" t="n"/>
      <c r="S341" s="346" t="n"/>
    </row>
    <row r="342">
      <c r="C342" s="346" t="n"/>
      <c r="D342" s="218" t="n"/>
      <c r="H342" s="218" t="n"/>
      <c r="I342" s="218" t="n"/>
      <c r="J342" s="218" t="n"/>
      <c r="M342" s="218" t="n"/>
      <c r="S342" s="346" t="n"/>
    </row>
    <row r="343">
      <c r="C343" s="346" t="n"/>
      <c r="D343" s="218" t="n"/>
      <c r="H343" s="218" t="n"/>
      <c r="I343" s="218" t="n"/>
      <c r="J343" s="218" t="n"/>
      <c r="M343" s="218" t="n"/>
      <c r="S343" s="346" t="n"/>
    </row>
    <row r="344">
      <c r="C344" s="346" t="n"/>
      <c r="D344" s="218" t="n"/>
      <c r="H344" s="218" t="n"/>
      <c r="I344" s="218" t="n"/>
      <c r="J344" s="218" t="n"/>
      <c r="M344" s="218" t="n"/>
      <c r="S344" s="346" t="n"/>
    </row>
    <row r="345">
      <c r="C345" s="346" t="n"/>
      <c r="D345" s="218" t="n"/>
      <c r="H345" s="218" t="n"/>
      <c r="I345" s="218" t="n"/>
      <c r="J345" s="218" t="n"/>
      <c r="M345" s="218" t="n"/>
      <c r="S345" s="346" t="n"/>
    </row>
    <row r="346">
      <c r="C346" s="346" t="n"/>
      <c r="D346" s="218" t="n"/>
      <c r="H346" s="218" t="n"/>
      <c r="I346" s="218" t="n"/>
      <c r="J346" s="218" t="n"/>
      <c r="M346" s="218" t="n"/>
      <c r="S346" s="346" t="n"/>
    </row>
    <row r="347">
      <c r="C347" s="346" t="n"/>
      <c r="D347" s="218" t="n"/>
      <c r="H347" s="218" t="n"/>
      <c r="I347" s="218" t="n"/>
      <c r="J347" s="218" t="n"/>
      <c r="M347" s="218" t="n"/>
      <c r="S347" s="346" t="n"/>
    </row>
    <row r="348">
      <c r="C348" s="346" t="n"/>
      <c r="D348" s="218" t="n"/>
      <c r="H348" s="218" t="n"/>
      <c r="I348" s="218" t="n"/>
      <c r="J348" s="218" t="n"/>
      <c r="M348" s="218" t="n"/>
      <c r="S348" s="346" t="n"/>
    </row>
    <row r="349">
      <c r="C349" s="346" t="n"/>
      <c r="D349" s="218" t="n"/>
      <c r="H349" s="218" t="n"/>
      <c r="I349" s="218" t="n"/>
      <c r="J349" s="218" t="n"/>
      <c r="M349" s="218" t="n"/>
      <c r="S349" s="346" t="n"/>
    </row>
    <row r="350">
      <c r="C350" s="346" t="n"/>
      <c r="D350" s="218" t="n"/>
      <c r="H350" s="218" t="n"/>
      <c r="I350" s="218" t="n"/>
      <c r="J350" s="218" t="n"/>
      <c r="M350" s="218" t="n"/>
      <c r="S350" s="346" t="n"/>
    </row>
    <row r="351">
      <c r="C351" s="346" t="n"/>
      <c r="D351" s="218" t="n"/>
      <c r="H351" s="218" t="n"/>
      <c r="I351" s="218" t="n"/>
      <c r="J351" s="218" t="n"/>
      <c r="M351" s="218" t="n"/>
      <c r="S351" s="346" t="n"/>
    </row>
    <row r="352">
      <c r="C352" s="346" t="n"/>
      <c r="D352" s="218" t="n"/>
      <c r="H352" s="218" t="n"/>
      <c r="I352" s="218" t="n"/>
      <c r="J352" s="218" t="n"/>
      <c r="M352" s="218" t="n"/>
      <c r="S352" s="346" t="n"/>
    </row>
    <row r="353">
      <c r="C353" s="346" t="n"/>
      <c r="D353" s="218" t="n"/>
      <c r="H353" s="218" t="n"/>
      <c r="I353" s="218" t="n"/>
      <c r="J353" s="218" t="n"/>
      <c r="M353" s="218" t="n"/>
      <c r="S353" s="346" t="n"/>
    </row>
    <row r="354">
      <c r="C354" s="346" t="n"/>
      <c r="D354" s="218" t="n"/>
      <c r="H354" s="218" t="n"/>
      <c r="I354" s="218" t="n"/>
      <c r="J354" s="218" t="n"/>
      <c r="M354" s="218" t="n"/>
      <c r="S354" s="346" t="n"/>
    </row>
    <row r="355">
      <c r="C355" s="346" t="n"/>
      <c r="D355" s="218" t="n"/>
      <c r="H355" s="218" t="n"/>
      <c r="I355" s="218" t="n"/>
      <c r="J355" s="218" t="n"/>
      <c r="M355" s="218" t="n"/>
      <c r="S355" s="346" t="n"/>
    </row>
    <row r="356">
      <c r="C356" s="346" t="n"/>
      <c r="D356" s="218" t="n"/>
      <c r="H356" s="218" t="n"/>
      <c r="I356" s="218" t="n"/>
      <c r="J356" s="218" t="n"/>
      <c r="M356" s="218" t="n"/>
      <c r="S356" s="346" t="n"/>
    </row>
    <row r="357">
      <c r="C357" s="346" t="n"/>
      <c r="D357" s="218" t="n"/>
      <c r="H357" s="218" t="n"/>
      <c r="I357" s="218" t="n"/>
      <c r="J357" s="218" t="n"/>
      <c r="M357" s="218" t="n"/>
      <c r="S357" s="346" t="n"/>
    </row>
    <row r="358">
      <c r="C358" s="346" t="n"/>
      <c r="D358" s="218" t="n"/>
      <c r="H358" s="218" t="n"/>
      <c r="I358" s="218" t="n"/>
      <c r="J358" s="218" t="n"/>
      <c r="M358" s="218" t="n"/>
      <c r="S358" s="346" t="n"/>
    </row>
    <row r="359">
      <c r="C359" s="346" t="n"/>
      <c r="D359" s="218" t="n"/>
      <c r="H359" s="218" t="n"/>
      <c r="I359" s="218" t="n"/>
      <c r="J359" s="218" t="n"/>
      <c r="M359" s="218" t="n"/>
      <c r="S359" s="346" t="n"/>
    </row>
    <row r="360">
      <c r="C360" s="346" t="n"/>
      <c r="D360" s="218" t="n"/>
      <c r="H360" s="218" t="n"/>
      <c r="I360" s="218" t="n"/>
      <c r="J360" s="218" t="n"/>
      <c r="M360" s="218" t="n"/>
      <c r="S360" s="346" t="n"/>
    </row>
    <row r="361">
      <c r="C361" s="346" t="n"/>
      <c r="D361" s="218" t="n"/>
      <c r="H361" s="218" t="n"/>
      <c r="I361" s="218" t="n"/>
      <c r="J361" s="218" t="n"/>
      <c r="M361" s="218" t="n"/>
      <c r="S361" s="346" t="n"/>
    </row>
    <row r="362">
      <c r="C362" s="346" t="n"/>
      <c r="D362" s="218" t="n"/>
      <c r="H362" s="218" t="n"/>
      <c r="I362" s="218" t="n"/>
      <c r="J362" s="218" t="n"/>
      <c r="M362" s="218" t="n"/>
      <c r="S362" s="346" t="n"/>
    </row>
    <row r="363">
      <c r="C363" s="346" t="n"/>
      <c r="D363" s="218" t="n"/>
      <c r="H363" s="218" t="n"/>
      <c r="I363" s="218" t="n"/>
      <c r="J363" s="218" t="n"/>
      <c r="M363" s="218" t="n"/>
      <c r="S363" s="346" t="n"/>
    </row>
    <row r="364">
      <c r="C364" s="346" t="n"/>
      <c r="D364" s="218" t="n"/>
      <c r="H364" s="218" t="n"/>
      <c r="I364" s="218" t="n"/>
      <c r="J364" s="218" t="n"/>
      <c r="M364" s="218" t="n"/>
      <c r="S364" s="346" t="n"/>
    </row>
    <row r="365">
      <c r="C365" s="346" t="n"/>
      <c r="D365" s="218" t="n"/>
      <c r="H365" s="218" t="n"/>
      <c r="I365" s="218" t="n"/>
      <c r="J365" s="218" t="n"/>
      <c r="M365" s="218" t="n"/>
      <c r="S365" s="346" t="n"/>
    </row>
    <row r="366">
      <c r="C366" s="346" t="n"/>
      <c r="D366" s="218" t="n"/>
      <c r="H366" s="218" t="n"/>
      <c r="I366" s="218" t="n"/>
      <c r="J366" s="218" t="n"/>
      <c r="M366" s="218" t="n"/>
      <c r="S366" s="346" t="n"/>
    </row>
    <row r="367">
      <c r="C367" s="346" t="n"/>
      <c r="D367" s="218" t="n"/>
      <c r="H367" s="218" t="n"/>
      <c r="I367" s="218" t="n"/>
      <c r="J367" s="218" t="n"/>
      <c r="M367" s="218" t="n"/>
      <c r="S367" s="346" t="n"/>
    </row>
    <row r="368">
      <c r="C368" s="346" t="n"/>
      <c r="D368" s="218" t="n"/>
      <c r="H368" s="218" t="n"/>
      <c r="I368" s="218" t="n"/>
      <c r="J368" s="218" t="n"/>
      <c r="M368" s="218" t="n"/>
      <c r="S368" s="346" t="n"/>
    </row>
    <row r="369">
      <c r="C369" s="346" t="n"/>
      <c r="D369" s="218" t="n"/>
      <c r="H369" s="218" t="n"/>
      <c r="I369" s="218" t="n"/>
      <c r="J369" s="218" t="n"/>
      <c r="M369" s="218" t="n"/>
      <c r="S369" s="346" t="n"/>
    </row>
    <row r="370">
      <c r="C370" s="346" t="n"/>
      <c r="D370" s="218" t="n"/>
      <c r="H370" s="218" t="n"/>
      <c r="I370" s="218" t="n"/>
      <c r="J370" s="218" t="n"/>
      <c r="M370" s="218" t="n"/>
      <c r="S370" s="346" t="n"/>
    </row>
    <row r="371">
      <c r="C371" s="346" t="n"/>
      <c r="D371" s="218" t="n"/>
      <c r="H371" s="218" t="n"/>
      <c r="I371" s="218" t="n"/>
      <c r="J371" s="218" t="n"/>
      <c r="M371" s="218" t="n"/>
      <c r="S371" s="346" t="n"/>
    </row>
    <row r="372">
      <c r="C372" s="346" t="n"/>
      <c r="D372" s="218" t="n"/>
      <c r="H372" s="218" t="n"/>
      <c r="I372" s="218" t="n"/>
      <c r="J372" s="218" t="n"/>
      <c r="M372" s="218" t="n"/>
      <c r="S372" s="346" t="n"/>
    </row>
    <row r="373">
      <c r="C373" s="346" t="n"/>
      <c r="D373" s="218" t="n"/>
      <c r="H373" s="218" t="n"/>
      <c r="I373" s="218" t="n"/>
      <c r="J373" s="218" t="n"/>
      <c r="M373" s="218" t="n"/>
      <c r="S373" s="346" t="n"/>
    </row>
    <row r="374">
      <c r="C374" s="346" t="n"/>
      <c r="D374" s="218" t="n"/>
      <c r="H374" s="218" t="n"/>
      <c r="I374" s="218" t="n"/>
      <c r="J374" s="218" t="n"/>
      <c r="M374" s="218" t="n"/>
      <c r="S374" s="346" t="n"/>
    </row>
    <row r="375">
      <c r="C375" s="346" t="n"/>
      <c r="D375" s="218" t="n"/>
      <c r="H375" s="218" t="n"/>
      <c r="I375" s="218" t="n"/>
      <c r="J375" s="218" t="n"/>
      <c r="M375" s="218" t="n"/>
      <c r="S375" s="346" t="n"/>
    </row>
    <row r="376">
      <c r="C376" s="346" t="n"/>
      <c r="D376" s="218" t="n"/>
      <c r="H376" s="218" t="n"/>
      <c r="I376" s="218" t="n"/>
      <c r="J376" s="218" t="n"/>
      <c r="M376" s="218" t="n"/>
      <c r="S376" s="346" t="n"/>
    </row>
    <row r="377">
      <c r="C377" s="346" t="n"/>
      <c r="D377" s="218" t="n"/>
      <c r="H377" s="218" t="n"/>
      <c r="I377" s="218" t="n"/>
      <c r="J377" s="218" t="n"/>
      <c r="M377" s="218" t="n"/>
      <c r="S377" s="346" t="n"/>
    </row>
    <row r="378">
      <c r="C378" s="346" t="n"/>
      <c r="D378" s="218" t="n"/>
      <c r="H378" s="218" t="n"/>
      <c r="I378" s="218" t="n"/>
      <c r="J378" s="218" t="n"/>
      <c r="M378" s="218" t="n"/>
      <c r="S378" s="346" t="n"/>
    </row>
    <row r="379">
      <c r="C379" s="346" t="n"/>
      <c r="D379" s="218" t="n"/>
      <c r="H379" s="218" t="n"/>
      <c r="I379" s="218" t="n"/>
      <c r="J379" s="218" t="n"/>
      <c r="M379" s="218" t="n"/>
      <c r="S379" s="346" t="n"/>
    </row>
    <row r="380">
      <c r="C380" s="346" t="n"/>
      <c r="D380" s="218" t="n"/>
      <c r="H380" s="218" t="n"/>
      <c r="I380" s="218" t="n"/>
      <c r="J380" s="218" t="n"/>
      <c r="M380" s="218" t="n"/>
      <c r="S380" s="346" t="n"/>
    </row>
    <row r="381">
      <c r="C381" s="346" t="n"/>
      <c r="D381" s="218" t="n"/>
      <c r="H381" s="218" t="n"/>
      <c r="I381" s="218" t="n"/>
      <c r="J381" s="218" t="n"/>
      <c r="M381" s="218" t="n"/>
      <c r="S381" s="346" t="n"/>
    </row>
    <row r="382">
      <c r="C382" s="346" t="n"/>
      <c r="D382" s="218" t="n"/>
      <c r="H382" s="218" t="n"/>
      <c r="I382" s="218" t="n"/>
      <c r="J382" s="218" t="n"/>
      <c r="M382" s="218" t="n"/>
      <c r="S382" s="346" t="n"/>
    </row>
    <row r="383">
      <c r="C383" s="346" t="n"/>
      <c r="D383" s="218" t="n"/>
      <c r="H383" s="218" t="n"/>
      <c r="I383" s="218" t="n"/>
      <c r="J383" s="218" t="n"/>
      <c r="M383" s="218" t="n"/>
      <c r="S383" s="346" t="n"/>
    </row>
    <row r="384">
      <c r="C384" s="346" t="n"/>
      <c r="D384" s="218" t="n"/>
      <c r="H384" s="218" t="n"/>
      <c r="I384" s="218" t="n"/>
      <c r="J384" s="218" t="n"/>
      <c r="M384" s="218" t="n"/>
      <c r="S384" s="346" t="n"/>
    </row>
    <row r="385">
      <c r="C385" s="346" t="n"/>
      <c r="D385" s="218" t="n"/>
      <c r="H385" s="218" t="n"/>
      <c r="I385" s="218" t="n"/>
      <c r="J385" s="218" t="n"/>
      <c r="M385" s="218" t="n"/>
      <c r="S385" s="346" t="n"/>
    </row>
    <row r="386">
      <c r="C386" s="346" t="n"/>
      <c r="D386" s="218" t="n"/>
      <c r="H386" s="218" t="n"/>
      <c r="I386" s="218" t="n"/>
      <c r="J386" s="218" t="n"/>
      <c r="M386" s="218" t="n"/>
      <c r="S386" s="346" t="n"/>
    </row>
    <row r="387">
      <c r="C387" s="346" t="n"/>
      <c r="D387" s="218" t="n"/>
      <c r="H387" s="218" t="n"/>
      <c r="I387" s="218" t="n"/>
      <c r="J387" s="218" t="n"/>
      <c r="M387" s="218" t="n"/>
      <c r="S387" s="346" t="n"/>
    </row>
    <row r="388">
      <c r="C388" s="346" t="n"/>
      <c r="D388" s="218" t="n"/>
      <c r="H388" s="218" t="n"/>
      <c r="I388" s="218" t="n"/>
      <c r="J388" s="218" t="n"/>
      <c r="M388" s="218" t="n"/>
      <c r="S388" s="346" t="n"/>
    </row>
    <row r="389">
      <c r="C389" s="346" t="n"/>
      <c r="D389" s="218" t="n"/>
      <c r="H389" s="218" t="n"/>
      <c r="I389" s="218" t="n"/>
      <c r="J389" s="218" t="n"/>
      <c r="M389" s="218" t="n"/>
      <c r="S389" s="346" t="n"/>
    </row>
    <row r="390">
      <c r="C390" s="346" t="n"/>
      <c r="D390" s="218" t="n"/>
      <c r="H390" s="218" t="n"/>
      <c r="I390" s="218" t="n"/>
      <c r="J390" s="218" t="n"/>
      <c r="M390" s="218" t="n"/>
      <c r="S390" s="346" t="n"/>
    </row>
    <row r="391">
      <c r="C391" s="346" t="n"/>
      <c r="D391" s="218" t="n"/>
      <c r="H391" s="218" t="n"/>
      <c r="I391" s="218" t="n"/>
      <c r="J391" s="218" t="n"/>
      <c r="M391" s="218" t="n"/>
      <c r="S391" s="346" t="n"/>
    </row>
    <row r="392">
      <c r="C392" s="346" t="n"/>
      <c r="D392" s="218" t="n"/>
      <c r="H392" s="218" t="n"/>
      <c r="I392" s="218" t="n"/>
      <c r="J392" s="218" t="n"/>
      <c r="M392" s="218" t="n"/>
      <c r="S392" s="346" t="n"/>
    </row>
    <row r="393">
      <c r="C393" s="346" t="n"/>
      <c r="D393" s="218" t="n"/>
      <c r="H393" s="218" t="n"/>
      <c r="I393" s="218" t="n"/>
      <c r="J393" s="218" t="n"/>
      <c r="M393" s="218" t="n"/>
      <c r="S393" s="346" t="n"/>
    </row>
    <row r="394">
      <c r="C394" s="346" t="n"/>
      <c r="D394" s="218" t="n"/>
      <c r="H394" s="218" t="n"/>
      <c r="I394" s="218" t="n"/>
      <c r="J394" s="218" t="n"/>
      <c r="M394" s="218" t="n"/>
      <c r="S394" s="346" t="n"/>
    </row>
    <row r="395">
      <c r="C395" s="346" t="n"/>
      <c r="D395" s="218" t="n"/>
      <c r="H395" s="218" t="n"/>
      <c r="I395" s="218" t="n"/>
      <c r="J395" s="218" t="n"/>
      <c r="M395" s="218" t="n"/>
      <c r="S395" s="346" t="n"/>
    </row>
    <row r="396">
      <c r="C396" s="346" t="n"/>
      <c r="D396" s="218" t="n"/>
      <c r="H396" s="218" t="n"/>
      <c r="I396" s="218" t="n"/>
      <c r="J396" s="218" t="n"/>
      <c r="M396" s="218" t="n"/>
      <c r="S396" s="346" t="n"/>
    </row>
    <row r="397">
      <c r="C397" s="346" t="n"/>
      <c r="D397" s="218" t="n"/>
      <c r="H397" s="218" t="n"/>
      <c r="I397" s="218" t="n"/>
      <c r="J397" s="218" t="n"/>
      <c r="M397" s="218" t="n"/>
      <c r="S397" s="346" t="n"/>
    </row>
    <row r="398">
      <c r="C398" s="346" t="n"/>
      <c r="D398" s="218" t="n"/>
      <c r="H398" s="218" t="n"/>
      <c r="I398" s="218" t="n"/>
      <c r="J398" s="218" t="n"/>
      <c r="M398" s="218" t="n"/>
      <c r="S398" s="346" t="n"/>
    </row>
    <row r="399">
      <c r="C399" s="346" t="n"/>
      <c r="D399" s="218" t="n"/>
      <c r="H399" s="218" t="n"/>
      <c r="I399" s="218" t="n"/>
      <c r="J399" s="218" t="n"/>
      <c r="M399" s="218" t="n"/>
      <c r="S399" s="346" t="n"/>
    </row>
    <row r="400">
      <c r="C400" s="346" t="n"/>
      <c r="D400" s="218" t="n"/>
      <c r="H400" s="218" t="n"/>
      <c r="I400" s="218" t="n"/>
      <c r="J400" s="218" t="n"/>
      <c r="M400" s="218" t="n"/>
      <c r="S400" s="346" t="n"/>
    </row>
    <row r="401">
      <c r="C401" s="346" t="n"/>
      <c r="D401" s="218" t="n"/>
      <c r="H401" s="218" t="n"/>
      <c r="I401" s="218" t="n"/>
      <c r="J401" s="218" t="n"/>
      <c r="M401" s="218" t="n"/>
      <c r="S401" s="346" t="n"/>
    </row>
    <row r="402">
      <c r="C402" s="346" t="n"/>
      <c r="D402" s="218" t="n"/>
      <c r="H402" s="218" t="n"/>
      <c r="I402" s="218" t="n"/>
      <c r="J402" s="218" t="n"/>
      <c r="M402" s="218" t="n"/>
      <c r="S402" s="346" t="n"/>
    </row>
    <row r="403">
      <c r="C403" s="346" t="n"/>
      <c r="D403" s="218" t="n"/>
      <c r="H403" s="218" t="n"/>
      <c r="I403" s="218" t="n"/>
      <c r="J403" s="218" t="n"/>
      <c r="M403" s="218" t="n"/>
      <c r="S403" s="346" t="n"/>
    </row>
    <row r="404">
      <c r="C404" s="346" t="n"/>
      <c r="D404" s="218" t="n"/>
      <c r="H404" s="218" t="n"/>
      <c r="I404" s="218" t="n"/>
      <c r="J404" s="218" t="n"/>
      <c r="M404" s="218" t="n"/>
      <c r="S404" s="346" t="n"/>
    </row>
    <row r="405">
      <c r="C405" s="346" t="n"/>
      <c r="D405" s="218" t="n"/>
      <c r="H405" s="218" t="n"/>
      <c r="I405" s="218" t="n"/>
      <c r="J405" s="218" t="n"/>
      <c r="M405" s="218" t="n"/>
      <c r="S405" s="346" t="n"/>
    </row>
    <row r="406">
      <c r="C406" s="346" t="n"/>
      <c r="D406" s="218" t="n"/>
      <c r="H406" s="218" t="n"/>
      <c r="I406" s="218" t="n"/>
      <c r="J406" s="218" t="n"/>
      <c r="M406" s="218" t="n"/>
      <c r="S406" s="346" t="n"/>
    </row>
    <row r="407">
      <c r="C407" s="346" t="n"/>
      <c r="D407" s="218" t="n"/>
      <c r="H407" s="218" t="n"/>
      <c r="I407" s="218" t="n"/>
      <c r="J407" s="218" t="n"/>
      <c r="M407" s="218" t="n"/>
      <c r="S407" s="346" t="n"/>
    </row>
    <row r="408">
      <c r="C408" s="346" t="n"/>
      <c r="D408" s="218" t="n"/>
      <c r="H408" s="218" t="n"/>
      <c r="I408" s="218" t="n"/>
      <c r="J408" s="218" t="n"/>
      <c r="M408" s="218" t="n"/>
      <c r="S408" s="346" t="n"/>
    </row>
    <row r="409">
      <c r="C409" s="346" t="n"/>
      <c r="D409" s="218" t="n"/>
      <c r="H409" s="218" t="n"/>
      <c r="I409" s="218" t="n"/>
      <c r="J409" s="218" t="n"/>
      <c r="M409" s="218" t="n"/>
      <c r="S409" s="346" t="n"/>
    </row>
    <row r="410">
      <c r="C410" s="346" t="n"/>
      <c r="D410" s="218" t="n"/>
      <c r="H410" s="218" t="n"/>
      <c r="I410" s="218" t="n"/>
      <c r="J410" s="218" t="n"/>
      <c r="M410" s="218" t="n"/>
      <c r="S410" s="346" t="n"/>
    </row>
    <row r="411">
      <c r="C411" s="346" t="n"/>
      <c r="D411" s="218" t="n"/>
      <c r="H411" s="218" t="n"/>
      <c r="I411" s="218" t="n"/>
      <c r="J411" s="218" t="n"/>
      <c r="M411" s="218" t="n"/>
      <c r="S411" s="346" t="n"/>
    </row>
    <row r="412">
      <c r="C412" s="346" t="n"/>
      <c r="D412" s="218" t="n"/>
      <c r="H412" s="218" t="n"/>
      <c r="I412" s="218" t="n"/>
      <c r="J412" s="218" t="n"/>
      <c r="M412" s="218" t="n"/>
      <c r="S412" s="346" t="n"/>
    </row>
    <row r="413">
      <c r="C413" s="346" t="n"/>
      <c r="D413" s="218" t="n"/>
      <c r="H413" s="218" t="n"/>
      <c r="I413" s="218" t="n"/>
      <c r="J413" s="218" t="n"/>
      <c r="M413" s="218" t="n"/>
      <c r="S413" s="346" t="n"/>
    </row>
    <row r="414">
      <c r="C414" s="346" t="n"/>
      <c r="D414" s="218" t="n"/>
      <c r="H414" s="218" t="n"/>
      <c r="I414" s="218" t="n"/>
      <c r="J414" s="218" t="n"/>
      <c r="M414" s="218" t="n"/>
      <c r="S414" s="346" t="n"/>
    </row>
    <row r="415">
      <c r="C415" s="346" t="n"/>
      <c r="D415" s="218" t="n"/>
      <c r="H415" s="218" t="n"/>
      <c r="I415" s="218" t="n"/>
      <c r="J415" s="218" t="n"/>
      <c r="M415" s="218" t="n"/>
      <c r="S415" s="346" t="n"/>
    </row>
    <row r="416">
      <c r="C416" s="346" t="n"/>
      <c r="D416" s="218" t="n"/>
      <c r="H416" s="218" t="n"/>
      <c r="I416" s="218" t="n"/>
      <c r="J416" s="218" t="n"/>
      <c r="M416" s="218" t="n"/>
      <c r="S416" s="346" t="n"/>
    </row>
    <row r="417">
      <c r="C417" s="346" t="n"/>
      <c r="D417" s="218" t="n"/>
      <c r="H417" s="218" t="n"/>
      <c r="I417" s="218" t="n"/>
      <c r="J417" s="218" t="n"/>
      <c r="M417" s="218" t="n"/>
      <c r="S417" s="346" t="n"/>
    </row>
    <row r="418">
      <c r="C418" s="346" t="n"/>
      <c r="D418" s="218" t="n"/>
      <c r="H418" s="218" t="n"/>
      <c r="I418" s="218" t="n"/>
      <c r="J418" s="218" t="n"/>
      <c r="M418" s="218" t="n"/>
      <c r="S418" s="346" t="n"/>
    </row>
    <row r="419">
      <c r="C419" s="346" t="n"/>
      <c r="D419" s="218" t="n"/>
      <c r="H419" s="218" t="n"/>
      <c r="I419" s="218" t="n"/>
      <c r="J419" s="218" t="n"/>
      <c r="M419" s="218" t="n"/>
      <c r="S419" s="346" t="n"/>
    </row>
    <row r="420">
      <c r="C420" s="346" t="n"/>
      <c r="D420" s="218" t="n"/>
      <c r="H420" s="218" t="n"/>
      <c r="I420" s="218" t="n"/>
      <c r="J420" s="218" t="n"/>
      <c r="M420" s="218" t="n"/>
      <c r="S420" s="346" t="n"/>
    </row>
    <row r="421">
      <c r="C421" s="346" t="n"/>
      <c r="D421" s="218" t="n"/>
      <c r="H421" s="218" t="n"/>
      <c r="I421" s="218" t="n"/>
      <c r="J421" s="218" t="n"/>
      <c r="M421" s="218" t="n"/>
      <c r="S421" s="346" t="n"/>
    </row>
    <row r="422">
      <c r="C422" s="346" t="n"/>
      <c r="D422" s="218" t="n"/>
      <c r="H422" s="218" t="n"/>
      <c r="I422" s="218" t="n"/>
      <c r="J422" s="218" t="n"/>
      <c r="M422" s="218" t="n"/>
      <c r="S422" s="346" t="n"/>
    </row>
    <row r="423">
      <c r="C423" s="346" t="n"/>
      <c r="D423" s="218" t="n"/>
      <c r="H423" s="218" t="n"/>
      <c r="I423" s="218" t="n"/>
      <c r="J423" s="218" t="n"/>
      <c r="M423" s="218" t="n"/>
      <c r="S423" s="346" t="n"/>
    </row>
    <row r="424">
      <c r="C424" s="346" t="n"/>
      <c r="D424" s="218" t="n"/>
      <c r="H424" s="218" t="n"/>
      <c r="I424" s="218" t="n"/>
      <c r="J424" s="218" t="n"/>
      <c r="M424" s="218" t="n"/>
      <c r="S424" s="346" t="n"/>
    </row>
    <row r="425">
      <c r="C425" s="346" t="n"/>
      <c r="D425" s="218" t="n"/>
      <c r="H425" s="218" t="n"/>
      <c r="I425" s="218" t="n"/>
      <c r="J425" s="218" t="n"/>
      <c r="M425" s="218" t="n"/>
      <c r="S425" s="346" t="n"/>
    </row>
    <row r="426">
      <c r="C426" s="346" t="n"/>
      <c r="D426" s="218" t="n"/>
      <c r="H426" s="218" t="n"/>
      <c r="I426" s="218" t="n"/>
      <c r="J426" s="218" t="n"/>
      <c r="M426" s="218" t="n"/>
      <c r="S426" s="346" t="n"/>
    </row>
    <row r="427">
      <c r="C427" s="346" t="n"/>
      <c r="D427" s="218" t="n"/>
      <c r="H427" s="218" t="n"/>
      <c r="I427" s="218" t="n"/>
      <c r="J427" s="218" t="n"/>
      <c r="M427" s="218" t="n"/>
      <c r="S427" s="346" t="n"/>
    </row>
    <row r="428">
      <c r="C428" s="346" t="n"/>
      <c r="D428" s="218" t="n"/>
      <c r="H428" s="218" t="n"/>
      <c r="I428" s="218" t="n"/>
      <c r="J428" s="218" t="n"/>
      <c r="M428" s="218" t="n"/>
      <c r="S428" s="346" t="n"/>
    </row>
    <row r="429">
      <c r="C429" s="346" t="n"/>
      <c r="D429" s="218" t="n"/>
      <c r="H429" s="218" t="n"/>
      <c r="I429" s="218" t="n"/>
      <c r="J429" s="218" t="n"/>
      <c r="M429" s="218" t="n"/>
      <c r="S429" s="346" t="n"/>
    </row>
    <row r="430">
      <c r="C430" s="346" t="n"/>
      <c r="D430" s="218" t="n"/>
      <c r="H430" s="218" t="n"/>
      <c r="I430" s="218" t="n"/>
      <c r="J430" s="218" t="n"/>
      <c r="M430" s="218" t="n"/>
      <c r="S430" s="346" t="n"/>
    </row>
    <row r="431">
      <c r="C431" s="346" t="n"/>
      <c r="D431" s="218" t="n"/>
      <c r="H431" s="218" t="n"/>
      <c r="I431" s="218" t="n"/>
      <c r="J431" s="218" t="n"/>
      <c r="M431" s="218" t="n"/>
      <c r="S431" s="346" t="n"/>
    </row>
    <row r="432">
      <c r="C432" s="346" t="n"/>
      <c r="D432" s="218" t="n"/>
      <c r="H432" s="218" t="n"/>
      <c r="I432" s="218" t="n"/>
      <c r="J432" s="218" t="n"/>
      <c r="M432" s="218" t="n"/>
      <c r="S432" s="346" t="n"/>
    </row>
    <row r="433">
      <c r="C433" s="346" t="n"/>
      <c r="D433" s="218" t="n"/>
      <c r="H433" s="218" t="n"/>
      <c r="I433" s="218" t="n"/>
      <c r="J433" s="218" t="n"/>
      <c r="M433" s="218" t="n"/>
      <c r="S433" s="346" t="n"/>
    </row>
    <row r="434">
      <c r="C434" s="346" t="n"/>
      <c r="D434" s="218" t="n"/>
      <c r="H434" s="218" t="n"/>
      <c r="I434" s="218" t="n"/>
      <c r="J434" s="218" t="n"/>
      <c r="M434" s="218" t="n"/>
      <c r="S434" s="346" t="n"/>
    </row>
    <row r="435">
      <c r="C435" s="346" t="n"/>
      <c r="D435" s="218" t="n"/>
      <c r="H435" s="218" t="n"/>
      <c r="I435" s="218" t="n"/>
      <c r="J435" s="218" t="n"/>
      <c r="M435" s="218" t="n"/>
      <c r="S435" s="346" t="n"/>
    </row>
    <row r="436">
      <c r="C436" s="346" t="n"/>
      <c r="D436" s="218" t="n"/>
      <c r="H436" s="218" t="n"/>
      <c r="I436" s="218" t="n"/>
      <c r="J436" s="218" t="n"/>
      <c r="M436" s="218" t="n"/>
      <c r="S436" s="346" t="n"/>
    </row>
    <row r="437">
      <c r="C437" s="346" t="n"/>
      <c r="D437" s="218" t="n"/>
      <c r="H437" s="218" t="n"/>
      <c r="I437" s="218" t="n"/>
      <c r="J437" s="218" t="n"/>
      <c r="M437" s="218" t="n"/>
      <c r="S437" s="346" t="n"/>
    </row>
    <row r="438">
      <c r="C438" s="346" t="n"/>
      <c r="D438" s="218" t="n"/>
      <c r="H438" s="218" t="n"/>
      <c r="I438" s="218" t="n"/>
      <c r="J438" s="218" t="n"/>
      <c r="M438" s="218" t="n"/>
      <c r="S438" s="346" t="n"/>
    </row>
    <row r="439">
      <c r="C439" s="346" t="n"/>
      <c r="D439" s="218" t="n"/>
      <c r="H439" s="218" t="n"/>
      <c r="I439" s="218" t="n"/>
      <c r="J439" s="218" t="n"/>
      <c r="M439" s="218" t="n"/>
      <c r="S439" s="346" t="n"/>
    </row>
    <row r="440">
      <c r="C440" s="346" t="n"/>
      <c r="D440" s="218" t="n"/>
      <c r="H440" s="218" t="n"/>
      <c r="I440" s="218" t="n"/>
      <c r="J440" s="218" t="n"/>
      <c r="M440" s="218" t="n"/>
      <c r="S440" s="346" t="n"/>
    </row>
    <row r="441">
      <c r="C441" s="346" t="n"/>
      <c r="D441" s="218" t="n"/>
      <c r="H441" s="218" t="n"/>
      <c r="I441" s="218" t="n"/>
      <c r="J441" s="218" t="n"/>
      <c r="M441" s="218" t="n"/>
      <c r="S441" s="346" t="n"/>
    </row>
    <row r="442">
      <c r="C442" s="346" t="n"/>
      <c r="D442" s="218" t="n"/>
      <c r="H442" s="218" t="n"/>
      <c r="I442" s="218" t="n"/>
      <c r="J442" s="218" t="n"/>
      <c r="M442" s="218" t="n"/>
      <c r="S442" s="346" t="n"/>
    </row>
    <row r="443">
      <c r="C443" s="346" t="n"/>
      <c r="D443" s="218" t="n"/>
      <c r="H443" s="218" t="n"/>
      <c r="I443" s="218" t="n"/>
      <c r="J443" s="218" t="n"/>
      <c r="M443" s="218" t="n"/>
      <c r="S443" s="346" t="n"/>
    </row>
    <row r="444">
      <c r="C444" s="346" t="n"/>
      <c r="D444" s="218" t="n"/>
      <c r="H444" s="218" t="n"/>
      <c r="I444" s="218" t="n"/>
      <c r="J444" s="218" t="n"/>
      <c r="M444" s="218" t="n"/>
      <c r="S444" s="346" t="n"/>
    </row>
    <row r="445">
      <c r="C445" s="346" t="n"/>
      <c r="D445" s="218" t="n"/>
      <c r="H445" s="218" t="n"/>
      <c r="I445" s="218" t="n"/>
      <c r="J445" s="218" t="n"/>
      <c r="M445" s="218" t="n"/>
      <c r="S445" s="346" t="n"/>
    </row>
    <row r="446">
      <c r="C446" s="346" t="n"/>
      <c r="D446" s="218" t="n"/>
      <c r="H446" s="218" t="n"/>
      <c r="I446" s="218" t="n"/>
      <c r="J446" s="218" t="n"/>
      <c r="M446" s="218" t="n"/>
      <c r="S446" s="346" t="n"/>
    </row>
    <row r="447">
      <c r="C447" s="346" t="n"/>
      <c r="D447" s="218" t="n"/>
      <c r="H447" s="218" t="n"/>
      <c r="I447" s="218" t="n"/>
      <c r="J447" s="218" t="n"/>
      <c r="M447" s="218" t="n"/>
      <c r="S447" s="346" t="n"/>
    </row>
    <row r="448">
      <c r="C448" s="346" t="n"/>
      <c r="D448" s="218" t="n"/>
      <c r="H448" s="218" t="n"/>
      <c r="I448" s="218" t="n"/>
      <c r="J448" s="218" t="n"/>
      <c r="M448" s="218" t="n"/>
      <c r="S448" s="346" t="n"/>
    </row>
    <row r="449">
      <c r="C449" s="346" t="n"/>
      <c r="D449" s="218" t="n"/>
      <c r="H449" s="218" t="n"/>
      <c r="I449" s="218" t="n"/>
      <c r="J449" s="218" t="n"/>
      <c r="M449" s="218" t="n"/>
      <c r="S449" s="346" t="n"/>
    </row>
    <row r="450">
      <c r="C450" s="346" t="n"/>
      <c r="D450" s="218" t="n"/>
      <c r="H450" s="218" t="n"/>
      <c r="I450" s="218" t="n"/>
      <c r="J450" s="218" t="n"/>
      <c r="M450" s="218" t="n"/>
      <c r="S450" s="346" t="n"/>
    </row>
    <row r="451">
      <c r="C451" s="346" t="n"/>
      <c r="D451" s="218" t="n"/>
      <c r="H451" s="218" t="n"/>
      <c r="I451" s="218" t="n"/>
      <c r="J451" s="218" t="n"/>
      <c r="M451" s="218" t="n"/>
      <c r="S451" s="346" t="n"/>
    </row>
    <row r="452">
      <c r="C452" s="346" t="n"/>
      <c r="D452" s="218" t="n"/>
      <c r="H452" s="218" t="n"/>
      <c r="I452" s="218" t="n"/>
      <c r="J452" s="218" t="n"/>
      <c r="M452" s="218" t="n"/>
      <c r="S452" s="346" t="n"/>
    </row>
    <row r="453">
      <c r="C453" s="346" t="n"/>
      <c r="D453" s="218" t="n"/>
      <c r="H453" s="218" t="n"/>
      <c r="I453" s="218" t="n"/>
      <c r="J453" s="218" t="n"/>
      <c r="M453" s="218" t="n"/>
      <c r="S453" s="346" t="n"/>
    </row>
    <row r="454">
      <c r="C454" s="346" t="n"/>
      <c r="D454" s="218" t="n"/>
      <c r="H454" s="218" t="n"/>
      <c r="I454" s="218" t="n"/>
      <c r="J454" s="218" t="n"/>
      <c r="M454" s="218" t="n"/>
      <c r="S454" s="346" t="n"/>
    </row>
    <row r="455">
      <c r="C455" s="346" t="n"/>
      <c r="D455" s="218" t="n"/>
      <c r="H455" s="218" t="n"/>
      <c r="I455" s="218" t="n"/>
      <c r="J455" s="218" t="n"/>
      <c r="M455" s="218" t="n"/>
      <c r="S455" s="346" t="n"/>
    </row>
    <row r="456">
      <c r="C456" s="346" t="n"/>
      <c r="D456" s="218" t="n"/>
      <c r="H456" s="218" t="n"/>
      <c r="I456" s="218" t="n"/>
      <c r="J456" s="218" t="n"/>
      <c r="M456" s="218" t="n"/>
      <c r="S456" s="346" t="n"/>
    </row>
    <row r="457">
      <c r="C457" s="346" t="n"/>
      <c r="D457" s="218" t="n"/>
      <c r="H457" s="218" t="n"/>
      <c r="I457" s="218" t="n"/>
      <c r="J457" s="218" t="n"/>
      <c r="M457" s="218" t="n"/>
      <c r="S457" s="346" t="n"/>
    </row>
    <row r="458">
      <c r="C458" s="346" t="n"/>
      <c r="D458" s="218" t="n"/>
      <c r="H458" s="218" t="n"/>
      <c r="I458" s="218" t="n"/>
      <c r="J458" s="218" t="n"/>
      <c r="M458" s="218" t="n"/>
      <c r="S458" s="346" t="n"/>
    </row>
    <row r="459">
      <c r="C459" s="346" t="n"/>
      <c r="D459" s="218" t="n"/>
      <c r="H459" s="218" t="n"/>
      <c r="I459" s="218" t="n"/>
      <c r="J459" s="218" t="n"/>
      <c r="M459" s="218" t="n"/>
      <c r="S459" s="346" t="n"/>
    </row>
    <row r="460">
      <c r="C460" s="346" t="n"/>
      <c r="D460" s="218" t="n"/>
      <c r="H460" s="218" t="n"/>
      <c r="I460" s="218" t="n"/>
      <c r="J460" s="218" t="n"/>
      <c r="M460" s="218" t="n"/>
      <c r="S460" s="346" t="n"/>
    </row>
    <row r="461">
      <c r="C461" s="346" t="n"/>
      <c r="D461" s="218" t="n"/>
      <c r="H461" s="218" t="n"/>
      <c r="I461" s="218" t="n"/>
      <c r="J461" s="218" t="n"/>
      <c r="M461" s="218" t="n"/>
      <c r="S461" s="346" t="n"/>
    </row>
    <row r="462">
      <c r="C462" s="346" t="n"/>
      <c r="D462" s="218" t="n"/>
      <c r="H462" s="218" t="n"/>
      <c r="I462" s="218" t="n"/>
      <c r="J462" s="218" t="n"/>
      <c r="M462" s="218" t="n"/>
      <c r="S462" s="346" t="n"/>
    </row>
    <row r="463">
      <c r="C463" s="346" t="n"/>
      <c r="D463" s="218" t="n"/>
      <c r="H463" s="218" t="n"/>
      <c r="I463" s="218" t="n"/>
      <c r="J463" s="218" t="n"/>
      <c r="M463" s="218" t="n"/>
      <c r="S463" s="346" t="n"/>
    </row>
    <row r="464">
      <c r="C464" s="346" t="n"/>
      <c r="D464" s="218" t="n"/>
      <c r="H464" s="218" t="n"/>
      <c r="I464" s="218" t="n"/>
      <c r="J464" s="218" t="n"/>
      <c r="M464" s="218" t="n"/>
      <c r="S464" s="346" t="n"/>
    </row>
    <row r="465">
      <c r="C465" s="346" t="n"/>
      <c r="D465" s="218" t="n"/>
      <c r="H465" s="218" t="n"/>
      <c r="I465" s="218" t="n"/>
      <c r="J465" s="218" t="n"/>
      <c r="M465" s="218" t="n"/>
      <c r="S465" s="346" t="n"/>
    </row>
    <row r="466">
      <c r="C466" s="346" t="n"/>
      <c r="D466" s="218" t="n"/>
      <c r="H466" s="218" t="n"/>
      <c r="I466" s="218" t="n"/>
      <c r="J466" s="218" t="n"/>
      <c r="M466" s="218" t="n"/>
      <c r="S466" s="346" t="n"/>
    </row>
    <row r="467">
      <c r="C467" s="346" t="n"/>
      <c r="D467" s="218" t="n"/>
      <c r="H467" s="218" t="n"/>
      <c r="I467" s="218" t="n"/>
      <c r="J467" s="218" t="n"/>
      <c r="M467" s="218" t="n"/>
      <c r="S467" s="346" t="n"/>
    </row>
    <row r="468">
      <c r="C468" s="346" t="n"/>
      <c r="D468" s="218" t="n"/>
      <c r="H468" s="218" t="n"/>
      <c r="I468" s="218" t="n"/>
      <c r="J468" s="218" t="n"/>
      <c r="M468" s="218" t="n"/>
      <c r="S468" s="346" t="n"/>
    </row>
    <row r="469">
      <c r="C469" s="346" t="n"/>
      <c r="D469" s="218" t="n"/>
      <c r="H469" s="218" t="n"/>
      <c r="I469" s="218" t="n"/>
      <c r="J469" s="218" t="n"/>
      <c r="M469" s="218" t="n"/>
      <c r="S469" s="346" t="n"/>
    </row>
    <row r="470">
      <c r="C470" s="346" t="n"/>
      <c r="D470" s="218" t="n"/>
      <c r="H470" s="218" t="n"/>
      <c r="I470" s="218" t="n"/>
      <c r="J470" s="218" t="n"/>
      <c r="M470" s="218" t="n"/>
      <c r="S470" s="346" t="n"/>
    </row>
    <row r="471">
      <c r="C471" s="346" t="n"/>
      <c r="D471" s="218" t="n"/>
      <c r="H471" s="218" t="n"/>
      <c r="I471" s="218" t="n"/>
      <c r="J471" s="218" t="n"/>
      <c r="M471" s="218" t="n"/>
      <c r="S471" s="346" t="n"/>
    </row>
    <row r="472">
      <c r="C472" s="346" t="n"/>
      <c r="D472" s="218" t="n"/>
      <c r="H472" s="218" t="n"/>
      <c r="I472" s="218" t="n"/>
      <c r="J472" s="218" t="n"/>
      <c r="M472" s="218" t="n"/>
      <c r="S472" s="346" t="n"/>
    </row>
    <row r="473">
      <c r="C473" s="346" t="n"/>
      <c r="D473" s="218" t="n"/>
      <c r="H473" s="218" t="n"/>
      <c r="I473" s="218" t="n"/>
      <c r="J473" s="218" t="n"/>
      <c r="M473" s="218" t="n"/>
      <c r="S473" s="346" t="n"/>
    </row>
    <row r="474">
      <c r="C474" s="346" t="n"/>
      <c r="D474" s="218" t="n"/>
      <c r="H474" s="218" t="n"/>
      <c r="I474" s="218" t="n"/>
      <c r="J474" s="218" t="n"/>
      <c r="M474" s="218" t="n"/>
      <c r="S474" s="346" t="n"/>
    </row>
    <row r="475">
      <c r="C475" s="346" t="n"/>
      <c r="D475" s="218" t="n"/>
      <c r="H475" s="218" t="n"/>
      <c r="I475" s="218" t="n"/>
      <c r="J475" s="218" t="n"/>
      <c r="M475" s="218" t="n"/>
      <c r="S475" s="346" t="n"/>
    </row>
    <row r="476">
      <c r="C476" s="346" t="n"/>
      <c r="D476" s="218" t="n"/>
      <c r="H476" s="218" t="n"/>
      <c r="I476" s="218" t="n"/>
      <c r="J476" s="218" t="n"/>
      <c r="M476" s="218" t="n"/>
      <c r="S476" s="346" t="n"/>
    </row>
    <row r="477">
      <c r="C477" s="346" t="n"/>
      <c r="D477" s="218" t="n"/>
      <c r="H477" s="218" t="n"/>
      <c r="I477" s="218" t="n"/>
      <c r="J477" s="218" t="n"/>
      <c r="M477" s="218" t="n"/>
      <c r="S477" s="346" t="n"/>
    </row>
    <row r="478">
      <c r="C478" s="346" t="n"/>
      <c r="D478" s="218" t="n"/>
      <c r="H478" s="218" t="n"/>
      <c r="I478" s="218" t="n"/>
      <c r="J478" s="218" t="n"/>
      <c r="M478" s="218" t="n"/>
      <c r="S478" s="346" t="n"/>
    </row>
    <row r="479">
      <c r="C479" s="346" t="n"/>
      <c r="D479" s="218" t="n"/>
      <c r="H479" s="218" t="n"/>
      <c r="I479" s="218" t="n"/>
      <c r="J479" s="218" t="n"/>
      <c r="M479" s="218" t="n"/>
      <c r="S479" s="346" t="n"/>
    </row>
    <row r="480">
      <c r="C480" s="346" t="n"/>
      <c r="D480" s="218" t="n"/>
      <c r="H480" s="218" t="n"/>
      <c r="I480" s="218" t="n"/>
      <c r="J480" s="218" t="n"/>
      <c r="M480" s="218" t="n"/>
      <c r="S480" s="346" t="n"/>
    </row>
    <row r="481">
      <c r="C481" s="346" t="n"/>
      <c r="D481" s="218" t="n"/>
      <c r="H481" s="218" t="n"/>
      <c r="I481" s="218" t="n"/>
      <c r="J481" s="218" t="n"/>
      <c r="M481" s="218" t="n"/>
      <c r="S481" s="346" t="n"/>
    </row>
    <row r="482">
      <c r="C482" s="346" t="n"/>
      <c r="D482" s="218" t="n"/>
      <c r="H482" s="218" t="n"/>
      <c r="I482" s="218" t="n"/>
      <c r="J482" s="218" t="n"/>
      <c r="M482" s="218" t="n"/>
      <c r="S482" s="346" t="n"/>
    </row>
    <row r="483">
      <c r="C483" s="346" t="n"/>
      <c r="D483" s="218" t="n"/>
      <c r="H483" s="218" t="n"/>
      <c r="I483" s="218" t="n"/>
      <c r="J483" s="218" t="n"/>
      <c r="M483" s="218" t="n"/>
      <c r="S483" s="346" t="n"/>
    </row>
    <row r="484">
      <c r="C484" s="346" t="n"/>
      <c r="D484" s="218" t="n"/>
      <c r="H484" s="218" t="n"/>
      <c r="I484" s="218" t="n"/>
      <c r="J484" s="218" t="n"/>
      <c r="M484" s="218" t="n"/>
      <c r="S484" s="346" t="n"/>
    </row>
    <row r="485">
      <c r="C485" s="346" t="n"/>
      <c r="D485" s="218" t="n"/>
      <c r="H485" s="218" t="n"/>
      <c r="I485" s="218" t="n"/>
      <c r="J485" s="218" t="n"/>
      <c r="M485" s="218" t="n"/>
      <c r="S485" s="346" t="n"/>
    </row>
    <row r="486">
      <c r="C486" s="346" t="n"/>
      <c r="D486" s="218" t="n"/>
      <c r="H486" s="218" t="n"/>
      <c r="I486" s="218" t="n"/>
      <c r="J486" s="218" t="n"/>
      <c r="M486" s="218" t="n"/>
      <c r="S486" s="346" t="n"/>
    </row>
    <row r="487">
      <c r="C487" s="346" t="n"/>
      <c r="D487" s="218" t="n"/>
      <c r="H487" s="218" t="n"/>
      <c r="I487" s="218" t="n"/>
      <c r="J487" s="218" t="n"/>
      <c r="M487" s="218" t="n"/>
      <c r="S487" s="346" t="n"/>
    </row>
    <row r="488">
      <c r="C488" s="346" t="n"/>
      <c r="D488" s="218" t="n"/>
      <c r="H488" s="218" t="n"/>
      <c r="I488" s="218" t="n"/>
      <c r="J488" s="218" t="n"/>
      <c r="M488" s="218" t="n"/>
      <c r="S488" s="346" t="n"/>
    </row>
    <row r="489">
      <c r="C489" s="346" t="n"/>
      <c r="D489" s="218" t="n"/>
      <c r="H489" s="218" t="n"/>
      <c r="I489" s="218" t="n"/>
      <c r="J489" s="218" t="n"/>
      <c r="M489" s="218" t="n"/>
      <c r="S489" s="346" t="n"/>
    </row>
    <row r="490">
      <c r="C490" s="346" t="n"/>
      <c r="D490" s="218" t="n"/>
      <c r="H490" s="218" t="n"/>
      <c r="I490" s="218" t="n"/>
      <c r="J490" s="218" t="n"/>
      <c r="M490" s="218" t="n"/>
      <c r="S490" s="346" t="n"/>
    </row>
    <row r="491">
      <c r="C491" s="346" t="n"/>
      <c r="D491" s="218" t="n"/>
      <c r="H491" s="218" t="n"/>
      <c r="I491" s="218" t="n"/>
      <c r="J491" s="218" t="n"/>
      <c r="M491" s="218" t="n"/>
      <c r="S491" s="346" t="n"/>
    </row>
    <row r="492">
      <c r="C492" s="346" t="n"/>
      <c r="D492" s="218" t="n"/>
      <c r="H492" s="218" t="n"/>
      <c r="I492" s="218" t="n"/>
      <c r="J492" s="218" t="n"/>
      <c r="M492" s="218" t="n"/>
      <c r="S492" s="346" t="n"/>
    </row>
    <row r="493">
      <c r="C493" s="346" t="n"/>
      <c r="D493" s="218" t="n"/>
      <c r="H493" s="218" t="n"/>
      <c r="I493" s="218" t="n"/>
      <c r="J493" s="218" t="n"/>
      <c r="M493" s="218" t="n"/>
      <c r="S493" s="346" t="n"/>
    </row>
    <row r="494">
      <c r="C494" s="346" t="n"/>
      <c r="D494" s="218" t="n"/>
      <c r="H494" s="218" t="n"/>
      <c r="I494" s="218" t="n"/>
      <c r="J494" s="218" t="n"/>
      <c r="M494" s="218" t="n"/>
      <c r="S494" s="346" t="n"/>
    </row>
    <row r="495">
      <c r="C495" s="346" t="n"/>
      <c r="D495" s="218" t="n"/>
      <c r="H495" s="218" t="n"/>
      <c r="I495" s="218" t="n"/>
      <c r="J495" s="218" t="n"/>
      <c r="M495" s="218" t="n"/>
      <c r="S495" s="346" t="n"/>
    </row>
    <row r="496">
      <c r="C496" s="346" t="n"/>
      <c r="D496" s="218" t="n"/>
      <c r="H496" s="218" t="n"/>
      <c r="I496" s="218" t="n"/>
      <c r="J496" s="218" t="n"/>
      <c r="M496" s="218" t="n"/>
      <c r="S496" s="346" t="n"/>
    </row>
    <row r="497">
      <c r="C497" s="346" t="n"/>
      <c r="D497" s="218" t="n"/>
      <c r="H497" s="218" t="n"/>
      <c r="I497" s="218" t="n"/>
      <c r="J497" s="218" t="n"/>
      <c r="M497" s="218" t="n"/>
      <c r="S497" s="346" t="n"/>
    </row>
    <row r="498">
      <c r="C498" s="346" t="n"/>
      <c r="D498" s="218" t="n"/>
      <c r="H498" s="218" t="n"/>
      <c r="I498" s="218" t="n"/>
      <c r="J498" s="218" t="n"/>
      <c r="M498" s="218" t="n"/>
      <c r="S498" s="346" t="n"/>
    </row>
    <row r="499">
      <c r="C499" s="346" t="n"/>
      <c r="D499" s="218" t="n"/>
      <c r="H499" s="218" t="n"/>
      <c r="I499" s="218" t="n"/>
      <c r="J499" s="218" t="n"/>
      <c r="M499" s="218" t="n"/>
      <c r="S499" s="346" t="n"/>
    </row>
    <row r="500">
      <c r="C500" s="346" t="n"/>
      <c r="D500" s="218" t="n"/>
      <c r="H500" s="218" t="n"/>
      <c r="I500" s="218" t="n"/>
      <c r="J500" s="218" t="n"/>
      <c r="M500" s="218" t="n"/>
      <c r="S500" s="346" t="n"/>
    </row>
    <row r="501">
      <c r="C501" s="346" t="n"/>
      <c r="D501" s="218" t="n"/>
      <c r="H501" s="218" t="n"/>
      <c r="I501" s="218" t="n"/>
      <c r="J501" s="218" t="n"/>
      <c r="M501" s="218" t="n"/>
      <c r="S501" s="346" t="n"/>
    </row>
    <row r="502">
      <c r="C502" s="346" t="n"/>
      <c r="D502" s="218" t="n"/>
      <c r="H502" s="218" t="n"/>
      <c r="I502" s="218" t="n"/>
      <c r="J502" s="218" t="n"/>
      <c r="M502" s="218" t="n"/>
      <c r="S502" s="346" t="n"/>
    </row>
    <row r="503">
      <c r="C503" s="346" t="n"/>
      <c r="D503" s="218" t="n"/>
      <c r="H503" s="218" t="n"/>
      <c r="I503" s="218" t="n"/>
      <c r="J503" s="218" t="n"/>
      <c r="M503" s="218" t="n"/>
      <c r="S503" s="346" t="n"/>
    </row>
    <row r="504">
      <c r="C504" s="346" t="n"/>
      <c r="D504" s="218" t="n"/>
      <c r="H504" s="218" t="n"/>
      <c r="I504" s="218" t="n"/>
      <c r="J504" s="218" t="n"/>
      <c r="M504" s="218" t="n"/>
      <c r="S504" s="346" t="n"/>
    </row>
    <row r="505">
      <c r="C505" s="346" t="n"/>
      <c r="D505" s="218" t="n"/>
      <c r="H505" s="218" t="n"/>
      <c r="I505" s="218" t="n"/>
      <c r="J505" s="218" t="n"/>
      <c r="M505" s="218" t="n"/>
      <c r="S505" s="346" t="n"/>
    </row>
    <row r="506">
      <c r="C506" s="346" t="n"/>
      <c r="D506" s="218" t="n"/>
      <c r="H506" s="218" t="n"/>
      <c r="I506" s="218" t="n"/>
      <c r="J506" s="218" t="n"/>
      <c r="M506" s="218" t="n"/>
      <c r="S506" s="346" t="n"/>
    </row>
    <row r="507">
      <c r="C507" s="346" t="n"/>
      <c r="D507" s="218" t="n"/>
      <c r="H507" s="218" t="n"/>
      <c r="I507" s="218" t="n"/>
      <c r="J507" s="218" t="n"/>
      <c r="M507" s="218" t="n"/>
      <c r="S507" s="346" t="n"/>
    </row>
    <row r="508">
      <c r="C508" s="346" t="n"/>
      <c r="D508" s="218" t="n"/>
      <c r="H508" s="218" t="n"/>
      <c r="I508" s="218" t="n"/>
      <c r="J508" s="218" t="n"/>
      <c r="M508" s="218" t="n"/>
      <c r="S508" s="346" t="n"/>
    </row>
    <row r="509">
      <c r="C509" s="346" t="n"/>
      <c r="D509" s="218" t="n"/>
      <c r="H509" s="218" t="n"/>
      <c r="I509" s="218" t="n"/>
      <c r="J509" s="218" t="n"/>
      <c r="M509" s="218" t="n"/>
      <c r="S509" s="346" t="n"/>
    </row>
    <row r="510">
      <c r="C510" s="346" t="n"/>
      <c r="D510" s="218" t="n"/>
      <c r="H510" s="218" t="n"/>
      <c r="I510" s="218" t="n"/>
      <c r="J510" s="218" t="n"/>
      <c r="M510" s="218" t="n"/>
      <c r="S510" s="346" t="n"/>
    </row>
    <row r="511">
      <c r="C511" s="346" t="n"/>
      <c r="D511" s="218" t="n"/>
      <c r="H511" s="218" t="n"/>
      <c r="I511" s="218" t="n"/>
      <c r="J511" s="218" t="n"/>
      <c r="M511" s="218" t="n"/>
      <c r="S511" s="346" t="n"/>
    </row>
    <row r="512">
      <c r="C512" s="346" t="n"/>
      <c r="D512" s="218" t="n"/>
      <c r="H512" s="218" t="n"/>
      <c r="I512" s="218" t="n"/>
      <c r="J512" s="218" t="n"/>
      <c r="M512" s="218" t="n"/>
      <c r="S512" s="346" t="n"/>
    </row>
    <row r="513">
      <c r="C513" s="346" t="n"/>
      <c r="D513" s="218" t="n"/>
      <c r="H513" s="218" t="n"/>
      <c r="I513" s="218" t="n"/>
      <c r="J513" s="218" t="n"/>
      <c r="M513" s="218" t="n"/>
      <c r="S513" s="346" t="n"/>
    </row>
    <row r="514">
      <c r="C514" s="346" t="n"/>
      <c r="D514" s="218" t="n"/>
      <c r="H514" s="218" t="n"/>
      <c r="I514" s="218" t="n"/>
      <c r="J514" s="218" t="n"/>
      <c r="M514" s="218" t="n"/>
      <c r="S514" s="346" t="n"/>
    </row>
    <row r="515">
      <c r="C515" s="346" t="n"/>
      <c r="D515" s="218" t="n"/>
      <c r="H515" s="218" t="n"/>
      <c r="I515" s="218" t="n"/>
      <c r="J515" s="218" t="n"/>
      <c r="M515" s="218" t="n"/>
      <c r="S515" s="346" t="n"/>
    </row>
    <row r="516">
      <c r="C516" s="346" t="n"/>
      <c r="D516" s="218" t="n"/>
      <c r="H516" s="218" t="n"/>
      <c r="I516" s="218" t="n"/>
      <c r="J516" s="218" t="n"/>
      <c r="M516" s="218" t="n"/>
      <c r="S516" s="346" t="n"/>
    </row>
    <row r="517">
      <c r="C517" s="346" t="n"/>
      <c r="D517" s="218" t="n"/>
      <c r="H517" s="218" t="n"/>
      <c r="I517" s="218" t="n"/>
      <c r="J517" s="218" t="n"/>
      <c r="M517" s="218" t="n"/>
      <c r="S517" s="346" t="n"/>
    </row>
    <row r="518">
      <c r="C518" s="346" t="n"/>
      <c r="D518" s="218" t="n"/>
      <c r="H518" s="218" t="n"/>
      <c r="I518" s="218" t="n"/>
      <c r="J518" s="218" t="n"/>
      <c r="M518" s="218" t="n"/>
      <c r="S518" s="346" t="n"/>
    </row>
    <row r="519">
      <c r="C519" s="346" t="n"/>
      <c r="D519" s="218" t="n"/>
      <c r="H519" s="218" t="n"/>
      <c r="I519" s="218" t="n"/>
      <c r="J519" s="218" t="n"/>
      <c r="M519" s="218" t="n"/>
      <c r="S519" s="346" t="n"/>
    </row>
    <row r="520">
      <c r="C520" s="346" t="n"/>
      <c r="D520" s="218" t="n"/>
      <c r="H520" s="218" t="n"/>
      <c r="I520" s="218" t="n"/>
      <c r="J520" s="218" t="n"/>
      <c r="M520" s="218" t="n"/>
      <c r="S520" s="346" t="n"/>
    </row>
    <row r="521">
      <c r="C521" s="346" t="n"/>
      <c r="D521" s="218" t="n"/>
      <c r="H521" s="218" t="n"/>
      <c r="I521" s="218" t="n"/>
      <c r="J521" s="218" t="n"/>
      <c r="M521" s="218" t="n"/>
      <c r="S521" s="346" t="n"/>
    </row>
    <row r="522">
      <c r="C522" s="346" t="n"/>
      <c r="D522" s="218" t="n"/>
      <c r="H522" s="218" t="n"/>
      <c r="I522" s="218" t="n"/>
      <c r="J522" s="218" t="n"/>
      <c r="M522" s="218" t="n"/>
      <c r="S522" s="346" t="n"/>
    </row>
    <row r="523">
      <c r="C523" s="346" t="n"/>
      <c r="D523" s="218" t="n"/>
      <c r="H523" s="218" t="n"/>
      <c r="I523" s="218" t="n"/>
      <c r="J523" s="218" t="n"/>
      <c r="M523" s="218" t="n"/>
      <c r="S523" s="346" t="n"/>
    </row>
    <row r="524">
      <c r="C524" s="346" t="n"/>
      <c r="D524" s="218" t="n"/>
      <c r="H524" s="218" t="n"/>
      <c r="I524" s="218" t="n"/>
      <c r="J524" s="218" t="n"/>
      <c r="M524" s="218" t="n"/>
      <c r="S524" s="346" t="n"/>
    </row>
    <row r="525">
      <c r="C525" s="346" t="n"/>
      <c r="D525" s="218" t="n"/>
      <c r="H525" s="218" t="n"/>
      <c r="I525" s="218" t="n"/>
      <c r="J525" s="218" t="n"/>
      <c r="M525" s="218" t="n"/>
      <c r="S525" s="346" t="n"/>
    </row>
    <row r="526">
      <c r="C526" s="346" t="n"/>
      <c r="D526" s="218" t="n"/>
      <c r="H526" s="218" t="n"/>
      <c r="I526" s="218" t="n"/>
      <c r="J526" s="218" t="n"/>
      <c r="M526" s="218" t="n"/>
      <c r="S526" s="346" t="n"/>
    </row>
    <row r="527">
      <c r="C527" s="346" t="n"/>
      <c r="D527" s="218" t="n"/>
      <c r="H527" s="218" t="n"/>
      <c r="I527" s="218" t="n"/>
      <c r="J527" s="218" t="n"/>
      <c r="M527" s="218" t="n"/>
      <c r="S527" s="346" t="n"/>
    </row>
    <row r="528">
      <c r="C528" s="346" t="n"/>
      <c r="D528" s="218" t="n"/>
      <c r="H528" s="218" t="n"/>
      <c r="I528" s="218" t="n"/>
      <c r="J528" s="218" t="n"/>
      <c r="M528" s="218" t="n"/>
      <c r="S528" s="346" t="n"/>
    </row>
    <row r="529">
      <c r="C529" s="346" t="n"/>
      <c r="D529" s="218" t="n"/>
      <c r="H529" s="218" t="n"/>
      <c r="I529" s="218" t="n"/>
      <c r="J529" s="218" t="n"/>
      <c r="M529" s="218" t="n"/>
      <c r="S529" s="346" t="n"/>
    </row>
    <row r="530">
      <c r="C530" s="346" t="n"/>
      <c r="D530" s="218" t="n"/>
      <c r="H530" s="218" t="n"/>
      <c r="I530" s="218" t="n"/>
      <c r="J530" s="218" t="n"/>
      <c r="M530" s="218" t="n"/>
      <c r="S530" s="346" t="n"/>
    </row>
    <row r="531">
      <c r="C531" s="346" t="n"/>
      <c r="D531" s="218" t="n"/>
      <c r="H531" s="218" t="n"/>
      <c r="I531" s="218" t="n"/>
      <c r="J531" s="218" t="n"/>
      <c r="M531" s="218" t="n"/>
      <c r="S531" s="346" t="n"/>
    </row>
    <row r="532">
      <c r="C532" s="346" t="n"/>
      <c r="D532" s="218" t="n"/>
      <c r="H532" s="218" t="n"/>
      <c r="I532" s="218" t="n"/>
      <c r="J532" s="218" t="n"/>
      <c r="M532" s="218" t="n"/>
      <c r="S532" s="346" t="n"/>
    </row>
    <row r="533">
      <c r="C533" s="346" t="n"/>
      <c r="D533" s="218" t="n"/>
      <c r="H533" s="218" t="n"/>
      <c r="I533" s="218" t="n"/>
      <c r="J533" s="218" t="n"/>
      <c r="M533" s="218" t="n"/>
      <c r="S533" s="346" t="n"/>
    </row>
    <row r="534">
      <c r="C534" s="346" t="n"/>
      <c r="D534" s="218" t="n"/>
      <c r="H534" s="218" t="n"/>
      <c r="I534" s="218" t="n"/>
      <c r="J534" s="218" t="n"/>
      <c r="M534" s="218" t="n"/>
      <c r="S534" s="346" t="n"/>
    </row>
    <row r="535">
      <c r="C535" s="346" t="n"/>
      <c r="D535" s="218" t="n"/>
      <c r="H535" s="218" t="n"/>
      <c r="I535" s="218" t="n"/>
      <c r="J535" s="218" t="n"/>
      <c r="M535" s="218" t="n"/>
      <c r="S535" s="346" t="n"/>
    </row>
    <row r="536">
      <c r="C536" s="346" t="n"/>
      <c r="D536" s="218" t="n"/>
      <c r="H536" s="218" t="n"/>
      <c r="I536" s="218" t="n"/>
      <c r="J536" s="218" t="n"/>
      <c r="M536" s="218" t="n"/>
      <c r="S536" s="346" t="n"/>
    </row>
    <row r="537">
      <c r="C537" s="346" t="n"/>
      <c r="D537" s="218" t="n"/>
      <c r="H537" s="218" t="n"/>
      <c r="I537" s="218" t="n"/>
      <c r="J537" s="218" t="n"/>
      <c r="M537" s="218" t="n"/>
      <c r="S537" s="346" t="n"/>
    </row>
    <row r="538">
      <c r="C538" s="346" t="n"/>
      <c r="D538" s="218" t="n"/>
      <c r="H538" s="218" t="n"/>
      <c r="I538" s="218" t="n"/>
      <c r="J538" s="218" t="n"/>
      <c r="M538" s="218" t="n"/>
      <c r="S538" s="346" t="n"/>
    </row>
    <row r="539">
      <c r="C539" s="346" t="n"/>
      <c r="D539" s="218" t="n"/>
      <c r="H539" s="218" t="n"/>
      <c r="I539" s="218" t="n"/>
      <c r="J539" s="218" t="n"/>
      <c r="M539" s="218" t="n"/>
      <c r="S539" s="346" t="n"/>
    </row>
    <row r="540">
      <c r="C540" s="346" t="n"/>
      <c r="D540" s="218" t="n"/>
      <c r="H540" s="218" t="n"/>
      <c r="I540" s="218" t="n"/>
      <c r="J540" s="218" t="n"/>
      <c r="M540" s="218" t="n"/>
      <c r="S540" s="346" t="n"/>
    </row>
    <row r="541">
      <c r="C541" s="346" t="n"/>
      <c r="D541" s="218" t="n"/>
      <c r="H541" s="218" t="n"/>
      <c r="I541" s="218" t="n"/>
      <c r="J541" s="218" t="n"/>
      <c r="M541" s="218" t="n"/>
      <c r="S541" s="346" t="n"/>
    </row>
    <row r="542">
      <c r="C542" s="346" t="n"/>
      <c r="D542" s="218" t="n"/>
      <c r="H542" s="218" t="n"/>
      <c r="I542" s="218" t="n"/>
      <c r="J542" s="218" t="n"/>
      <c r="M542" s="218" t="n"/>
      <c r="S542" s="346" t="n"/>
    </row>
    <row r="543">
      <c r="C543" s="346" t="n"/>
      <c r="D543" s="218" t="n"/>
      <c r="H543" s="218" t="n"/>
      <c r="I543" s="218" t="n"/>
      <c r="J543" s="218" t="n"/>
      <c r="M543" s="218" t="n"/>
      <c r="S543" s="346" t="n"/>
    </row>
    <row r="544">
      <c r="C544" s="346" t="n"/>
      <c r="D544" s="218" t="n"/>
      <c r="H544" s="218" t="n"/>
      <c r="I544" s="218" t="n"/>
      <c r="J544" s="218" t="n"/>
      <c r="M544" s="218" t="n"/>
      <c r="S544" s="346" t="n"/>
    </row>
    <row r="545">
      <c r="C545" s="346" t="n"/>
      <c r="D545" s="218" t="n"/>
      <c r="H545" s="218" t="n"/>
      <c r="I545" s="218" t="n"/>
      <c r="J545" s="218" t="n"/>
      <c r="M545" s="218" t="n"/>
      <c r="S545" s="346" t="n"/>
    </row>
    <row r="546">
      <c r="C546" s="346" t="n"/>
      <c r="D546" s="218" t="n"/>
      <c r="H546" s="218" t="n"/>
      <c r="I546" s="218" t="n"/>
      <c r="J546" s="218" t="n"/>
      <c r="M546" s="218" t="n"/>
      <c r="S546" s="346" t="n"/>
    </row>
    <row r="547">
      <c r="C547" s="346" t="n"/>
      <c r="D547" s="218" t="n"/>
      <c r="H547" s="218" t="n"/>
      <c r="I547" s="218" t="n"/>
      <c r="J547" s="218" t="n"/>
      <c r="M547" s="218" t="n"/>
      <c r="S547" s="346" t="n"/>
    </row>
    <row r="548">
      <c r="C548" s="346" t="n"/>
      <c r="D548" s="218" t="n"/>
      <c r="H548" s="218" t="n"/>
      <c r="I548" s="218" t="n"/>
      <c r="J548" s="218" t="n"/>
      <c r="M548" s="218" t="n"/>
      <c r="S548" s="346" t="n"/>
    </row>
    <row r="549">
      <c r="C549" s="346" t="n"/>
      <c r="D549" s="218" t="n"/>
      <c r="H549" s="218" t="n"/>
      <c r="I549" s="218" t="n"/>
      <c r="J549" s="218" t="n"/>
      <c r="M549" s="218" t="n"/>
      <c r="S549" s="346" t="n"/>
    </row>
    <row r="550">
      <c r="C550" s="346" t="n"/>
      <c r="D550" s="218" t="n"/>
      <c r="H550" s="218" t="n"/>
      <c r="I550" s="218" t="n"/>
      <c r="J550" s="218" t="n"/>
      <c r="M550" s="218" t="n"/>
      <c r="S550" s="346" t="n"/>
    </row>
    <row r="551">
      <c r="C551" s="346" t="n"/>
      <c r="D551" s="218" t="n"/>
      <c r="H551" s="218" t="n"/>
      <c r="I551" s="218" t="n"/>
      <c r="J551" s="218" t="n"/>
      <c r="M551" s="218" t="n"/>
      <c r="S551" s="346" t="n"/>
    </row>
    <row r="552">
      <c r="C552" s="346" t="n"/>
      <c r="D552" s="218" t="n"/>
      <c r="H552" s="218" t="n"/>
      <c r="I552" s="218" t="n"/>
      <c r="J552" s="218" t="n"/>
      <c r="M552" s="218" t="n"/>
      <c r="S552" s="346" t="n"/>
    </row>
    <row r="553">
      <c r="C553" s="346" t="n"/>
      <c r="D553" s="218" t="n"/>
      <c r="H553" s="218" t="n"/>
      <c r="I553" s="218" t="n"/>
      <c r="J553" s="218" t="n"/>
      <c r="M553" s="218" t="n"/>
      <c r="S553" s="346" t="n"/>
    </row>
    <row r="554">
      <c r="C554" s="346" t="n"/>
      <c r="D554" s="218" t="n"/>
      <c r="H554" s="218" t="n"/>
      <c r="I554" s="218" t="n"/>
      <c r="J554" s="218" t="n"/>
      <c r="M554" s="218" t="n"/>
      <c r="S554" s="346" t="n"/>
    </row>
    <row r="555">
      <c r="C555" s="346" t="n"/>
      <c r="D555" s="218" t="n"/>
      <c r="H555" s="218" t="n"/>
      <c r="I555" s="218" t="n"/>
      <c r="J555" s="218" t="n"/>
      <c r="M555" s="218" t="n"/>
      <c r="S555" s="346" t="n"/>
    </row>
    <row r="556">
      <c r="C556" s="346" t="n"/>
      <c r="D556" s="218" t="n"/>
      <c r="H556" s="218" t="n"/>
      <c r="I556" s="218" t="n"/>
      <c r="J556" s="218" t="n"/>
      <c r="M556" s="218" t="n"/>
      <c r="S556" s="346" t="n"/>
    </row>
    <row r="557">
      <c r="C557" s="346" t="n"/>
      <c r="D557" s="218" t="n"/>
      <c r="H557" s="218" t="n"/>
      <c r="I557" s="218" t="n"/>
      <c r="J557" s="218" t="n"/>
      <c r="M557" s="218" t="n"/>
      <c r="S557" s="346" t="n"/>
    </row>
    <row r="558">
      <c r="C558" s="346" t="n"/>
      <c r="D558" s="218" t="n"/>
      <c r="H558" s="218" t="n"/>
      <c r="I558" s="218" t="n"/>
      <c r="J558" s="218" t="n"/>
      <c r="M558" s="218" t="n"/>
      <c r="S558" s="346" t="n"/>
    </row>
    <row r="559">
      <c r="C559" s="346" t="n"/>
      <c r="D559" s="218" t="n"/>
      <c r="H559" s="218" t="n"/>
      <c r="I559" s="218" t="n"/>
      <c r="J559" s="218" t="n"/>
      <c r="M559" s="218" t="n"/>
      <c r="S559" s="346" t="n"/>
    </row>
    <row r="560">
      <c r="C560" s="346" t="n"/>
      <c r="D560" s="218" t="n"/>
      <c r="H560" s="218" t="n"/>
      <c r="I560" s="218" t="n"/>
      <c r="J560" s="218" t="n"/>
      <c r="M560" s="218" t="n"/>
      <c r="S560" s="346" t="n"/>
    </row>
    <row r="561">
      <c r="C561" s="346" t="n"/>
      <c r="D561" s="218" t="n"/>
      <c r="H561" s="218" t="n"/>
      <c r="I561" s="218" t="n"/>
      <c r="J561" s="218" t="n"/>
      <c r="M561" s="218" t="n"/>
      <c r="S561" s="346" t="n"/>
    </row>
    <row r="562">
      <c r="C562" s="346" t="n"/>
      <c r="D562" s="218" t="n"/>
      <c r="H562" s="218" t="n"/>
      <c r="I562" s="218" t="n"/>
      <c r="J562" s="218" t="n"/>
      <c r="M562" s="218" t="n"/>
      <c r="S562" s="346" t="n"/>
    </row>
    <row r="563">
      <c r="C563" s="346" t="n"/>
      <c r="D563" s="218" t="n"/>
      <c r="H563" s="218" t="n"/>
      <c r="I563" s="218" t="n"/>
      <c r="J563" s="218" t="n"/>
      <c r="M563" s="218" t="n"/>
      <c r="S563" s="346" t="n"/>
    </row>
    <row r="564">
      <c r="C564" s="346" t="n"/>
      <c r="D564" s="218" t="n"/>
      <c r="H564" s="218" t="n"/>
      <c r="I564" s="218" t="n"/>
      <c r="J564" s="218" t="n"/>
      <c r="M564" s="218" t="n"/>
      <c r="S564" s="346" t="n"/>
    </row>
    <row r="565">
      <c r="C565" s="346" t="n"/>
      <c r="D565" s="218" t="n"/>
      <c r="H565" s="218" t="n"/>
      <c r="I565" s="218" t="n"/>
      <c r="J565" s="218" t="n"/>
      <c r="M565" s="218" t="n"/>
      <c r="S565" s="346" t="n"/>
    </row>
    <row r="566">
      <c r="C566" s="346" t="n"/>
      <c r="D566" s="218" t="n"/>
      <c r="H566" s="218" t="n"/>
      <c r="I566" s="218" t="n"/>
      <c r="J566" s="218" t="n"/>
      <c r="M566" s="218" t="n"/>
      <c r="S566" s="346" t="n"/>
    </row>
    <row r="567">
      <c r="C567" s="346" t="n"/>
      <c r="D567" s="218" t="n"/>
      <c r="H567" s="218" t="n"/>
      <c r="I567" s="218" t="n"/>
      <c r="J567" s="218" t="n"/>
      <c r="M567" s="218" t="n"/>
      <c r="S567" s="346" t="n"/>
    </row>
    <row r="568">
      <c r="C568" s="346" t="n"/>
      <c r="D568" s="218" t="n"/>
      <c r="H568" s="218" t="n"/>
      <c r="I568" s="218" t="n"/>
      <c r="J568" s="218" t="n"/>
      <c r="M568" s="218" t="n"/>
      <c r="S568" s="346" t="n"/>
    </row>
    <row r="569">
      <c r="C569" s="346" t="n"/>
      <c r="D569" s="218" t="n"/>
      <c r="H569" s="218" t="n"/>
      <c r="I569" s="218" t="n"/>
      <c r="J569" s="218" t="n"/>
      <c r="M569" s="218" t="n"/>
      <c r="S569" s="346" t="n"/>
    </row>
    <row r="570">
      <c r="C570" s="346" t="n"/>
      <c r="D570" s="218" t="n"/>
      <c r="H570" s="218" t="n"/>
      <c r="I570" s="218" t="n"/>
      <c r="J570" s="218" t="n"/>
      <c r="M570" s="218" t="n"/>
      <c r="S570" s="346" t="n"/>
    </row>
    <row r="571">
      <c r="C571" s="346" t="n"/>
      <c r="D571" s="218" t="n"/>
      <c r="H571" s="218" t="n"/>
      <c r="I571" s="218" t="n"/>
      <c r="J571" s="218" t="n"/>
      <c r="M571" s="218" t="n"/>
      <c r="S571" s="346" t="n"/>
    </row>
    <row r="572">
      <c r="C572" s="346" t="n"/>
      <c r="D572" s="218" t="n"/>
      <c r="H572" s="218" t="n"/>
      <c r="I572" s="218" t="n"/>
      <c r="J572" s="218" t="n"/>
      <c r="M572" s="218" t="n"/>
      <c r="S572" s="346" t="n"/>
    </row>
    <row r="573">
      <c r="C573" s="346" t="n"/>
      <c r="D573" s="218" t="n"/>
      <c r="H573" s="218" t="n"/>
      <c r="I573" s="218" t="n"/>
      <c r="J573" s="218" t="n"/>
      <c r="M573" s="218" t="n"/>
      <c r="S573" s="346" t="n"/>
    </row>
    <row r="574">
      <c r="C574" s="346" t="n"/>
      <c r="D574" s="218" t="n"/>
      <c r="H574" s="218" t="n"/>
      <c r="I574" s="218" t="n"/>
      <c r="J574" s="218" t="n"/>
      <c r="M574" s="218" t="n"/>
      <c r="S574" s="346" t="n"/>
    </row>
    <row r="575">
      <c r="C575" s="346" t="n"/>
      <c r="D575" s="218" t="n"/>
      <c r="H575" s="218" t="n"/>
      <c r="I575" s="218" t="n"/>
      <c r="J575" s="218" t="n"/>
      <c r="M575" s="218" t="n"/>
      <c r="S575" s="346" t="n"/>
    </row>
    <row r="576">
      <c r="C576" s="346" t="n"/>
      <c r="D576" s="218" t="n"/>
      <c r="H576" s="218" t="n"/>
      <c r="I576" s="218" t="n"/>
      <c r="J576" s="218" t="n"/>
      <c r="M576" s="218" t="n"/>
      <c r="S576" s="346" t="n"/>
    </row>
    <row r="577">
      <c r="C577" s="346" t="n"/>
      <c r="D577" s="218" t="n"/>
      <c r="H577" s="218" t="n"/>
      <c r="I577" s="218" t="n"/>
      <c r="J577" s="218" t="n"/>
      <c r="M577" s="218" t="n"/>
      <c r="S577" s="346" t="n"/>
    </row>
    <row r="578">
      <c r="C578" s="346" t="n"/>
      <c r="D578" s="218" t="n"/>
      <c r="H578" s="218" t="n"/>
      <c r="I578" s="218" t="n"/>
      <c r="J578" s="218" t="n"/>
      <c r="M578" s="218" t="n"/>
      <c r="S578" s="346" t="n"/>
    </row>
    <row r="579">
      <c r="C579" s="346" t="n"/>
      <c r="D579" s="218" t="n"/>
      <c r="H579" s="218" t="n"/>
      <c r="I579" s="218" t="n"/>
      <c r="J579" s="218" t="n"/>
      <c r="M579" s="218" t="n"/>
      <c r="S579" s="346" t="n"/>
    </row>
    <row r="580">
      <c r="C580" s="346" t="n"/>
      <c r="D580" s="218" t="n"/>
      <c r="H580" s="218" t="n"/>
      <c r="I580" s="218" t="n"/>
      <c r="J580" s="218" t="n"/>
      <c r="M580" s="218" t="n"/>
      <c r="S580" s="346" t="n"/>
    </row>
    <row r="581">
      <c r="C581" s="346" t="n"/>
      <c r="D581" s="218" t="n"/>
      <c r="H581" s="218" t="n"/>
      <c r="I581" s="218" t="n"/>
      <c r="J581" s="218" t="n"/>
      <c r="M581" s="218" t="n"/>
      <c r="S581" s="346" t="n"/>
    </row>
    <row r="582">
      <c r="C582" s="346" t="n"/>
      <c r="D582" s="218" t="n"/>
      <c r="H582" s="218" t="n"/>
      <c r="I582" s="218" t="n"/>
      <c r="J582" s="218" t="n"/>
      <c r="M582" s="218" t="n"/>
      <c r="S582" s="346" t="n"/>
    </row>
    <row r="583">
      <c r="C583" s="346" t="n"/>
      <c r="D583" s="218" t="n"/>
      <c r="H583" s="218" t="n"/>
      <c r="I583" s="218" t="n"/>
      <c r="J583" s="218" t="n"/>
      <c r="M583" s="218" t="n"/>
      <c r="S583" s="346" t="n"/>
    </row>
    <row r="584">
      <c r="C584" s="346" t="n"/>
      <c r="D584" s="218" t="n"/>
      <c r="H584" s="218" t="n"/>
      <c r="I584" s="218" t="n"/>
      <c r="J584" s="218" t="n"/>
      <c r="M584" s="218" t="n"/>
      <c r="S584" s="346" t="n"/>
    </row>
    <row r="585">
      <c r="C585" s="346" t="n"/>
      <c r="D585" s="218" t="n"/>
      <c r="H585" s="218" t="n"/>
      <c r="I585" s="218" t="n"/>
      <c r="J585" s="218" t="n"/>
      <c r="M585" s="218" t="n"/>
      <c r="S585" s="346" t="n"/>
    </row>
    <row r="586">
      <c r="C586" s="346" t="n"/>
      <c r="D586" s="218" t="n"/>
      <c r="H586" s="218" t="n"/>
      <c r="I586" s="218" t="n"/>
      <c r="J586" s="218" t="n"/>
      <c r="M586" s="218" t="n"/>
      <c r="S586" s="346" t="n"/>
    </row>
    <row r="587">
      <c r="C587" s="346" t="n"/>
      <c r="D587" s="218" t="n"/>
      <c r="H587" s="218" t="n"/>
      <c r="I587" s="218" t="n"/>
      <c r="J587" s="218" t="n"/>
      <c r="M587" s="218" t="n"/>
      <c r="S587" s="346" t="n"/>
    </row>
    <row r="588">
      <c r="C588" s="346" t="n"/>
      <c r="D588" s="218" t="n"/>
      <c r="H588" s="218" t="n"/>
      <c r="I588" s="218" t="n"/>
      <c r="J588" s="218" t="n"/>
      <c r="M588" s="218" t="n"/>
      <c r="S588" s="346" t="n"/>
    </row>
    <row r="589">
      <c r="C589" s="346" t="n"/>
      <c r="D589" s="218" t="n"/>
      <c r="H589" s="218" t="n"/>
      <c r="I589" s="218" t="n"/>
      <c r="J589" s="218" t="n"/>
      <c r="M589" s="218" t="n"/>
      <c r="S589" s="346" t="n"/>
    </row>
    <row r="590">
      <c r="C590" s="346" t="n"/>
      <c r="D590" s="218" t="n"/>
      <c r="H590" s="218" t="n"/>
      <c r="I590" s="218" t="n"/>
      <c r="J590" s="218" t="n"/>
      <c r="M590" s="218" t="n"/>
      <c r="S590" s="346" t="n"/>
    </row>
    <row r="591">
      <c r="C591" s="346" t="n"/>
      <c r="D591" s="218" t="n"/>
      <c r="H591" s="218" t="n"/>
      <c r="I591" s="218" t="n"/>
      <c r="J591" s="218" t="n"/>
      <c r="M591" s="218" t="n"/>
      <c r="S591" s="346" t="n"/>
    </row>
    <row r="592">
      <c r="C592" s="346" t="n"/>
      <c r="D592" s="218" t="n"/>
      <c r="H592" s="218" t="n"/>
      <c r="I592" s="218" t="n"/>
      <c r="J592" s="218" t="n"/>
      <c r="M592" s="218" t="n"/>
      <c r="S592" s="346" t="n"/>
    </row>
    <row r="593">
      <c r="C593" s="346" t="n"/>
      <c r="D593" s="218" t="n"/>
      <c r="H593" s="218" t="n"/>
      <c r="I593" s="218" t="n"/>
      <c r="J593" s="218" t="n"/>
      <c r="M593" s="218" t="n"/>
      <c r="S593" s="346" t="n"/>
    </row>
    <row r="594">
      <c r="C594" s="346" t="n"/>
      <c r="D594" s="218" t="n"/>
      <c r="H594" s="218" t="n"/>
      <c r="I594" s="218" t="n"/>
      <c r="J594" s="218" t="n"/>
      <c r="M594" s="218" t="n"/>
      <c r="S594" s="346" t="n"/>
    </row>
    <row r="595">
      <c r="C595" s="346" t="n"/>
      <c r="D595" s="218" t="n"/>
      <c r="H595" s="218" t="n"/>
      <c r="I595" s="218" t="n"/>
      <c r="J595" s="218" t="n"/>
      <c r="M595" s="218" t="n"/>
      <c r="S595" s="346" t="n"/>
    </row>
    <row r="596">
      <c r="C596" s="346" t="n"/>
      <c r="D596" s="218" t="n"/>
      <c r="H596" s="218" t="n"/>
      <c r="I596" s="218" t="n"/>
      <c r="J596" s="218" t="n"/>
      <c r="M596" s="218" t="n"/>
      <c r="S596" s="346" t="n"/>
    </row>
    <row r="597">
      <c r="C597" s="346" t="n"/>
      <c r="D597" s="218" t="n"/>
      <c r="H597" s="218" t="n"/>
      <c r="I597" s="218" t="n"/>
      <c r="J597" s="218" t="n"/>
      <c r="M597" s="218" t="n"/>
      <c r="S597" s="346" t="n"/>
    </row>
    <row r="598">
      <c r="C598" s="346" t="n"/>
      <c r="D598" s="218" t="n"/>
      <c r="H598" s="218" t="n"/>
      <c r="I598" s="218" t="n"/>
      <c r="J598" s="218" t="n"/>
      <c r="M598" s="218" t="n"/>
      <c r="S598" s="346" t="n"/>
    </row>
    <row r="599">
      <c r="C599" s="346" t="n"/>
      <c r="D599" s="218" t="n"/>
      <c r="H599" s="218" t="n"/>
      <c r="I599" s="218" t="n"/>
      <c r="J599" s="218" t="n"/>
      <c r="M599" s="218" t="n"/>
      <c r="S599" s="346" t="n"/>
    </row>
    <row r="600">
      <c r="C600" s="346" t="n"/>
      <c r="D600" s="218" t="n"/>
      <c r="H600" s="218" t="n"/>
      <c r="I600" s="218" t="n"/>
      <c r="J600" s="218" t="n"/>
      <c r="M600" s="218" t="n"/>
      <c r="S600" s="346" t="n"/>
    </row>
    <row r="601">
      <c r="C601" s="346" t="n"/>
      <c r="D601" s="218" t="n"/>
      <c r="H601" s="218" t="n"/>
      <c r="I601" s="218" t="n"/>
      <c r="J601" s="218" t="n"/>
      <c r="M601" s="218" t="n"/>
      <c r="S601" s="346" t="n"/>
    </row>
    <row r="602">
      <c r="C602" s="346" t="n"/>
      <c r="D602" s="218" t="n"/>
      <c r="H602" s="218" t="n"/>
      <c r="I602" s="218" t="n"/>
      <c r="J602" s="218" t="n"/>
      <c r="M602" s="218" t="n"/>
      <c r="S602" s="346" t="n"/>
    </row>
    <row r="603">
      <c r="C603" s="346" t="n"/>
      <c r="D603" s="218" t="n"/>
      <c r="H603" s="218" t="n"/>
      <c r="I603" s="218" t="n"/>
      <c r="J603" s="218" t="n"/>
      <c r="M603" s="218" t="n"/>
      <c r="S603" s="346" t="n"/>
    </row>
    <row r="604">
      <c r="C604" s="346" t="n"/>
      <c r="D604" s="218" t="n"/>
      <c r="H604" s="218" t="n"/>
      <c r="I604" s="218" t="n"/>
      <c r="J604" s="218" t="n"/>
      <c r="M604" s="218" t="n"/>
      <c r="S604" s="346" t="n"/>
    </row>
    <row r="605">
      <c r="C605" s="346" t="n"/>
      <c r="D605" s="218" t="n"/>
      <c r="H605" s="218" t="n"/>
      <c r="I605" s="218" t="n"/>
      <c r="J605" s="218" t="n"/>
      <c r="M605" s="218" t="n"/>
      <c r="S605" s="346" t="n"/>
    </row>
    <row r="606">
      <c r="C606" s="346" t="n"/>
      <c r="D606" s="218" t="n"/>
      <c r="H606" s="218" t="n"/>
      <c r="I606" s="218" t="n"/>
      <c r="J606" s="218" t="n"/>
      <c r="M606" s="218" t="n"/>
      <c r="S606" s="346" t="n"/>
    </row>
    <row r="607">
      <c r="C607" s="346" t="n"/>
      <c r="D607" s="218" t="n"/>
      <c r="H607" s="218" t="n"/>
      <c r="I607" s="218" t="n"/>
      <c r="J607" s="218" t="n"/>
      <c r="M607" s="218" t="n"/>
      <c r="S607" s="346" t="n"/>
    </row>
    <row r="608">
      <c r="C608" s="346" t="n"/>
      <c r="D608" s="218" t="n"/>
      <c r="H608" s="218" t="n"/>
      <c r="I608" s="218" t="n"/>
      <c r="J608" s="218" t="n"/>
      <c r="M608" s="218" t="n"/>
      <c r="S608" s="346" t="n"/>
    </row>
    <row r="609">
      <c r="C609" s="346" t="n"/>
      <c r="D609" s="218" t="n"/>
      <c r="H609" s="218" t="n"/>
      <c r="I609" s="218" t="n"/>
      <c r="J609" s="218" t="n"/>
      <c r="M609" s="218" t="n"/>
      <c r="S609" s="346" t="n"/>
    </row>
    <row r="610">
      <c r="C610" s="346" t="n"/>
      <c r="D610" s="218" t="n"/>
      <c r="H610" s="218" t="n"/>
      <c r="I610" s="218" t="n"/>
      <c r="J610" s="218" t="n"/>
      <c r="M610" s="218" t="n"/>
      <c r="S610" s="346" t="n"/>
    </row>
    <row r="611">
      <c r="C611" s="346" t="n"/>
      <c r="D611" s="218" t="n"/>
      <c r="H611" s="218" t="n"/>
      <c r="I611" s="218" t="n"/>
      <c r="J611" s="218" t="n"/>
      <c r="M611" s="218" t="n"/>
      <c r="S611" s="346" t="n"/>
    </row>
    <row r="612">
      <c r="C612" s="346" t="n"/>
      <c r="D612" s="218" t="n"/>
      <c r="H612" s="218" t="n"/>
      <c r="I612" s="218" t="n"/>
      <c r="J612" s="218" t="n"/>
      <c r="M612" s="218" t="n"/>
      <c r="S612" s="346" t="n"/>
    </row>
    <row r="613">
      <c r="C613" s="346" t="n"/>
      <c r="D613" s="218" t="n"/>
      <c r="H613" s="218" t="n"/>
      <c r="I613" s="218" t="n"/>
      <c r="J613" s="218" t="n"/>
      <c r="M613" s="218" t="n"/>
      <c r="S613" s="346" t="n"/>
    </row>
    <row r="614">
      <c r="C614" s="346" t="n"/>
      <c r="D614" s="218" t="n"/>
      <c r="H614" s="218" t="n"/>
      <c r="I614" s="218" t="n"/>
      <c r="J614" s="218" t="n"/>
      <c r="M614" s="218" t="n"/>
      <c r="S614" s="346" t="n"/>
    </row>
    <row r="615">
      <c r="C615" s="346" t="n"/>
      <c r="D615" s="218" t="n"/>
      <c r="H615" s="218" t="n"/>
      <c r="I615" s="218" t="n"/>
      <c r="J615" s="218" t="n"/>
      <c r="M615" s="218" t="n"/>
      <c r="S615" s="346" t="n"/>
    </row>
    <row r="616">
      <c r="C616" s="346" t="n"/>
      <c r="D616" s="218" t="n"/>
      <c r="H616" s="218" t="n"/>
      <c r="I616" s="218" t="n"/>
      <c r="J616" s="218" t="n"/>
      <c r="M616" s="218" t="n"/>
      <c r="S616" s="346" t="n"/>
    </row>
    <row r="617">
      <c r="C617" s="346" t="n"/>
      <c r="D617" s="218" t="n"/>
      <c r="H617" s="218" t="n"/>
      <c r="I617" s="218" t="n"/>
      <c r="J617" s="218" t="n"/>
      <c r="M617" s="218" t="n"/>
      <c r="S617" s="346" t="n"/>
    </row>
    <row r="618">
      <c r="C618" s="346" t="n"/>
      <c r="D618" s="218" t="n"/>
      <c r="H618" s="218" t="n"/>
      <c r="I618" s="218" t="n"/>
      <c r="J618" s="218" t="n"/>
      <c r="M618" s="218" t="n"/>
      <c r="S618" s="346" t="n"/>
    </row>
    <row r="619">
      <c r="C619" s="346" t="n"/>
      <c r="D619" s="218" t="n"/>
      <c r="H619" s="218" t="n"/>
      <c r="I619" s="218" t="n"/>
      <c r="J619" s="218" t="n"/>
      <c r="M619" s="218" t="n"/>
      <c r="S619" s="346" t="n"/>
    </row>
    <row r="620">
      <c r="C620" s="346" t="n"/>
      <c r="D620" s="218" t="n"/>
      <c r="H620" s="218" t="n"/>
      <c r="I620" s="218" t="n"/>
      <c r="J620" s="218" t="n"/>
      <c r="M620" s="218" t="n"/>
      <c r="S620" s="346" t="n"/>
    </row>
    <row r="621">
      <c r="C621" s="346" t="n"/>
      <c r="D621" s="218" t="n"/>
      <c r="H621" s="218" t="n"/>
      <c r="I621" s="218" t="n"/>
      <c r="J621" s="218" t="n"/>
      <c r="M621" s="218" t="n"/>
      <c r="S621" s="346" t="n"/>
    </row>
    <row r="622">
      <c r="C622" s="346" t="n"/>
      <c r="D622" s="218" t="n"/>
      <c r="H622" s="218" t="n"/>
      <c r="I622" s="218" t="n"/>
      <c r="J622" s="218" t="n"/>
      <c r="M622" s="218" t="n"/>
      <c r="S622" s="346" t="n"/>
    </row>
    <row r="623">
      <c r="C623" s="346" t="n"/>
      <c r="D623" s="218" t="n"/>
      <c r="H623" s="218" t="n"/>
      <c r="I623" s="218" t="n"/>
      <c r="J623" s="218" t="n"/>
      <c r="M623" s="218" t="n"/>
      <c r="S623" s="346" t="n"/>
    </row>
    <row r="624">
      <c r="C624" s="346" t="n"/>
      <c r="D624" s="218" t="n"/>
      <c r="H624" s="218" t="n"/>
      <c r="I624" s="218" t="n"/>
      <c r="J624" s="218" t="n"/>
      <c r="M624" s="218" t="n"/>
      <c r="S624" s="346" t="n"/>
    </row>
    <row r="625">
      <c r="C625" s="346" t="n"/>
      <c r="D625" s="218" t="n"/>
      <c r="H625" s="218" t="n"/>
      <c r="I625" s="218" t="n"/>
      <c r="J625" s="218" t="n"/>
      <c r="M625" s="218" t="n"/>
      <c r="S625" s="346" t="n"/>
    </row>
    <row r="626">
      <c r="C626" s="346" t="n"/>
      <c r="D626" s="218" t="n"/>
      <c r="H626" s="218" t="n"/>
      <c r="I626" s="218" t="n"/>
      <c r="J626" s="218" t="n"/>
      <c r="M626" s="218" t="n"/>
      <c r="S626" s="346" t="n"/>
    </row>
    <row r="627">
      <c r="C627" s="346" t="n"/>
      <c r="D627" s="218" t="n"/>
      <c r="H627" s="218" t="n"/>
      <c r="I627" s="218" t="n"/>
      <c r="J627" s="218" t="n"/>
      <c r="M627" s="218" t="n"/>
      <c r="S627" s="346" t="n"/>
    </row>
    <row r="628">
      <c r="C628" s="346" t="n"/>
      <c r="D628" s="218" t="n"/>
      <c r="H628" s="218" t="n"/>
      <c r="I628" s="218" t="n"/>
      <c r="J628" s="218" t="n"/>
      <c r="M628" s="218" t="n"/>
      <c r="S628" s="346" t="n"/>
    </row>
    <row r="629">
      <c r="C629" s="346" t="n"/>
      <c r="D629" s="218" t="n"/>
      <c r="H629" s="218" t="n"/>
      <c r="I629" s="218" t="n"/>
      <c r="J629" s="218" t="n"/>
      <c r="M629" s="218" t="n"/>
      <c r="S629" s="346" t="n"/>
    </row>
    <row r="630">
      <c r="C630" s="346" t="n"/>
      <c r="D630" s="218" t="n"/>
      <c r="H630" s="218" t="n"/>
      <c r="I630" s="218" t="n"/>
      <c r="J630" s="218" t="n"/>
      <c r="M630" s="218" t="n"/>
      <c r="S630" s="346" t="n"/>
    </row>
    <row r="631">
      <c r="C631" s="346" t="n"/>
      <c r="D631" s="218" t="n"/>
      <c r="H631" s="218" t="n"/>
      <c r="I631" s="218" t="n"/>
      <c r="J631" s="218" t="n"/>
      <c r="M631" s="218" t="n"/>
      <c r="S631" s="346" t="n"/>
    </row>
    <row r="632">
      <c r="C632" s="346" t="n"/>
      <c r="D632" s="218" t="n"/>
      <c r="H632" s="218" t="n"/>
      <c r="I632" s="218" t="n"/>
      <c r="J632" s="218" t="n"/>
      <c r="M632" s="218" t="n"/>
      <c r="S632" s="346" t="n"/>
    </row>
    <row r="633">
      <c r="C633" s="346" t="n"/>
      <c r="D633" s="218" t="n"/>
      <c r="H633" s="218" t="n"/>
      <c r="I633" s="218" t="n"/>
      <c r="J633" s="218" t="n"/>
      <c r="M633" s="218" t="n"/>
      <c r="S633" s="346" t="n"/>
    </row>
    <row r="634">
      <c r="C634" s="346" t="n"/>
      <c r="D634" s="218" t="n"/>
      <c r="H634" s="218" t="n"/>
      <c r="I634" s="218" t="n"/>
      <c r="J634" s="218" t="n"/>
      <c r="M634" s="218" t="n"/>
      <c r="S634" s="346" t="n"/>
    </row>
    <row r="635">
      <c r="C635" s="346" t="n"/>
      <c r="D635" s="218" t="n"/>
      <c r="H635" s="218" t="n"/>
      <c r="I635" s="218" t="n"/>
      <c r="J635" s="218" t="n"/>
      <c r="M635" s="218" t="n"/>
      <c r="S635" s="346" t="n"/>
    </row>
    <row r="636">
      <c r="C636" s="346" t="n"/>
      <c r="D636" s="218" t="n"/>
      <c r="H636" s="218" t="n"/>
      <c r="I636" s="218" t="n"/>
      <c r="J636" s="218" t="n"/>
      <c r="M636" s="218" t="n"/>
      <c r="S636" s="346" t="n"/>
    </row>
    <row r="637">
      <c r="C637" s="346" t="n"/>
      <c r="D637" s="218" t="n"/>
      <c r="H637" s="218" t="n"/>
      <c r="I637" s="218" t="n"/>
      <c r="J637" s="218" t="n"/>
      <c r="M637" s="218" t="n"/>
      <c r="S637" s="346" t="n"/>
    </row>
    <row r="638">
      <c r="C638" s="346" t="n"/>
      <c r="D638" s="218" t="n"/>
      <c r="H638" s="218" t="n"/>
      <c r="I638" s="218" t="n"/>
      <c r="J638" s="218" t="n"/>
      <c r="M638" s="218" t="n"/>
      <c r="S638" s="346" t="n"/>
    </row>
    <row r="639">
      <c r="C639" s="346" t="n"/>
      <c r="D639" s="218" t="n"/>
      <c r="H639" s="218" t="n"/>
      <c r="I639" s="218" t="n"/>
      <c r="J639" s="218" t="n"/>
      <c r="M639" s="218" t="n"/>
      <c r="S639" s="346" t="n"/>
    </row>
    <row r="640">
      <c r="C640" s="346" t="n"/>
      <c r="D640" s="218" t="n"/>
      <c r="H640" s="218" t="n"/>
      <c r="I640" s="218" t="n"/>
      <c r="J640" s="218" t="n"/>
      <c r="M640" s="218" t="n"/>
      <c r="S640" s="346" t="n"/>
    </row>
    <row r="641">
      <c r="C641" s="346" t="n"/>
      <c r="D641" s="218" t="n"/>
      <c r="H641" s="218" t="n"/>
      <c r="I641" s="218" t="n"/>
      <c r="J641" s="218" t="n"/>
      <c r="M641" s="218" t="n"/>
      <c r="S641" s="346" t="n"/>
    </row>
    <row r="642">
      <c r="C642" s="346" t="n"/>
      <c r="D642" s="218" t="n"/>
      <c r="H642" s="218" t="n"/>
      <c r="I642" s="218" t="n"/>
      <c r="J642" s="218" t="n"/>
      <c r="M642" s="218" t="n"/>
      <c r="S642" s="346" t="n"/>
    </row>
    <row r="643">
      <c r="C643" s="346" t="n"/>
      <c r="D643" s="218" t="n"/>
      <c r="H643" s="218" t="n"/>
      <c r="I643" s="218" t="n"/>
      <c r="J643" s="218" t="n"/>
      <c r="M643" s="218" t="n"/>
      <c r="S643" s="346" t="n"/>
    </row>
    <row r="644">
      <c r="C644" s="346" t="n"/>
      <c r="D644" s="218" t="n"/>
      <c r="H644" s="218" t="n"/>
      <c r="I644" s="218" t="n"/>
      <c r="J644" s="218" t="n"/>
      <c r="M644" s="218" t="n"/>
      <c r="S644" s="346" t="n"/>
    </row>
    <row r="645">
      <c r="C645" s="346" t="n"/>
      <c r="D645" s="218" t="n"/>
      <c r="H645" s="218" t="n"/>
      <c r="I645" s="218" t="n"/>
      <c r="J645" s="218" t="n"/>
      <c r="M645" s="218" t="n"/>
      <c r="S645" s="346" t="n"/>
    </row>
    <row r="646">
      <c r="C646" s="346" t="n"/>
      <c r="D646" s="218" t="n"/>
      <c r="H646" s="218" t="n"/>
      <c r="I646" s="218" t="n"/>
      <c r="J646" s="218" t="n"/>
      <c r="M646" s="218" t="n"/>
      <c r="S646" s="346" t="n"/>
    </row>
    <row r="647">
      <c r="C647" s="346" t="n"/>
      <c r="D647" s="218" t="n"/>
      <c r="H647" s="218" t="n"/>
      <c r="I647" s="218" t="n"/>
      <c r="J647" s="218" t="n"/>
      <c r="M647" s="218" t="n"/>
      <c r="S647" s="346" t="n"/>
    </row>
    <row r="648">
      <c r="C648" s="346" t="n"/>
      <c r="D648" s="218" t="n"/>
      <c r="H648" s="218" t="n"/>
      <c r="I648" s="218" t="n"/>
      <c r="J648" s="218" t="n"/>
      <c r="M648" s="218" t="n"/>
      <c r="S648" s="346" t="n"/>
    </row>
    <row r="649">
      <c r="C649" s="346" t="n"/>
      <c r="D649" s="218" t="n"/>
      <c r="H649" s="218" t="n"/>
      <c r="I649" s="218" t="n"/>
      <c r="J649" s="218" t="n"/>
      <c r="M649" s="218" t="n"/>
      <c r="S649" s="346" t="n"/>
    </row>
    <row r="650">
      <c r="C650" s="346" t="n"/>
      <c r="D650" s="218" t="n"/>
      <c r="H650" s="218" t="n"/>
      <c r="I650" s="218" t="n"/>
      <c r="J650" s="218" t="n"/>
      <c r="M650" s="218" t="n"/>
      <c r="S650" s="346" t="n"/>
    </row>
    <row r="651">
      <c r="C651" s="346" t="n"/>
      <c r="D651" s="218" t="n"/>
      <c r="H651" s="218" t="n"/>
      <c r="I651" s="218" t="n"/>
      <c r="J651" s="218" t="n"/>
      <c r="M651" s="218" t="n"/>
      <c r="S651" s="346" t="n"/>
    </row>
    <row r="652">
      <c r="C652" s="346" t="n"/>
      <c r="D652" s="218" t="n"/>
      <c r="H652" s="218" t="n"/>
      <c r="I652" s="218" t="n"/>
      <c r="J652" s="218" t="n"/>
      <c r="M652" s="218" t="n"/>
      <c r="S652" s="346" t="n"/>
    </row>
    <row r="653">
      <c r="C653" s="346" t="n"/>
      <c r="D653" s="218" t="n"/>
      <c r="H653" s="218" t="n"/>
      <c r="I653" s="218" t="n"/>
      <c r="J653" s="218" t="n"/>
      <c r="M653" s="218" t="n"/>
      <c r="S653" s="346" t="n"/>
    </row>
    <row r="654">
      <c r="C654" s="346" t="n"/>
      <c r="D654" s="218" t="n"/>
      <c r="H654" s="218" t="n"/>
      <c r="I654" s="218" t="n"/>
      <c r="J654" s="218" t="n"/>
      <c r="M654" s="218" t="n"/>
      <c r="S654" s="346" t="n"/>
    </row>
    <row r="655">
      <c r="C655" s="346" t="n"/>
      <c r="D655" s="218" t="n"/>
      <c r="H655" s="218" t="n"/>
      <c r="I655" s="218" t="n"/>
      <c r="J655" s="218" t="n"/>
      <c r="M655" s="218" t="n"/>
      <c r="S655" s="346" t="n"/>
    </row>
    <row r="656">
      <c r="C656" s="346" t="n"/>
      <c r="D656" s="218" t="n"/>
      <c r="H656" s="218" t="n"/>
      <c r="I656" s="218" t="n"/>
      <c r="J656" s="218" t="n"/>
      <c r="M656" s="218" t="n"/>
      <c r="S656" s="346" t="n"/>
    </row>
    <row r="657">
      <c r="C657" s="346" t="n"/>
      <c r="D657" s="218" t="n"/>
      <c r="H657" s="218" t="n"/>
      <c r="I657" s="218" t="n"/>
      <c r="J657" s="218" t="n"/>
      <c r="M657" s="218" t="n"/>
      <c r="S657" s="346" t="n"/>
    </row>
    <row r="658">
      <c r="C658" s="346" t="n"/>
      <c r="D658" s="218" t="n"/>
      <c r="H658" s="218" t="n"/>
      <c r="I658" s="218" t="n"/>
      <c r="J658" s="218" t="n"/>
      <c r="M658" s="218" t="n"/>
      <c r="S658" s="346" t="n"/>
    </row>
    <row r="659">
      <c r="C659" s="346" t="n"/>
      <c r="D659" s="218" t="n"/>
      <c r="H659" s="218" t="n"/>
      <c r="I659" s="218" t="n"/>
      <c r="J659" s="218" t="n"/>
      <c r="M659" s="218" t="n"/>
      <c r="S659" s="346" t="n"/>
    </row>
    <row r="660">
      <c r="C660" s="346" t="n"/>
      <c r="D660" s="218" t="n"/>
      <c r="H660" s="218" t="n"/>
      <c r="I660" s="218" t="n"/>
      <c r="J660" s="218" t="n"/>
      <c r="M660" s="218" t="n"/>
      <c r="S660" s="346" t="n"/>
    </row>
    <row r="661">
      <c r="C661" s="346" t="n"/>
      <c r="D661" s="218" t="n"/>
      <c r="H661" s="218" t="n"/>
      <c r="I661" s="218" t="n"/>
      <c r="J661" s="218" t="n"/>
      <c r="M661" s="218" t="n"/>
      <c r="S661" s="346" t="n"/>
    </row>
    <row r="662">
      <c r="C662" s="346" t="n"/>
      <c r="D662" s="218" t="n"/>
      <c r="H662" s="218" t="n"/>
      <c r="I662" s="218" t="n"/>
      <c r="J662" s="218" t="n"/>
      <c r="M662" s="218" t="n"/>
      <c r="S662" s="346" t="n"/>
    </row>
    <row r="663">
      <c r="C663" s="346" t="n"/>
      <c r="D663" s="218" t="n"/>
      <c r="H663" s="218" t="n"/>
      <c r="I663" s="218" t="n"/>
      <c r="J663" s="218" t="n"/>
      <c r="M663" s="218" t="n"/>
      <c r="S663" s="346" t="n"/>
    </row>
    <row r="664">
      <c r="C664" s="346" t="n"/>
      <c r="D664" s="218" t="n"/>
      <c r="H664" s="218" t="n"/>
      <c r="I664" s="218" t="n"/>
      <c r="J664" s="218" t="n"/>
      <c r="M664" s="218" t="n"/>
      <c r="S664" s="346" t="n"/>
    </row>
    <row r="665">
      <c r="C665" s="346" t="n"/>
      <c r="D665" s="218" t="n"/>
      <c r="H665" s="218" t="n"/>
      <c r="I665" s="218" t="n"/>
      <c r="J665" s="218" t="n"/>
      <c r="M665" s="218" t="n"/>
      <c r="S665" s="346" t="n"/>
    </row>
    <row r="666">
      <c r="C666" s="346" t="n"/>
      <c r="D666" s="218" t="n"/>
      <c r="H666" s="218" t="n"/>
      <c r="I666" s="218" t="n"/>
      <c r="J666" s="218" t="n"/>
      <c r="M666" s="218" t="n"/>
      <c r="S666" s="346" t="n"/>
    </row>
    <row r="667">
      <c r="C667" s="346" t="n"/>
      <c r="D667" s="218" t="n"/>
      <c r="H667" s="218" t="n"/>
      <c r="I667" s="218" t="n"/>
      <c r="J667" s="218" t="n"/>
      <c r="M667" s="218" t="n"/>
      <c r="S667" s="346" t="n"/>
    </row>
    <row r="668">
      <c r="C668" s="346" t="n"/>
      <c r="D668" s="218" t="n"/>
      <c r="H668" s="218" t="n"/>
      <c r="I668" s="218" t="n"/>
      <c r="J668" s="218" t="n"/>
      <c r="M668" s="218" t="n"/>
      <c r="S668" s="346" t="n"/>
    </row>
    <row r="669">
      <c r="C669" s="346" t="n"/>
      <c r="D669" s="218" t="n"/>
      <c r="H669" s="218" t="n"/>
      <c r="I669" s="218" t="n"/>
      <c r="J669" s="218" t="n"/>
      <c r="M669" s="218" t="n"/>
      <c r="S669" s="346" t="n"/>
    </row>
    <row r="670">
      <c r="C670" s="346" t="n"/>
      <c r="D670" s="218" t="n"/>
      <c r="H670" s="218" t="n"/>
      <c r="I670" s="218" t="n"/>
      <c r="J670" s="218" t="n"/>
      <c r="M670" s="218" t="n"/>
      <c r="S670" s="346" t="n"/>
    </row>
    <row r="671">
      <c r="C671" s="346" t="n"/>
      <c r="D671" s="218" t="n"/>
      <c r="H671" s="218" t="n"/>
      <c r="I671" s="218" t="n"/>
      <c r="J671" s="218" t="n"/>
      <c r="M671" s="218" t="n"/>
      <c r="S671" s="346" t="n"/>
    </row>
    <row r="672">
      <c r="C672" s="346" t="n"/>
      <c r="D672" s="218" t="n"/>
      <c r="H672" s="218" t="n"/>
      <c r="I672" s="218" t="n"/>
      <c r="J672" s="218" t="n"/>
      <c r="M672" s="218" t="n"/>
      <c r="S672" s="346" t="n"/>
    </row>
    <row r="673">
      <c r="C673" s="346" t="n"/>
      <c r="D673" s="218" t="n"/>
      <c r="H673" s="218" t="n"/>
      <c r="I673" s="218" t="n"/>
      <c r="J673" s="218" t="n"/>
      <c r="M673" s="218" t="n"/>
      <c r="S673" s="346" t="n"/>
    </row>
    <row r="674">
      <c r="C674" s="346" t="n"/>
      <c r="D674" s="218" t="n"/>
      <c r="H674" s="218" t="n"/>
      <c r="I674" s="218" t="n"/>
      <c r="J674" s="218" t="n"/>
      <c r="M674" s="218" t="n"/>
      <c r="S674" s="346" t="n"/>
    </row>
    <row r="675">
      <c r="C675" s="346" t="n"/>
      <c r="D675" s="218" t="n"/>
      <c r="H675" s="218" t="n"/>
      <c r="I675" s="218" t="n"/>
      <c r="J675" s="218" t="n"/>
      <c r="M675" s="218" t="n"/>
      <c r="S675" s="346" t="n"/>
    </row>
    <row r="676">
      <c r="C676" s="346" t="n"/>
      <c r="D676" s="218" t="n"/>
      <c r="H676" s="218" t="n"/>
      <c r="I676" s="218" t="n"/>
      <c r="J676" s="218" t="n"/>
      <c r="M676" s="218" t="n"/>
      <c r="S676" s="346" t="n"/>
    </row>
    <row r="677">
      <c r="C677" s="346" t="n"/>
      <c r="D677" s="218" t="n"/>
      <c r="H677" s="218" t="n"/>
      <c r="I677" s="218" t="n"/>
      <c r="J677" s="218" t="n"/>
      <c r="M677" s="218" t="n"/>
      <c r="S677" s="346" t="n"/>
    </row>
    <row r="678">
      <c r="C678" s="346" t="n"/>
      <c r="D678" s="218" t="n"/>
      <c r="H678" s="218" t="n"/>
      <c r="I678" s="218" t="n"/>
      <c r="J678" s="218" t="n"/>
      <c r="M678" s="218" t="n"/>
      <c r="S678" s="346" t="n"/>
    </row>
    <row r="679">
      <c r="C679" s="346" t="n"/>
      <c r="D679" s="218" t="n"/>
      <c r="H679" s="218" t="n"/>
      <c r="I679" s="218" t="n"/>
      <c r="J679" s="218" t="n"/>
      <c r="M679" s="218" t="n"/>
      <c r="S679" s="346" t="n"/>
    </row>
    <row r="680">
      <c r="C680" s="346" t="n"/>
      <c r="D680" s="218" t="n"/>
      <c r="H680" s="218" t="n"/>
      <c r="I680" s="218" t="n"/>
      <c r="J680" s="218" t="n"/>
      <c r="M680" s="218" t="n"/>
      <c r="S680" s="346" t="n"/>
    </row>
    <row r="681">
      <c r="C681" s="346" t="n"/>
      <c r="D681" s="218" t="n"/>
      <c r="H681" s="218" t="n"/>
      <c r="I681" s="218" t="n"/>
      <c r="J681" s="218" t="n"/>
      <c r="M681" s="218" t="n"/>
      <c r="S681" s="346" t="n"/>
    </row>
    <row r="682">
      <c r="C682" s="346" t="n"/>
      <c r="D682" s="218" t="n"/>
      <c r="H682" s="218" t="n"/>
      <c r="I682" s="218" t="n"/>
      <c r="J682" s="218" t="n"/>
      <c r="M682" s="218" t="n"/>
      <c r="S682" s="346" t="n"/>
    </row>
    <row r="683">
      <c r="C683" s="346" t="n"/>
      <c r="D683" s="218" t="n"/>
      <c r="H683" s="218" t="n"/>
      <c r="I683" s="218" t="n"/>
      <c r="J683" s="218" t="n"/>
      <c r="M683" s="218" t="n"/>
      <c r="S683" s="346" t="n"/>
    </row>
    <row r="684">
      <c r="C684" s="346" t="n"/>
      <c r="D684" s="218" t="n"/>
      <c r="H684" s="218" t="n"/>
      <c r="I684" s="218" t="n"/>
      <c r="J684" s="218" t="n"/>
      <c r="M684" s="218" t="n"/>
      <c r="S684" s="346" t="n"/>
    </row>
    <row r="685">
      <c r="C685" s="346" t="n"/>
      <c r="D685" s="218" t="n"/>
      <c r="H685" s="218" t="n"/>
      <c r="I685" s="218" t="n"/>
      <c r="J685" s="218" t="n"/>
      <c r="M685" s="218" t="n"/>
      <c r="S685" s="346" t="n"/>
    </row>
    <row r="686">
      <c r="C686" s="346" t="n"/>
      <c r="D686" s="218" t="n"/>
      <c r="H686" s="218" t="n"/>
      <c r="I686" s="218" t="n"/>
      <c r="J686" s="218" t="n"/>
      <c r="M686" s="218" t="n"/>
      <c r="S686" s="346" t="n"/>
    </row>
    <row r="687">
      <c r="C687" s="346" t="n"/>
      <c r="D687" s="218" t="n"/>
      <c r="H687" s="218" t="n"/>
      <c r="I687" s="218" t="n"/>
      <c r="J687" s="218" t="n"/>
      <c r="M687" s="218" t="n"/>
      <c r="S687" s="346" t="n"/>
    </row>
    <row r="688">
      <c r="C688" s="346" t="n"/>
      <c r="D688" s="218" t="n"/>
      <c r="H688" s="218" t="n"/>
      <c r="I688" s="218" t="n"/>
      <c r="J688" s="218" t="n"/>
      <c r="M688" s="218" t="n"/>
      <c r="S688" s="346" t="n"/>
    </row>
    <row r="689">
      <c r="C689" s="346" t="n"/>
      <c r="D689" s="218" t="n"/>
      <c r="H689" s="218" t="n"/>
      <c r="I689" s="218" t="n"/>
      <c r="J689" s="218" t="n"/>
      <c r="M689" s="218" t="n"/>
      <c r="S689" s="346" t="n"/>
    </row>
    <row r="690">
      <c r="C690" s="346" t="n"/>
      <c r="D690" s="218" t="n"/>
      <c r="H690" s="218" t="n"/>
      <c r="I690" s="218" t="n"/>
      <c r="J690" s="218" t="n"/>
      <c r="M690" s="218" t="n"/>
      <c r="S690" s="346" t="n"/>
    </row>
    <row r="691">
      <c r="C691" s="346" t="n"/>
      <c r="D691" s="218" t="n"/>
      <c r="H691" s="218" t="n"/>
      <c r="I691" s="218" t="n"/>
      <c r="J691" s="218" t="n"/>
      <c r="M691" s="218" t="n"/>
      <c r="S691" s="346" t="n"/>
    </row>
    <row r="692">
      <c r="C692" s="346" t="n"/>
      <c r="D692" s="218" t="n"/>
      <c r="H692" s="218" t="n"/>
      <c r="I692" s="218" t="n"/>
      <c r="J692" s="218" t="n"/>
      <c r="M692" s="218" t="n"/>
      <c r="S692" s="346" t="n"/>
    </row>
    <row r="693">
      <c r="C693" s="346" t="n"/>
      <c r="D693" s="218" t="n"/>
      <c r="H693" s="218" t="n"/>
      <c r="I693" s="218" t="n"/>
      <c r="J693" s="218" t="n"/>
      <c r="M693" s="218" t="n"/>
      <c r="S693" s="346" t="n"/>
    </row>
    <row r="694">
      <c r="C694" s="346" t="n"/>
      <c r="D694" s="218" t="n"/>
      <c r="H694" s="218" t="n"/>
      <c r="I694" s="218" t="n"/>
      <c r="J694" s="218" t="n"/>
      <c r="M694" s="218" t="n"/>
      <c r="S694" s="346" t="n"/>
    </row>
    <row r="695">
      <c r="C695" s="346" t="n"/>
      <c r="D695" s="218" t="n"/>
      <c r="H695" s="218" t="n"/>
      <c r="I695" s="218" t="n"/>
      <c r="J695" s="218" t="n"/>
      <c r="M695" s="218" t="n"/>
      <c r="S695" s="346" t="n"/>
    </row>
    <row r="696">
      <c r="C696" s="346" t="n"/>
      <c r="D696" s="218" t="n"/>
      <c r="H696" s="218" t="n"/>
      <c r="I696" s="218" t="n"/>
      <c r="J696" s="218" t="n"/>
      <c r="M696" s="218" t="n"/>
      <c r="S696" s="346" t="n"/>
    </row>
    <row r="697">
      <c r="C697" s="346" t="n"/>
      <c r="D697" s="218" t="n"/>
      <c r="H697" s="218" t="n"/>
      <c r="I697" s="218" t="n"/>
      <c r="J697" s="218" t="n"/>
      <c r="M697" s="218" t="n"/>
      <c r="S697" s="346" t="n"/>
    </row>
    <row r="698">
      <c r="C698" s="346" t="n"/>
      <c r="D698" s="218" t="n"/>
      <c r="H698" s="218" t="n"/>
      <c r="I698" s="218" t="n"/>
      <c r="J698" s="218" t="n"/>
      <c r="M698" s="218" t="n"/>
      <c r="S698" s="346" t="n"/>
    </row>
    <row r="699">
      <c r="C699" s="346" t="n"/>
      <c r="D699" s="218" t="n"/>
      <c r="H699" s="218" t="n"/>
      <c r="I699" s="218" t="n"/>
      <c r="J699" s="218" t="n"/>
      <c r="M699" s="218" t="n"/>
      <c r="S699" s="346" t="n"/>
    </row>
    <row r="700">
      <c r="C700" s="346" t="n"/>
      <c r="D700" s="218" t="n"/>
      <c r="H700" s="218" t="n"/>
      <c r="I700" s="218" t="n"/>
      <c r="J700" s="218" t="n"/>
      <c r="M700" s="218" t="n"/>
      <c r="S700" s="346" t="n"/>
    </row>
    <row r="701">
      <c r="C701" s="346" t="n"/>
      <c r="D701" s="218" t="n"/>
      <c r="H701" s="218" t="n"/>
      <c r="I701" s="218" t="n"/>
      <c r="J701" s="218" t="n"/>
      <c r="M701" s="218" t="n"/>
      <c r="S701" s="346" t="n"/>
    </row>
    <row r="702">
      <c r="C702" s="346" t="n"/>
      <c r="D702" s="218" t="n"/>
      <c r="H702" s="218" t="n"/>
      <c r="I702" s="218" t="n"/>
      <c r="J702" s="218" t="n"/>
      <c r="M702" s="218" t="n"/>
      <c r="S702" s="346" t="n"/>
    </row>
    <row r="703">
      <c r="C703" s="346" t="n"/>
      <c r="D703" s="218" t="n"/>
      <c r="H703" s="218" t="n"/>
      <c r="I703" s="218" t="n"/>
      <c r="J703" s="218" t="n"/>
      <c r="M703" s="218" t="n"/>
      <c r="S703" s="346" t="n"/>
    </row>
    <row r="704">
      <c r="C704" s="346" t="n"/>
      <c r="D704" s="218" t="n"/>
      <c r="H704" s="218" t="n"/>
      <c r="I704" s="218" t="n"/>
      <c r="J704" s="218" t="n"/>
      <c r="M704" s="218" t="n"/>
      <c r="S704" s="346" t="n"/>
    </row>
    <row r="705">
      <c r="C705" s="346" t="n"/>
      <c r="D705" s="218" t="n"/>
      <c r="H705" s="218" t="n"/>
      <c r="I705" s="218" t="n"/>
      <c r="J705" s="218" t="n"/>
      <c r="M705" s="218" t="n"/>
      <c r="S705" s="346" t="n"/>
    </row>
    <row r="706">
      <c r="C706" s="346" t="n"/>
      <c r="D706" s="218" t="n"/>
      <c r="H706" s="218" t="n"/>
      <c r="I706" s="218" t="n"/>
      <c r="J706" s="218" t="n"/>
      <c r="M706" s="218" t="n"/>
      <c r="S706" s="346" t="n"/>
    </row>
    <row r="707">
      <c r="C707" s="346" t="n"/>
      <c r="D707" s="218" t="n"/>
      <c r="H707" s="218" t="n"/>
      <c r="I707" s="218" t="n"/>
      <c r="J707" s="218" t="n"/>
      <c r="M707" s="218" t="n"/>
      <c r="S707" s="346" t="n"/>
    </row>
    <row r="708">
      <c r="C708" s="346" t="n"/>
      <c r="D708" s="218" t="n"/>
      <c r="H708" s="218" t="n"/>
      <c r="I708" s="218" t="n"/>
      <c r="J708" s="218" t="n"/>
      <c r="M708" s="218" t="n"/>
      <c r="S708" s="346" t="n"/>
    </row>
    <row r="709">
      <c r="C709" s="346" t="n"/>
      <c r="D709" s="218" t="n"/>
      <c r="H709" s="218" t="n"/>
      <c r="I709" s="218" t="n"/>
      <c r="J709" s="218" t="n"/>
      <c r="M709" s="218" t="n"/>
      <c r="S709" s="346" t="n"/>
    </row>
    <row r="710">
      <c r="C710" s="346" t="n"/>
      <c r="D710" s="218" t="n"/>
      <c r="H710" s="218" t="n"/>
      <c r="I710" s="218" t="n"/>
      <c r="J710" s="218" t="n"/>
      <c r="M710" s="218" t="n"/>
      <c r="S710" s="346" t="n"/>
    </row>
    <row r="711">
      <c r="C711" s="346" t="n"/>
      <c r="D711" s="218" t="n"/>
      <c r="H711" s="218" t="n"/>
      <c r="I711" s="218" t="n"/>
      <c r="J711" s="218" t="n"/>
      <c r="M711" s="218" t="n"/>
      <c r="S711" s="346" t="n"/>
    </row>
    <row r="712">
      <c r="C712" s="346" t="n"/>
      <c r="D712" s="218" t="n"/>
      <c r="H712" s="218" t="n"/>
      <c r="I712" s="218" t="n"/>
      <c r="J712" s="218" t="n"/>
      <c r="M712" s="218" t="n"/>
      <c r="S712" s="346" t="n"/>
    </row>
    <row r="713">
      <c r="C713" s="346" t="n"/>
      <c r="D713" s="218" t="n"/>
      <c r="H713" s="218" t="n"/>
      <c r="I713" s="218" t="n"/>
      <c r="J713" s="218" t="n"/>
      <c r="M713" s="218" t="n"/>
      <c r="S713" s="346" t="n"/>
    </row>
    <row r="714">
      <c r="C714" s="346" t="n"/>
      <c r="D714" s="218" t="n"/>
      <c r="H714" s="218" t="n"/>
      <c r="I714" s="218" t="n"/>
      <c r="J714" s="218" t="n"/>
      <c r="M714" s="218" t="n"/>
      <c r="S714" s="346" t="n"/>
    </row>
    <row r="715">
      <c r="C715" s="346" t="n"/>
      <c r="D715" s="218" t="n"/>
      <c r="H715" s="218" t="n"/>
      <c r="I715" s="218" t="n"/>
      <c r="J715" s="218" t="n"/>
      <c r="M715" s="218" t="n"/>
      <c r="S715" s="346" t="n"/>
    </row>
    <row r="716">
      <c r="C716" s="346" t="n"/>
      <c r="D716" s="218" t="n"/>
      <c r="H716" s="218" t="n"/>
      <c r="I716" s="218" t="n"/>
      <c r="J716" s="218" t="n"/>
      <c r="M716" s="218" t="n"/>
      <c r="S716" s="346" t="n"/>
    </row>
    <row r="717">
      <c r="C717" s="346" t="n"/>
      <c r="D717" s="218" t="n"/>
      <c r="H717" s="218" t="n"/>
      <c r="I717" s="218" t="n"/>
      <c r="J717" s="218" t="n"/>
      <c r="M717" s="218" t="n"/>
      <c r="S717" s="346" t="n"/>
    </row>
    <row r="718">
      <c r="C718" s="346" t="n"/>
      <c r="D718" s="218" t="n"/>
      <c r="H718" s="218" t="n"/>
      <c r="I718" s="218" t="n"/>
      <c r="J718" s="218" t="n"/>
      <c r="M718" s="218" t="n"/>
      <c r="S718" s="346" t="n"/>
    </row>
    <row r="719">
      <c r="C719" s="346" t="n"/>
      <c r="D719" s="218" t="n"/>
      <c r="H719" s="218" t="n"/>
      <c r="I719" s="218" t="n"/>
      <c r="J719" s="218" t="n"/>
      <c r="M719" s="218" t="n"/>
      <c r="S719" s="346" t="n"/>
    </row>
    <row r="720">
      <c r="C720" s="346" t="n"/>
      <c r="D720" s="218" t="n"/>
      <c r="H720" s="218" t="n"/>
      <c r="I720" s="218" t="n"/>
      <c r="J720" s="218" t="n"/>
      <c r="M720" s="218" t="n"/>
      <c r="S720" s="346" t="n"/>
    </row>
    <row r="721">
      <c r="C721" s="346" t="n"/>
      <c r="D721" s="218" t="n"/>
      <c r="H721" s="218" t="n"/>
      <c r="I721" s="218" t="n"/>
      <c r="J721" s="218" t="n"/>
      <c r="M721" s="218" t="n"/>
      <c r="S721" s="346" t="n"/>
    </row>
    <row r="722">
      <c r="C722" s="346" t="n"/>
      <c r="D722" s="218" t="n"/>
      <c r="H722" s="218" t="n"/>
      <c r="I722" s="218" t="n"/>
      <c r="J722" s="218" t="n"/>
      <c r="M722" s="218" t="n"/>
      <c r="S722" s="346" t="n"/>
    </row>
    <row r="723">
      <c r="C723" s="346" t="n"/>
      <c r="D723" s="218" t="n"/>
      <c r="H723" s="218" t="n"/>
      <c r="I723" s="218" t="n"/>
      <c r="J723" s="218" t="n"/>
      <c r="M723" s="218" t="n"/>
      <c r="S723" s="346" t="n"/>
    </row>
    <row r="724">
      <c r="C724" s="346" t="n"/>
      <c r="D724" s="218" t="n"/>
      <c r="H724" s="218" t="n"/>
      <c r="I724" s="218" t="n"/>
      <c r="J724" s="218" t="n"/>
      <c r="M724" s="218" t="n"/>
      <c r="S724" s="346" t="n"/>
    </row>
    <row r="725">
      <c r="C725" s="346" t="n"/>
      <c r="D725" s="218" t="n"/>
      <c r="H725" s="218" t="n"/>
      <c r="I725" s="218" t="n"/>
      <c r="J725" s="218" t="n"/>
      <c r="M725" s="218" t="n"/>
      <c r="S725" s="346" t="n"/>
    </row>
    <row r="726">
      <c r="C726" s="346" t="n"/>
      <c r="D726" s="218" t="n"/>
      <c r="H726" s="218" t="n"/>
      <c r="I726" s="218" t="n"/>
      <c r="J726" s="218" t="n"/>
      <c r="M726" s="218" t="n"/>
      <c r="S726" s="346" t="n"/>
    </row>
    <row r="727">
      <c r="C727" s="346" t="n"/>
      <c r="D727" s="218" t="n"/>
      <c r="H727" s="218" t="n"/>
      <c r="I727" s="218" t="n"/>
      <c r="J727" s="218" t="n"/>
      <c r="M727" s="218" t="n"/>
      <c r="S727" s="346" t="n"/>
    </row>
    <row r="728">
      <c r="C728" s="346" t="n"/>
      <c r="D728" s="218" t="n"/>
      <c r="H728" s="218" t="n"/>
      <c r="I728" s="218" t="n"/>
      <c r="J728" s="218" t="n"/>
      <c r="M728" s="218" t="n"/>
      <c r="S728" s="346" t="n"/>
    </row>
    <row r="729">
      <c r="C729" s="346" t="n"/>
      <c r="D729" s="218" t="n"/>
      <c r="H729" s="218" t="n"/>
      <c r="I729" s="218" t="n"/>
      <c r="J729" s="218" t="n"/>
      <c r="M729" s="218" t="n"/>
      <c r="S729" s="346" t="n"/>
    </row>
    <row r="730">
      <c r="C730" s="346" t="n"/>
      <c r="D730" s="218" t="n"/>
      <c r="H730" s="218" t="n"/>
      <c r="I730" s="218" t="n"/>
      <c r="J730" s="218" t="n"/>
      <c r="M730" s="218" t="n"/>
      <c r="S730" s="346" t="n"/>
    </row>
    <row r="731">
      <c r="C731" s="346" t="n"/>
      <c r="D731" s="218" t="n"/>
      <c r="H731" s="218" t="n"/>
      <c r="I731" s="218" t="n"/>
      <c r="J731" s="218" t="n"/>
      <c r="M731" s="218" t="n"/>
      <c r="S731" s="346" t="n"/>
    </row>
    <row r="732">
      <c r="C732" s="346" t="n"/>
      <c r="D732" s="218" t="n"/>
      <c r="H732" s="218" t="n"/>
      <c r="I732" s="218" t="n"/>
      <c r="J732" s="218" t="n"/>
      <c r="M732" s="218" t="n"/>
      <c r="S732" s="346" t="n"/>
    </row>
    <row r="733">
      <c r="C733" s="346" t="n"/>
      <c r="D733" s="218" t="n"/>
      <c r="H733" s="218" t="n"/>
      <c r="I733" s="218" t="n"/>
      <c r="J733" s="218" t="n"/>
      <c r="M733" s="218" t="n"/>
      <c r="S733" s="346" t="n"/>
    </row>
    <row r="734">
      <c r="C734" s="346" t="n"/>
      <c r="D734" s="218" t="n"/>
      <c r="H734" s="218" t="n"/>
      <c r="I734" s="218" t="n"/>
      <c r="J734" s="218" t="n"/>
      <c r="M734" s="218" t="n"/>
      <c r="S734" s="346" t="n"/>
    </row>
    <row r="735">
      <c r="C735" s="346" t="n"/>
      <c r="D735" s="218" t="n"/>
      <c r="H735" s="218" t="n"/>
      <c r="I735" s="218" t="n"/>
      <c r="J735" s="218" t="n"/>
      <c r="M735" s="218" t="n"/>
      <c r="S735" s="346" t="n"/>
    </row>
    <row r="736">
      <c r="C736" s="346" t="n"/>
      <c r="D736" s="218" t="n"/>
      <c r="H736" s="218" t="n"/>
      <c r="I736" s="218" t="n"/>
      <c r="J736" s="218" t="n"/>
      <c r="M736" s="218" t="n"/>
      <c r="S736" s="346" t="n"/>
    </row>
    <row r="737">
      <c r="C737" s="346" t="n"/>
      <c r="D737" s="218" t="n"/>
      <c r="H737" s="218" t="n"/>
      <c r="I737" s="218" t="n"/>
      <c r="J737" s="218" t="n"/>
      <c r="M737" s="218" t="n"/>
      <c r="S737" s="346" t="n"/>
    </row>
    <row r="738">
      <c r="C738" s="346" t="n"/>
      <c r="D738" s="218" t="n"/>
      <c r="H738" s="218" t="n"/>
      <c r="I738" s="218" t="n"/>
      <c r="J738" s="218" t="n"/>
      <c r="M738" s="218" t="n"/>
      <c r="S738" s="346" t="n"/>
    </row>
    <row r="739">
      <c r="C739" s="346" t="n"/>
      <c r="D739" s="218" t="n"/>
      <c r="H739" s="218" t="n"/>
      <c r="I739" s="218" t="n"/>
      <c r="J739" s="218" t="n"/>
      <c r="M739" s="218" t="n"/>
      <c r="S739" s="346" t="n"/>
    </row>
    <row r="740">
      <c r="C740" s="346" t="n"/>
      <c r="D740" s="218" t="n"/>
      <c r="H740" s="218" t="n"/>
      <c r="I740" s="218" t="n"/>
      <c r="J740" s="218" t="n"/>
      <c r="M740" s="218" t="n"/>
      <c r="S740" s="346" t="n"/>
    </row>
    <row r="741">
      <c r="C741" s="346" t="n"/>
      <c r="D741" s="218" t="n"/>
      <c r="H741" s="218" t="n"/>
      <c r="I741" s="218" t="n"/>
      <c r="J741" s="218" t="n"/>
      <c r="M741" s="218" t="n"/>
      <c r="S741" s="346" t="n"/>
    </row>
    <row r="742">
      <c r="C742" s="346" t="n"/>
      <c r="D742" s="218" t="n"/>
      <c r="H742" s="218" t="n"/>
      <c r="I742" s="218" t="n"/>
      <c r="J742" s="218" t="n"/>
      <c r="M742" s="218" t="n"/>
      <c r="S742" s="346" t="n"/>
    </row>
    <row r="743">
      <c r="C743" s="346" t="n"/>
      <c r="D743" s="218" t="n"/>
      <c r="H743" s="218" t="n"/>
      <c r="I743" s="218" t="n"/>
      <c r="J743" s="218" t="n"/>
      <c r="M743" s="218" t="n"/>
      <c r="S743" s="346" t="n"/>
    </row>
    <row r="744">
      <c r="C744" s="346" t="n"/>
      <c r="D744" s="218" t="n"/>
      <c r="H744" s="218" t="n"/>
      <c r="I744" s="218" t="n"/>
      <c r="J744" s="218" t="n"/>
      <c r="M744" s="218" t="n"/>
      <c r="S744" s="346" t="n"/>
    </row>
    <row r="745">
      <c r="C745" s="346" t="n"/>
      <c r="D745" s="218" t="n"/>
      <c r="H745" s="218" t="n"/>
      <c r="I745" s="218" t="n"/>
      <c r="J745" s="218" t="n"/>
      <c r="M745" s="218" t="n"/>
      <c r="S745" s="346" t="n"/>
    </row>
    <row r="746">
      <c r="C746" s="346" t="n"/>
      <c r="D746" s="218" t="n"/>
      <c r="H746" s="218" t="n"/>
      <c r="I746" s="218" t="n"/>
      <c r="J746" s="218" t="n"/>
      <c r="M746" s="218" t="n"/>
      <c r="S746" s="346" t="n"/>
    </row>
    <row r="747">
      <c r="C747" s="346" t="n"/>
      <c r="D747" s="218" t="n"/>
      <c r="H747" s="218" t="n"/>
      <c r="I747" s="218" t="n"/>
      <c r="J747" s="218" t="n"/>
      <c r="M747" s="218" t="n"/>
      <c r="S747" s="346" t="n"/>
    </row>
    <row r="748">
      <c r="C748" s="346" t="n"/>
      <c r="D748" s="218" t="n"/>
      <c r="H748" s="218" t="n"/>
      <c r="I748" s="218" t="n"/>
      <c r="J748" s="218" t="n"/>
      <c r="M748" s="218" t="n"/>
      <c r="S748" s="346" t="n"/>
    </row>
    <row r="749">
      <c r="C749" s="346" t="n"/>
      <c r="D749" s="218" t="n"/>
      <c r="H749" s="218" t="n"/>
      <c r="I749" s="218" t="n"/>
      <c r="J749" s="218" t="n"/>
      <c r="M749" s="218" t="n"/>
      <c r="S749" s="346" t="n"/>
    </row>
    <row r="750">
      <c r="C750" s="346" t="n"/>
      <c r="D750" s="218" t="n"/>
      <c r="H750" s="218" t="n"/>
      <c r="I750" s="218" t="n"/>
      <c r="J750" s="218" t="n"/>
      <c r="M750" s="218" t="n"/>
      <c r="S750" s="346" t="n"/>
    </row>
    <row r="751">
      <c r="C751" s="346" t="n"/>
      <c r="D751" s="218" t="n"/>
      <c r="H751" s="218" t="n"/>
      <c r="I751" s="218" t="n"/>
      <c r="J751" s="218" t="n"/>
      <c r="M751" s="218" t="n"/>
      <c r="S751" s="346" t="n"/>
    </row>
    <row r="752">
      <c r="C752" s="346" t="n"/>
      <c r="D752" s="218" t="n"/>
      <c r="H752" s="218" t="n"/>
      <c r="I752" s="218" t="n"/>
      <c r="J752" s="218" t="n"/>
      <c r="M752" s="218" t="n"/>
      <c r="S752" s="346" t="n"/>
    </row>
    <row r="753">
      <c r="C753" s="346" t="n"/>
      <c r="D753" s="218" t="n"/>
      <c r="H753" s="218" t="n"/>
      <c r="I753" s="218" t="n"/>
      <c r="J753" s="218" t="n"/>
      <c r="M753" s="218" t="n"/>
      <c r="S753" s="346" t="n"/>
    </row>
    <row r="754">
      <c r="C754" s="346" t="n"/>
      <c r="D754" s="218" t="n"/>
      <c r="H754" s="218" t="n"/>
      <c r="I754" s="218" t="n"/>
      <c r="J754" s="218" t="n"/>
      <c r="M754" s="218" t="n"/>
      <c r="S754" s="346" t="n"/>
    </row>
    <row r="755">
      <c r="C755" s="346" t="n"/>
      <c r="D755" s="218" t="n"/>
      <c r="H755" s="218" t="n"/>
      <c r="I755" s="218" t="n"/>
      <c r="J755" s="218" t="n"/>
      <c r="M755" s="218" t="n"/>
      <c r="S755" s="346" t="n"/>
    </row>
    <row r="756">
      <c r="C756" s="346" t="n"/>
      <c r="D756" s="218" t="n"/>
      <c r="H756" s="218" t="n"/>
      <c r="I756" s="218" t="n"/>
      <c r="J756" s="218" t="n"/>
      <c r="M756" s="218" t="n"/>
      <c r="S756" s="346" t="n"/>
    </row>
    <row r="757">
      <c r="C757" s="346" t="n"/>
      <c r="D757" s="218" t="n"/>
      <c r="H757" s="218" t="n"/>
      <c r="I757" s="218" t="n"/>
      <c r="J757" s="218" t="n"/>
      <c r="M757" s="218" t="n"/>
      <c r="S757" s="346" t="n"/>
    </row>
    <row r="758">
      <c r="C758" s="346" t="n"/>
      <c r="D758" s="218" t="n"/>
      <c r="H758" s="218" t="n"/>
      <c r="I758" s="218" t="n"/>
      <c r="J758" s="218" t="n"/>
      <c r="M758" s="218" t="n"/>
      <c r="S758" s="346" t="n"/>
    </row>
    <row r="759">
      <c r="C759" s="346" t="n"/>
      <c r="D759" s="218" t="n"/>
      <c r="H759" s="218" t="n"/>
      <c r="I759" s="218" t="n"/>
      <c r="J759" s="218" t="n"/>
      <c r="M759" s="218" t="n"/>
      <c r="S759" s="346" t="n"/>
    </row>
    <row r="760">
      <c r="C760" s="346" t="n"/>
      <c r="D760" s="218" t="n"/>
      <c r="H760" s="218" t="n"/>
      <c r="I760" s="218" t="n"/>
      <c r="J760" s="218" t="n"/>
      <c r="M760" s="218" t="n"/>
      <c r="S760" s="346" t="n"/>
    </row>
    <row r="761">
      <c r="C761" s="346" t="n"/>
      <c r="D761" s="218" t="n"/>
      <c r="H761" s="218" t="n"/>
      <c r="I761" s="218" t="n"/>
      <c r="J761" s="218" t="n"/>
      <c r="M761" s="218" t="n"/>
      <c r="S761" s="346" t="n"/>
    </row>
    <row r="762">
      <c r="C762" s="346" t="n"/>
      <c r="D762" s="218" t="n"/>
      <c r="H762" s="218" t="n"/>
      <c r="I762" s="218" t="n"/>
      <c r="J762" s="218" t="n"/>
      <c r="M762" s="218" t="n"/>
      <c r="S762" s="346" t="n"/>
    </row>
    <row r="763">
      <c r="C763" s="346" t="n"/>
      <c r="D763" s="218" t="n"/>
      <c r="H763" s="218" t="n"/>
      <c r="I763" s="218" t="n"/>
      <c r="J763" s="218" t="n"/>
      <c r="M763" s="218" t="n"/>
      <c r="S763" s="346" t="n"/>
    </row>
    <row r="764">
      <c r="C764" s="346" t="n"/>
      <c r="D764" s="218" t="n"/>
      <c r="H764" s="218" t="n"/>
      <c r="I764" s="218" t="n"/>
      <c r="J764" s="218" t="n"/>
      <c r="M764" s="218" t="n"/>
      <c r="S764" s="346" t="n"/>
    </row>
    <row r="765">
      <c r="C765" s="346" t="n"/>
      <c r="D765" s="218" t="n"/>
      <c r="H765" s="218" t="n"/>
      <c r="I765" s="218" t="n"/>
      <c r="J765" s="218" t="n"/>
      <c r="M765" s="218" t="n"/>
      <c r="S765" s="346" t="n"/>
    </row>
    <row r="766">
      <c r="C766" s="346" t="n"/>
      <c r="D766" s="218" t="n"/>
      <c r="H766" s="218" t="n"/>
      <c r="I766" s="218" t="n"/>
      <c r="J766" s="218" t="n"/>
      <c r="M766" s="218" t="n"/>
      <c r="S766" s="346" t="n"/>
    </row>
    <row r="767">
      <c r="C767" s="346" t="n"/>
      <c r="D767" s="218" t="n"/>
      <c r="H767" s="218" t="n"/>
      <c r="I767" s="218" t="n"/>
      <c r="J767" s="218" t="n"/>
      <c r="M767" s="218" t="n"/>
      <c r="S767" s="346" t="n"/>
    </row>
    <row r="768">
      <c r="C768" s="346" t="n"/>
      <c r="D768" s="218" t="n"/>
      <c r="H768" s="218" t="n"/>
      <c r="I768" s="218" t="n"/>
      <c r="J768" s="218" t="n"/>
      <c r="M768" s="218" t="n"/>
      <c r="S768" s="346" t="n"/>
    </row>
    <row r="769">
      <c r="C769" s="346" t="n"/>
      <c r="D769" s="218" t="n"/>
      <c r="H769" s="218" t="n"/>
      <c r="I769" s="218" t="n"/>
      <c r="J769" s="218" t="n"/>
      <c r="M769" s="218" t="n"/>
      <c r="S769" s="346" t="n"/>
    </row>
    <row r="770">
      <c r="C770" s="346" t="n"/>
      <c r="D770" s="218" t="n"/>
      <c r="H770" s="218" t="n"/>
      <c r="I770" s="218" t="n"/>
      <c r="J770" s="218" t="n"/>
      <c r="M770" s="218" t="n"/>
      <c r="S770" s="346" t="n"/>
    </row>
    <row r="771">
      <c r="C771" s="346" t="n"/>
      <c r="D771" s="218" t="n"/>
      <c r="H771" s="218" t="n"/>
      <c r="I771" s="218" t="n"/>
      <c r="J771" s="218" t="n"/>
      <c r="M771" s="218" t="n"/>
      <c r="S771" s="346" t="n"/>
    </row>
    <row r="772">
      <c r="C772" s="346" t="n"/>
      <c r="D772" s="218" t="n"/>
      <c r="H772" s="218" t="n"/>
      <c r="I772" s="218" t="n"/>
      <c r="J772" s="218" t="n"/>
      <c r="M772" s="218" t="n"/>
      <c r="S772" s="346" t="n"/>
    </row>
    <row r="773">
      <c r="C773" s="346" t="n"/>
      <c r="D773" s="218" t="n"/>
      <c r="H773" s="218" t="n"/>
      <c r="I773" s="218" t="n"/>
      <c r="J773" s="218" t="n"/>
      <c r="M773" s="218" t="n"/>
      <c r="S773" s="346" t="n"/>
    </row>
    <row r="774">
      <c r="C774" s="346" t="n"/>
      <c r="D774" s="218" t="n"/>
      <c r="H774" s="218" t="n"/>
      <c r="I774" s="218" t="n"/>
      <c r="J774" s="218" t="n"/>
      <c r="M774" s="218" t="n"/>
      <c r="S774" s="346" t="n"/>
    </row>
    <row r="775">
      <c r="C775" s="346" t="n"/>
      <c r="D775" s="218" t="n"/>
      <c r="H775" s="218" t="n"/>
      <c r="I775" s="218" t="n"/>
      <c r="J775" s="218" t="n"/>
      <c r="M775" s="218" t="n"/>
      <c r="S775" s="346" t="n"/>
    </row>
    <row r="776">
      <c r="C776" s="346" t="n"/>
      <c r="D776" s="218" t="n"/>
      <c r="H776" s="218" t="n"/>
      <c r="I776" s="218" t="n"/>
      <c r="J776" s="218" t="n"/>
      <c r="M776" s="218" t="n"/>
      <c r="S776" s="346" t="n"/>
    </row>
    <row r="777">
      <c r="C777" s="346" t="n"/>
      <c r="D777" s="218" t="n"/>
      <c r="H777" s="218" t="n"/>
      <c r="I777" s="218" t="n"/>
      <c r="J777" s="218" t="n"/>
      <c r="M777" s="218" t="n"/>
      <c r="S777" s="346" t="n"/>
    </row>
    <row r="778">
      <c r="C778" s="346" t="n"/>
      <c r="D778" s="218" t="n"/>
      <c r="H778" s="218" t="n"/>
      <c r="I778" s="218" t="n"/>
      <c r="J778" s="218" t="n"/>
      <c r="M778" s="218" t="n"/>
      <c r="S778" s="346" t="n"/>
    </row>
    <row r="779">
      <c r="C779" s="346" t="n"/>
      <c r="D779" s="218" t="n"/>
      <c r="H779" s="218" t="n"/>
      <c r="I779" s="218" t="n"/>
      <c r="J779" s="218" t="n"/>
      <c r="M779" s="218" t="n"/>
      <c r="S779" s="346" t="n"/>
    </row>
    <row r="780">
      <c r="C780" s="346" t="n"/>
      <c r="D780" s="218" t="n"/>
      <c r="H780" s="218" t="n"/>
      <c r="I780" s="218" t="n"/>
      <c r="J780" s="218" t="n"/>
      <c r="M780" s="218" t="n"/>
      <c r="S780" s="346" t="n"/>
    </row>
    <row r="781">
      <c r="C781" s="346" t="n"/>
      <c r="D781" s="218" t="n"/>
      <c r="H781" s="218" t="n"/>
      <c r="I781" s="218" t="n"/>
      <c r="J781" s="218" t="n"/>
      <c r="M781" s="218" t="n"/>
      <c r="S781" s="346" t="n"/>
    </row>
    <row r="782">
      <c r="C782" s="346" t="n"/>
      <c r="D782" s="218" t="n"/>
      <c r="H782" s="218" t="n"/>
      <c r="I782" s="218" t="n"/>
      <c r="J782" s="218" t="n"/>
      <c r="M782" s="218" t="n"/>
      <c r="S782" s="346" t="n"/>
    </row>
    <row r="783">
      <c r="C783" s="346" t="n"/>
      <c r="D783" s="218" t="n"/>
      <c r="H783" s="218" t="n"/>
      <c r="I783" s="218" t="n"/>
      <c r="J783" s="218" t="n"/>
      <c r="M783" s="218" t="n"/>
      <c r="S783" s="346" t="n"/>
    </row>
    <row r="784">
      <c r="C784" s="346" t="n"/>
      <c r="D784" s="218" t="n"/>
      <c r="H784" s="218" t="n"/>
      <c r="I784" s="218" t="n"/>
      <c r="J784" s="218" t="n"/>
      <c r="M784" s="218" t="n"/>
      <c r="S784" s="346" t="n"/>
    </row>
    <row r="785">
      <c r="C785" s="346" t="n"/>
      <c r="D785" s="218" t="n"/>
      <c r="H785" s="218" t="n"/>
      <c r="I785" s="218" t="n"/>
      <c r="J785" s="218" t="n"/>
      <c r="M785" s="218" t="n"/>
      <c r="S785" s="346" t="n"/>
    </row>
    <row r="786">
      <c r="C786" s="346" t="n"/>
      <c r="D786" s="218" t="n"/>
      <c r="H786" s="218" t="n"/>
      <c r="I786" s="218" t="n"/>
      <c r="J786" s="218" t="n"/>
      <c r="M786" s="218" t="n"/>
      <c r="S786" s="346" t="n"/>
    </row>
    <row r="787">
      <c r="C787" s="346" t="n"/>
      <c r="D787" s="218" t="n"/>
      <c r="H787" s="218" t="n"/>
      <c r="I787" s="218" t="n"/>
      <c r="J787" s="218" t="n"/>
      <c r="M787" s="218" t="n"/>
      <c r="S787" s="346" t="n"/>
    </row>
    <row r="788">
      <c r="C788" s="346" t="n"/>
      <c r="D788" s="218" t="n"/>
      <c r="H788" s="218" t="n"/>
      <c r="I788" s="218" t="n"/>
      <c r="J788" s="218" t="n"/>
      <c r="M788" s="218" t="n"/>
      <c r="S788" s="346" t="n"/>
    </row>
    <row r="789">
      <c r="C789" s="346" t="n"/>
      <c r="D789" s="218" t="n"/>
      <c r="H789" s="218" t="n"/>
      <c r="I789" s="218" t="n"/>
      <c r="J789" s="218" t="n"/>
      <c r="M789" s="218" t="n"/>
      <c r="S789" s="346" t="n"/>
    </row>
    <row r="790">
      <c r="C790" s="346" t="n"/>
      <c r="D790" s="218" t="n"/>
      <c r="H790" s="218" t="n"/>
      <c r="I790" s="218" t="n"/>
      <c r="J790" s="218" t="n"/>
      <c r="M790" s="218" t="n"/>
      <c r="S790" s="346" t="n"/>
    </row>
    <row r="791">
      <c r="C791" s="346" t="n"/>
      <c r="D791" s="218" t="n"/>
      <c r="H791" s="218" t="n"/>
      <c r="I791" s="218" t="n"/>
      <c r="J791" s="218" t="n"/>
      <c r="M791" s="218" t="n"/>
      <c r="S791" s="346" t="n"/>
    </row>
    <row r="792">
      <c r="C792" s="346" t="n"/>
      <c r="D792" s="218" t="n"/>
      <c r="H792" s="218" t="n"/>
      <c r="I792" s="218" t="n"/>
      <c r="J792" s="218" t="n"/>
      <c r="M792" s="218" t="n"/>
      <c r="S792" s="346" t="n"/>
    </row>
    <row r="793">
      <c r="C793" s="346" t="n"/>
      <c r="D793" s="218" t="n"/>
      <c r="H793" s="218" t="n"/>
      <c r="I793" s="218" t="n"/>
      <c r="J793" s="218" t="n"/>
      <c r="M793" s="218" t="n"/>
      <c r="S793" s="346" t="n"/>
    </row>
    <row r="794">
      <c r="C794" s="346" t="n"/>
      <c r="D794" s="218" t="n"/>
      <c r="H794" s="218" t="n"/>
      <c r="I794" s="218" t="n"/>
      <c r="J794" s="218" t="n"/>
      <c r="M794" s="218" t="n"/>
      <c r="S794" s="346" t="n"/>
    </row>
    <row r="795">
      <c r="C795" s="346" t="n"/>
      <c r="D795" s="218" t="n"/>
      <c r="H795" s="218" t="n"/>
      <c r="I795" s="218" t="n"/>
      <c r="J795" s="218" t="n"/>
      <c r="M795" s="218" t="n"/>
      <c r="S795" s="346" t="n"/>
    </row>
    <row r="796">
      <c r="C796" s="346" t="n"/>
      <c r="D796" s="218" t="n"/>
      <c r="H796" s="218" t="n"/>
      <c r="I796" s="218" t="n"/>
      <c r="J796" s="218" t="n"/>
      <c r="M796" s="218" t="n"/>
      <c r="S796" s="346" t="n"/>
    </row>
    <row r="797">
      <c r="C797" s="346" t="n"/>
      <c r="D797" s="218" t="n"/>
      <c r="H797" s="218" t="n"/>
      <c r="I797" s="218" t="n"/>
      <c r="J797" s="218" t="n"/>
      <c r="M797" s="218" t="n"/>
      <c r="S797" s="346" t="n"/>
    </row>
    <row r="798">
      <c r="C798" s="346" t="n"/>
      <c r="D798" s="218" t="n"/>
      <c r="H798" s="218" t="n"/>
      <c r="I798" s="218" t="n"/>
      <c r="J798" s="218" t="n"/>
      <c r="M798" s="218" t="n"/>
      <c r="S798" s="346" t="n"/>
    </row>
    <row r="799">
      <c r="C799" s="346" t="n"/>
      <c r="D799" s="218" t="n"/>
      <c r="H799" s="218" t="n"/>
      <c r="I799" s="218" t="n"/>
      <c r="J799" s="218" t="n"/>
      <c r="M799" s="218" t="n"/>
      <c r="S799" s="346" t="n"/>
    </row>
    <row r="800">
      <c r="C800" s="346" t="n"/>
      <c r="D800" s="218" t="n"/>
      <c r="H800" s="218" t="n"/>
      <c r="I800" s="218" t="n"/>
      <c r="J800" s="218" t="n"/>
      <c r="M800" s="218" t="n"/>
      <c r="S800" s="346" t="n"/>
    </row>
    <row r="801">
      <c r="C801" s="346" t="n"/>
      <c r="D801" s="218" t="n"/>
      <c r="H801" s="218" t="n"/>
      <c r="I801" s="218" t="n"/>
      <c r="J801" s="218" t="n"/>
      <c r="M801" s="218" t="n"/>
      <c r="S801" s="346" t="n"/>
    </row>
    <row r="802">
      <c r="C802" s="346" t="n"/>
      <c r="D802" s="218" t="n"/>
      <c r="H802" s="218" t="n"/>
      <c r="I802" s="218" t="n"/>
      <c r="J802" s="218" t="n"/>
      <c r="M802" s="218" t="n"/>
      <c r="S802" s="346" t="n"/>
    </row>
    <row r="803">
      <c r="C803" s="346" t="n"/>
      <c r="D803" s="218" t="n"/>
      <c r="H803" s="218" t="n"/>
      <c r="I803" s="218" t="n"/>
      <c r="J803" s="218" t="n"/>
      <c r="M803" s="218" t="n"/>
      <c r="S803" s="346" t="n"/>
    </row>
    <row r="804">
      <c r="C804" s="346" t="n"/>
      <c r="D804" s="218" t="n"/>
      <c r="H804" s="218" t="n"/>
      <c r="I804" s="218" t="n"/>
      <c r="J804" s="218" t="n"/>
      <c r="M804" s="218" t="n"/>
      <c r="S804" s="346" t="n"/>
    </row>
    <row r="805">
      <c r="C805" s="346" t="n"/>
      <c r="D805" s="218" t="n"/>
      <c r="H805" s="218" t="n"/>
      <c r="I805" s="218" t="n"/>
      <c r="J805" s="218" t="n"/>
      <c r="M805" s="218" t="n"/>
      <c r="S805" s="346" t="n"/>
    </row>
    <row r="806">
      <c r="C806" s="346" t="n"/>
      <c r="D806" s="218" t="n"/>
      <c r="H806" s="218" t="n"/>
      <c r="I806" s="218" t="n"/>
      <c r="J806" s="218" t="n"/>
      <c r="M806" s="218" t="n"/>
      <c r="S806" s="346" t="n"/>
    </row>
    <row r="807">
      <c r="C807" s="346" t="n"/>
      <c r="D807" s="218" t="n"/>
      <c r="H807" s="218" t="n"/>
      <c r="I807" s="218" t="n"/>
      <c r="J807" s="218" t="n"/>
      <c r="M807" s="218" t="n"/>
      <c r="S807" s="346" t="n"/>
    </row>
    <row r="808">
      <c r="C808" s="346" t="n"/>
      <c r="D808" s="218" t="n"/>
      <c r="H808" s="218" t="n"/>
      <c r="I808" s="218" t="n"/>
      <c r="J808" s="218" t="n"/>
      <c r="M808" s="218" t="n"/>
      <c r="S808" s="346" t="n"/>
    </row>
    <row r="809">
      <c r="C809" s="346" t="n"/>
      <c r="D809" s="218" t="n"/>
      <c r="H809" s="218" t="n"/>
      <c r="I809" s="218" t="n"/>
      <c r="J809" s="218" t="n"/>
      <c r="M809" s="218" t="n"/>
      <c r="S809" s="346" t="n"/>
    </row>
    <row r="810">
      <c r="C810" s="346" t="n"/>
      <c r="D810" s="218" t="n"/>
      <c r="H810" s="218" t="n"/>
      <c r="I810" s="218" t="n"/>
      <c r="J810" s="218" t="n"/>
      <c r="M810" s="218" t="n"/>
      <c r="S810" s="346" t="n"/>
    </row>
    <row r="811">
      <c r="C811" s="346" t="n"/>
      <c r="D811" s="218" t="n"/>
      <c r="H811" s="218" t="n"/>
      <c r="I811" s="218" t="n"/>
      <c r="J811" s="218" t="n"/>
      <c r="M811" s="218" t="n"/>
      <c r="S811" s="346" t="n"/>
    </row>
    <row r="812">
      <c r="C812" s="346" t="n"/>
      <c r="D812" s="218" t="n"/>
      <c r="H812" s="218" t="n"/>
      <c r="I812" s="218" t="n"/>
      <c r="J812" s="218" t="n"/>
      <c r="M812" s="218" t="n"/>
      <c r="S812" s="346" t="n"/>
    </row>
    <row r="813">
      <c r="C813" s="346" t="n"/>
      <c r="D813" s="218" t="n"/>
      <c r="H813" s="218" t="n"/>
      <c r="I813" s="218" t="n"/>
      <c r="J813" s="218" t="n"/>
      <c r="M813" s="218" t="n"/>
      <c r="S813" s="346" t="n"/>
    </row>
    <row r="814">
      <c r="C814" s="346" t="n"/>
      <c r="D814" s="218" t="n"/>
      <c r="H814" s="218" t="n"/>
      <c r="I814" s="218" t="n"/>
      <c r="J814" s="218" t="n"/>
      <c r="M814" s="218" t="n"/>
      <c r="S814" s="346" t="n"/>
    </row>
    <row r="815">
      <c r="C815" s="346" t="n"/>
      <c r="D815" s="218" t="n"/>
      <c r="H815" s="218" t="n"/>
      <c r="I815" s="218" t="n"/>
      <c r="J815" s="218" t="n"/>
      <c r="M815" s="218" t="n"/>
      <c r="S815" s="346" t="n"/>
    </row>
    <row r="816">
      <c r="C816" s="346" t="n"/>
      <c r="D816" s="218" t="n"/>
      <c r="H816" s="218" t="n"/>
      <c r="I816" s="218" t="n"/>
      <c r="J816" s="218" t="n"/>
      <c r="M816" s="218" t="n"/>
      <c r="S816" s="346" t="n"/>
    </row>
    <row r="817">
      <c r="C817" s="346" t="n"/>
      <c r="D817" s="218" t="n"/>
      <c r="H817" s="218" t="n"/>
      <c r="I817" s="218" t="n"/>
      <c r="J817" s="218" t="n"/>
      <c r="M817" s="218" t="n"/>
      <c r="S817" s="346" t="n"/>
    </row>
    <row r="818">
      <c r="C818" s="346" t="n"/>
      <c r="D818" s="218" t="n"/>
      <c r="H818" s="218" t="n"/>
      <c r="I818" s="218" t="n"/>
      <c r="J818" s="218" t="n"/>
      <c r="M818" s="218" t="n"/>
      <c r="S818" s="346" t="n"/>
    </row>
    <row r="819">
      <c r="C819" s="346" t="n"/>
      <c r="D819" s="218" t="n"/>
      <c r="H819" s="218" t="n"/>
      <c r="I819" s="218" t="n"/>
      <c r="J819" s="218" t="n"/>
      <c r="M819" s="218" t="n"/>
      <c r="S819" s="346" t="n"/>
    </row>
    <row r="820">
      <c r="C820" s="346" t="n"/>
      <c r="D820" s="218" t="n"/>
      <c r="H820" s="218" t="n"/>
      <c r="I820" s="218" t="n"/>
      <c r="J820" s="218" t="n"/>
      <c r="M820" s="218" t="n"/>
      <c r="S820" s="346" t="n"/>
    </row>
    <row r="821">
      <c r="C821" s="346" t="n"/>
      <c r="D821" s="218" t="n"/>
      <c r="H821" s="218" t="n"/>
      <c r="I821" s="218" t="n"/>
      <c r="J821" s="218" t="n"/>
      <c r="M821" s="218" t="n"/>
      <c r="S821" s="346" t="n"/>
    </row>
    <row r="822">
      <c r="C822" s="346" t="n"/>
      <c r="D822" s="218" t="n"/>
      <c r="H822" s="218" t="n"/>
      <c r="I822" s="218" t="n"/>
      <c r="J822" s="218" t="n"/>
      <c r="M822" s="218" t="n"/>
      <c r="S822" s="346" t="n"/>
    </row>
    <row r="823">
      <c r="C823" s="346" t="n"/>
      <c r="D823" s="218" t="n"/>
      <c r="H823" s="218" t="n"/>
      <c r="I823" s="218" t="n"/>
      <c r="J823" s="218" t="n"/>
      <c r="M823" s="218" t="n"/>
      <c r="S823" s="346" t="n"/>
    </row>
    <row r="824">
      <c r="C824" s="346" t="n"/>
      <c r="D824" s="218" t="n"/>
      <c r="H824" s="218" t="n"/>
      <c r="I824" s="218" t="n"/>
      <c r="J824" s="218" t="n"/>
      <c r="M824" s="218" t="n"/>
      <c r="S824" s="346" t="n"/>
    </row>
    <row r="825">
      <c r="C825" s="346" t="n"/>
      <c r="D825" s="218" t="n"/>
      <c r="H825" s="218" t="n"/>
      <c r="I825" s="218" t="n"/>
      <c r="J825" s="218" t="n"/>
      <c r="M825" s="218" t="n"/>
      <c r="S825" s="346" t="n"/>
    </row>
    <row r="826">
      <c r="C826" s="346" t="n"/>
      <c r="D826" s="218" t="n"/>
      <c r="H826" s="218" t="n"/>
      <c r="I826" s="218" t="n"/>
      <c r="J826" s="218" t="n"/>
      <c r="M826" s="218" t="n"/>
      <c r="S826" s="346" t="n"/>
    </row>
    <row r="827">
      <c r="C827" s="346" t="n"/>
      <c r="D827" s="218" t="n"/>
      <c r="H827" s="218" t="n"/>
      <c r="I827" s="218" t="n"/>
      <c r="J827" s="218" t="n"/>
      <c r="M827" s="218" t="n"/>
      <c r="S827" s="346" t="n"/>
    </row>
    <row r="828">
      <c r="C828" s="346" t="n"/>
      <c r="D828" s="218" t="n"/>
      <c r="H828" s="218" t="n"/>
      <c r="I828" s="218" t="n"/>
      <c r="J828" s="218" t="n"/>
      <c r="M828" s="218" t="n"/>
      <c r="S828" s="346" t="n"/>
    </row>
    <row r="829">
      <c r="C829" s="346" t="n"/>
      <c r="D829" s="218" t="n"/>
      <c r="H829" s="218" t="n"/>
      <c r="I829" s="218" t="n"/>
      <c r="J829" s="218" t="n"/>
      <c r="M829" s="218" t="n"/>
      <c r="S829" s="346" t="n"/>
    </row>
    <row r="830">
      <c r="C830" s="346" t="n"/>
      <c r="D830" s="218" t="n"/>
      <c r="H830" s="218" t="n"/>
      <c r="I830" s="218" t="n"/>
      <c r="J830" s="218" t="n"/>
      <c r="M830" s="218" t="n"/>
      <c r="S830" s="346" t="n"/>
    </row>
    <row r="831">
      <c r="C831" s="346" t="n"/>
      <c r="D831" s="218" t="n"/>
      <c r="H831" s="218" t="n"/>
      <c r="I831" s="218" t="n"/>
      <c r="J831" s="218" t="n"/>
      <c r="M831" s="218" t="n"/>
      <c r="S831" s="346" t="n"/>
    </row>
    <row r="832">
      <c r="C832" s="346" t="n"/>
      <c r="D832" s="218" t="n"/>
      <c r="H832" s="218" t="n"/>
      <c r="I832" s="218" t="n"/>
      <c r="J832" s="218" t="n"/>
      <c r="M832" s="218" t="n"/>
      <c r="S832" s="346" t="n"/>
    </row>
    <row r="833">
      <c r="C833" s="346" t="n"/>
      <c r="D833" s="218" t="n"/>
      <c r="H833" s="218" t="n"/>
      <c r="I833" s="218" t="n"/>
      <c r="J833" s="218" t="n"/>
      <c r="M833" s="218" t="n"/>
      <c r="S833" s="346" t="n"/>
    </row>
    <row r="834">
      <c r="C834" s="346" t="n"/>
      <c r="D834" s="218" t="n"/>
      <c r="H834" s="218" t="n"/>
      <c r="I834" s="218" t="n"/>
      <c r="J834" s="218" t="n"/>
      <c r="M834" s="218" t="n"/>
      <c r="S834" s="346" t="n"/>
    </row>
    <row r="835">
      <c r="C835" s="346" t="n"/>
      <c r="D835" s="218" t="n"/>
      <c r="H835" s="218" t="n"/>
      <c r="I835" s="218" t="n"/>
      <c r="J835" s="218" t="n"/>
      <c r="M835" s="218" t="n"/>
      <c r="S835" s="346" t="n"/>
    </row>
    <row r="836">
      <c r="C836" s="346" t="n"/>
      <c r="D836" s="218" t="n"/>
      <c r="H836" s="218" t="n"/>
      <c r="I836" s="218" t="n"/>
      <c r="J836" s="218" t="n"/>
      <c r="M836" s="218" t="n"/>
      <c r="S836" s="346" t="n"/>
    </row>
    <row r="837">
      <c r="C837" s="346" t="n"/>
      <c r="D837" s="218" t="n"/>
      <c r="H837" s="218" t="n"/>
      <c r="I837" s="218" t="n"/>
      <c r="J837" s="218" t="n"/>
      <c r="M837" s="218" t="n"/>
      <c r="S837" s="346" t="n"/>
    </row>
    <row r="838">
      <c r="C838" s="346" t="n"/>
      <c r="D838" s="218" t="n"/>
      <c r="H838" s="218" t="n"/>
      <c r="I838" s="218" t="n"/>
      <c r="J838" s="218" t="n"/>
      <c r="M838" s="218" t="n"/>
      <c r="S838" s="346" t="n"/>
    </row>
    <row r="839">
      <c r="C839" s="346" t="n"/>
      <c r="D839" s="218" t="n"/>
      <c r="H839" s="218" t="n"/>
      <c r="I839" s="218" t="n"/>
      <c r="J839" s="218" t="n"/>
      <c r="M839" s="218" t="n"/>
      <c r="S839" s="346" t="n"/>
    </row>
    <row r="840">
      <c r="C840" s="346" t="n"/>
      <c r="D840" s="218" t="n"/>
      <c r="H840" s="218" t="n"/>
      <c r="I840" s="218" t="n"/>
      <c r="J840" s="218" t="n"/>
      <c r="M840" s="218" t="n"/>
      <c r="S840" s="346" t="n"/>
    </row>
    <row r="841">
      <c r="C841" s="346" t="n"/>
      <c r="D841" s="218" t="n"/>
      <c r="H841" s="218" t="n"/>
      <c r="I841" s="218" t="n"/>
      <c r="J841" s="218" t="n"/>
      <c r="M841" s="218" t="n"/>
      <c r="S841" s="346" t="n"/>
    </row>
    <row r="842">
      <c r="C842" s="346" t="n"/>
      <c r="D842" s="218" t="n"/>
      <c r="H842" s="218" t="n"/>
      <c r="I842" s="218" t="n"/>
      <c r="J842" s="218" t="n"/>
      <c r="M842" s="218" t="n"/>
      <c r="S842" s="346" t="n"/>
    </row>
    <row r="843">
      <c r="C843" s="346" t="n"/>
      <c r="D843" s="218" t="n"/>
      <c r="H843" s="218" t="n"/>
      <c r="I843" s="218" t="n"/>
      <c r="J843" s="218" t="n"/>
      <c r="M843" s="218" t="n"/>
      <c r="S843" s="346" t="n"/>
    </row>
    <row r="844">
      <c r="C844" s="346" t="n"/>
      <c r="D844" s="218" t="n"/>
      <c r="H844" s="218" t="n"/>
      <c r="I844" s="218" t="n"/>
      <c r="J844" s="218" t="n"/>
      <c r="M844" s="218" t="n"/>
      <c r="S844" s="346" t="n"/>
    </row>
    <row r="845">
      <c r="C845" s="346" t="n"/>
      <c r="D845" s="218" t="n"/>
      <c r="H845" s="218" t="n"/>
      <c r="I845" s="218" t="n"/>
      <c r="J845" s="218" t="n"/>
      <c r="M845" s="218" t="n"/>
      <c r="S845" s="346" t="n"/>
    </row>
    <row r="846">
      <c r="C846" s="346" t="n"/>
      <c r="D846" s="218" t="n"/>
      <c r="H846" s="218" t="n"/>
      <c r="I846" s="218" t="n"/>
      <c r="J846" s="218" t="n"/>
      <c r="M846" s="218" t="n"/>
      <c r="S846" s="346" t="n"/>
    </row>
    <row r="847">
      <c r="C847" s="346" t="n"/>
      <c r="D847" s="218" t="n"/>
      <c r="H847" s="218" t="n"/>
      <c r="I847" s="218" t="n"/>
      <c r="J847" s="218" t="n"/>
      <c r="M847" s="218" t="n"/>
      <c r="S847" s="346" t="n"/>
    </row>
    <row r="848">
      <c r="C848" s="346" t="n"/>
      <c r="D848" s="218" t="n"/>
      <c r="H848" s="218" t="n"/>
      <c r="I848" s="218" t="n"/>
      <c r="J848" s="218" t="n"/>
      <c r="M848" s="218" t="n"/>
      <c r="S848" s="346" t="n"/>
    </row>
    <row r="849">
      <c r="C849" s="346" t="n"/>
      <c r="D849" s="218" t="n"/>
      <c r="H849" s="218" t="n"/>
      <c r="I849" s="218" t="n"/>
      <c r="J849" s="218" t="n"/>
      <c r="M849" s="218" t="n"/>
      <c r="S849" s="346" t="n"/>
    </row>
    <row r="850">
      <c r="C850" s="346" t="n"/>
      <c r="D850" s="218" t="n"/>
      <c r="H850" s="218" t="n"/>
      <c r="I850" s="218" t="n"/>
      <c r="J850" s="218" t="n"/>
      <c r="M850" s="218" t="n"/>
      <c r="S850" s="346" t="n"/>
    </row>
    <row r="851">
      <c r="C851" s="346" t="n"/>
      <c r="D851" s="218" t="n"/>
      <c r="H851" s="218" t="n"/>
      <c r="I851" s="218" t="n"/>
      <c r="J851" s="218" t="n"/>
      <c r="M851" s="218" t="n"/>
      <c r="S851" s="346" t="n"/>
    </row>
    <row r="852">
      <c r="C852" s="346" t="n"/>
      <c r="D852" s="218" t="n"/>
      <c r="H852" s="218" t="n"/>
      <c r="I852" s="218" t="n"/>
      <c r="J852" s="218" t="n"/>
      <c r="M852" s="218" t="n"/>
      <c r="S852" s="346" t="n"/>
    </row>
    <row r="853">
      <c r="C853" s="346" t="n"/>
      <c r="D853" s="218" t="n"/>
      <c r="H853" s="218" t="n"/>
      <c r="I853" s="218" t="n"/>
      <c r="J853" s="218" t="n"/>
      <c r="M853" s="218" t="n"/>
      <c r="S853" s="346" t="n"/>
    </row>
    <row r="854">
      <c r="C854" s="346" t="n"/>
      <c r="D854" s="218" t="n"/>
      <c r="H854" s="218" t="n"/>
      <c r="I854" s="218" t="n"/>
      <c r="J854" s="218" t="n"/>
      <c r="M854" s="218" t="n"/>
      <c r="S854" s="346" t="n"/>
    </row>
    <row r="855">
      <c r="C855" s="346" t="n"/>
      <c r="D855" s="218" t="n"/>
      <c r="H855" s="218" t="n"/>
      <c r="I855" s="218" t="n"/>
      <c r="J855" s="218" t="n"/>
      <c r="M855" s="218" t="n"/>
      <c r="S855" s="346" t="n"/>
    </row>
    <row r="856">
      <c r="C856" s="346" t="n"/>
      <c r="D856" s="218" t="n"/>
      <c r="H856" s="218" t="n"/>
      <c r="I856" s="218" t="n"/>
      <c r="J856" s="218" t="n"/>
      <c r="M856" s="218" t="n"/>
      <c r="S856" s="346" t="n"/>
    </row>
    <row r="857">
      <c r="C857" s="346" t="n"/>
      <c r="D857" s="218" t="n"/>
      <c r="H857" s="218" t="n"/>
      <c r="I857" s="218" t="n"/>
      <c r="J857" s="218" t="n"/>
      <c r="M857" s="218" t="n"/>
      <c r="S857" s="346" t="n"/>
    </row>
    <row r="858">
      <c r="C858" s="346" t="n"/>
      <c r="D858" s="218" t="n"/>
      <c r="H858" s="218" t="n"/>
      <c r="I858" s="218" t="n"/>
      <c r="J858" s="218" t="n"/>
      <c r="M858" s="218" t="n"/>
      <c r="S858" s="346" t="n"/>
    </row>
    <row r="859">
      <c r="C859" s="346" t="n"/>
      <c r="D859" s="218" t="n"/>
      <c r="H859" s="218" t="n"/>
      <c r="I859" s="218" t="n"/>
      <c r="J859" s="218" t="n"/>
      <c r="M859" s="218" t="n"/>
      <c r="S859" s="346" t="n"/>
    </row>
    <row r="860">
      <c r="C860" s="346" t="n"/>
      <c r="D860" s="218" t="n"/>
      <c r="H860" s="218" t="n"/>
      <c r="I860" s="218" t="n"/>
      <c r="J860" s="218" t="n"/>
      <c r="M860" s="218" t="n"/>
      <c r="S860" s="346" t="n"/>
    </row>
    <row r="861">
      <c r="C861" s="346" t="n"/>
      <c r="D861" s="218" t="n"/>
      <c r="H861" s="218" t="n"/>
      <c r="I861" s="218" t="n"/>
      <c r="J861" s="218" t="n"/>
      <c r="M861" s="218" t="n"/>
      <c r="S861" s="346" t="n"/>
    </row>
    <row r="862">
      <c r="C862" s="346" t="n"/>
      <c r="D862" s="218" t="n"/>
      <c r="H862" s="218" t="n"/>
      <c r="I862" s="218" t="n"/>
      <c r="J862" s="218" t="n"/>
      <c r="M862" s="218" t="n"/>
      <c r="S862" s="346" t="n"/>
    </row>
    <row r="863">
      <c r="C863" s="346" t="n"/>
      <c r="D863" s="218" t="n"/>
      <c r="H863" s="218" t="n"/>
      <c r="I863" s="218" t="n"/>
      <c r="J863" s="218" t="n"/>
      <c r="M863" s="218" t="n"/>
      <c r="S863" s="346" t="n"/>
    </row>
    <row r="864">
      <c r="C864" s="346" t="n"/>
      <c r="D864" s="218" t="n"/>
      <c r="H864" s="218" t="n"/>
      <c r="I864" s="218" t="n"/>
      <c r="J864" s="218" t="n"/>
      <c r="M864" s="218" t="n"/>
      <c r="S864" s="346" t="n"/>
    </row>
    <row r="865">
      <c r="C865" s="346" t="n"/>
      <c r="D865" s="218" t="n"/>
      <c r="H865" s="218" t="n"/>
      <c r="I865" s="218" t="n"/>
      <c r="J865" s="218" t="n"/>
      <c r="M865" s="218" t="n"/>
      <c r="S865" s="346" t="n"/>
    </row>
    <row r="866">
      <c r="C866" s="346" t="n"/>
      <c r="D866" s="218" t="n"/>
      <c r="H866" s="218" t="n"/>
      <c r="I866" s="218" t="n"/>
      <c r="J866" s="218" t="n"/>
      <c r="M866" s="218" t="n"/>
      <c r="S866" s="346" t="n"/>
    </row>
    <row r="867">
      <c r="C867" s="346" t="n"/>
      <c r="D867" s="218" t="n"/>
      <c r="H867" s="218" t="n"/>
      <c r="I867" s="218" t="n"/>
      <c r="J867" s="218" t="n"/>
      <c r="M867" s="218" t="n"/>
      <c r="S867" s="346" t="n"/>
    </row>
    <row r="868">
      <c r="C868" s="346" t="n"/>
      <c r="D868" s="218" t="n"/>
      <c r="H868" s="218" t="n"/>
      <c r="I868" s="218" t="n"/>
      <c r="J868" s="218" t="n"/>
      <c r="M868" s="218" t="n"/>
      <c r="S868" s="346" t="n"/>
    </row>
    <row r="869">
      <c r="C869" s="346" t="n"/>
      <c r="D869" s="218" t="n"/>
      <c r="H869" s="218" t="n"/>
      <c r="I869" s="218" t="n"/>
      <c r="J869" s="218" t="n"/>
      <c r="M869" s="218" t="n"/>
      <c r="S869" s="346" t="n"/>
    </row>
    <row r="870">
      <c r="C870" s="346" t="n"/>
      <c r="D870" s="218" t="n"/>
      <c r="H870" s="218" t="n"/>
      <c r="I870" s="218" t="n"/>
      <c r="J870" s="218" t="n"/>
      <c r="M870" s="218" t="n"/>
      <c r="S870" s="346" t="n"/>
    </row>
    <row r="871">
      <c r="C871" s="346" t="n"/>
      <c r="D871" s="218" t="n"/>
      <c r="H871" s="218" t="n"/>
      <c r="I871" s="218" t="n"/>
      <c r="J871" s="218" t="n"/>
      <c r="M871" s="218" t="n"/>
      <c r="S871" s="346" t="n"/>
    </row>
    <row r="872">
      <c r="C872" s="346" t="n"/>
      <c r="D872" s="218" t="n"/>
      <c r="H872" s="218" t="n"/>
      <c r="I872" s="218" t="n"/>
      <c r="J872" s="218" t="n"/>
      <c r="M872" s="218" t="n"/>
      <c r="S872" s="346" t="n"/>
    </row>
    <row r="873">
      <c r="C873" s="346" t="n"/>
      <c r="D873" s="218" t="n"/>
      <c r="H873" s="218" t="n"/>
      <c r="I873" s="218" t="n"/>
      <c r="J873" s="218" t="n"/>
      <c r="M873" s="218" t="n"/>
      <c r="S873" s="346" t="n"/>
    </row>
    <row r="874">
      <c r="C874" s="346" t="n"/>
      <c r="D874" s="218" t="n"/>
      <c r="H874" s="218" t="n"/>
      <c r="I874" s="218" t="n"/>
      <c r="J874" s="218" t="n"/>
      <c r="M874" s="218" t="n"/>
      <c r="S874" s="346" t="n"/>
    </row>
    <row r="875">
      <c r="C875" s="346" t="n"/>
      <c r="D875" s="218" t="n"/>
      <c r="H875" s="218" t="n"/>
      <c r="I875" s="218" t="n"/>
      <c r="J875" s="218" t="n"/>
      <c r="M875" s="218" t="n"/>
      <c r="S875" s="346" t="n"/>
    </row>
    <row r="876">
      <c r="C876" s="346" t="n"/>
      <c r="D876" s="218" t="n"/>
      <c r="H876" s="218" t="n"/>
      <c r="I876" s="218" t="n"/>
      <c r="J876" s="218" t="n"/>
      <c r="M876" s="218" t="n"/>
      <c r="S876" s="346" t="n"/>
    </row>
    <row r="877">
      <c r="C877" s="346" t="n"/>
      <c r="D877" s="218" t="n"/>
      <c r="H877" s="218" t="n"/>
      <c r="I877" s="218" t="n"/>
      <c r="J877" s="218" t="n"/>
      <c r="M877" s="218" t="n"/>
      <c r="S877" s="346" t="n"/>
    </row>
    <row r="878">
      <c r="C878" s="346" t="n"/>
      <c r="D878" s="218" t="n"/>
      <c r="H878" s="218" t="n"/>
      <c r="I878" s="218" t="n"/>
      <c r="J878" s="218" t="n"/>
      <c r="M878" s="218" t="n"/>
      <c r="S878" s="346" t="n"/>
    </row>
    <row r="879">
      <c r="C879" s="346" t="n"/>
      <c r="D879" s="218" t="n"/>
      <c r="H879" s="218" t="n"/>
      <c r="I879" s="218" t="n"/>
      <c r="J879" s="218" t="n"/>
      <c r="M879" s="218" t="n"/>
      <c r="S879" s="346" t="n"/>
    </row>
    <row r="880">
      <c r="C880" s="346" t="n"/>
      <c r="D880" s="218" t="n"/>
      <c r="H880" s="218" t="n"/>
      <c r="I880" s="218" t="n"/>
      <c r="J880" s="218" t="n"/>
      <c r="M880" s="218" t="n"/>
      <c r="S880" s="346" t="n"/>
    </row>
    <row r="881">
      <c r="C881" s="346" t="n"/>
      <c r="D881" s="218" t="n"/>
      <c r="H881" s="218" t="n"/>
      <c r="I881" s="218" t="n"/>
      <c r="J881" s="218" t="n"/>
      <c r="M881" s="218" t="n"/>
      <c r="S881" s="346" t="n"/>
    </row>
    <row r="882">
      <c r="C882" s="346" t="n"/>
      <c r="D882" s="218" t="n"/>
      <c r="H882" s="218" t="n"/>
      <c r="I882" s="218" t="n"/>
      <c r="J882" s="218" t="n"/>
      <c r="M882" s="218" t="n"/>
      <c r="S882" s="346" t="n"/>
    </row>
    <row r="883">
      <c r="C883" s="346" t="n"/>
      <c r="D883" s="218" t="n"/>
      <c r="H883" s="218" t="n"/>
      <c r="I883" s="218" t="n"/>
      <c r="J883" s="218" t="n"/>
      <c r="M883" s="218" t="n"/>
      <c r="S883" s="346" t="n"/>
    </row>
    <row r="884">
      <c r="C884" s="346" t="n"/>
      <c r="D884" s="218" t="n"/>
      <c r="H884" s="218" t="n"/>
      <c r="I884" s="218" t="n"/>
      <c r="J884" s="218" t="n"/>
      <c r="M884" s="218" t="n"/>
      <c r="S884" s="346" t="n"/>
    </row>
    <row r="885">
      <c r="C885" s="346" t="n"/>
      <c r="D885" s="218" t="n"/>
      <c r="H885" s="218" t="n"/>
      <c r="I885" s="218" t="n"/>
      <c r="J885" s="218" t="n"/>
      <c r="M885" s="218" t="n"/>
      <c r="S885" s="346" t="n"/>
    </row>
    <row r="886">
      <c r="C886" s="346" t="n"/>
      <c r="D886" s="218" t="n"/>
      <c r="H886" s="218" t="n"/>
      <c r="I886" s="218" t="n"/>
      <c r="J886" s="218" t="n"/>
      <c r="M886" s="218" t="n"/>
      <c r="S886" s="346" t="n"/>
    </row>
    <row r="887">
      <c r="C887" s="346" t="n"/>
      <c r="D887" s="218" t="n"/>
      <c r="H887" s="218" t="n"/>
      <c r="I887" s="218" t="n"/>
      <c r="J887" s="218" t="n"/>
      <c r="M887" s="218" t="n"/>
      <c r="S887" s="346" t="n"/>
    </row>
    <row r="888">
      <c r="C888" s="346" t="n"/>
      <c r="D888" s="218" t="n"/>
      <c r="H888" s="218" t="n"/>
      <c r="I888" s="218" t="n"/>
      <c r="J888" s="218" t="n"/>
      <c r="M888" s="218" t="n"/>
      <c r="S888" s="346" t="n"/>
    </row>
    <row r="889">
      <c r="C889" s="346" t="n"/>
      <c r="D889" s="218" t="n"/>
      <c r="H889" s="218" t="n"/>
      <c r="I889" s="218" t="n"/>
      <c r="J889" s="218" t="n"/>
      <c r="M889" s="218" t="n"/>
      <c r="S889" s="346" t="n"/>
    </row>
    <row r="890">
      <c r="C890" s="346" t="n"/>
      <c r="D890" s="218" t="n"/>
      <c r="H890" s="218" t="n"/>
      <c r="I890" s="218" t="n"/>
      <c r="J890" s="218" t="n"/>
      <c r="M890" s="218" t="n"/>
      <c r="S890" s="346" t="n"/>
    </row>
    <row r="891">
      <c r="C891" s="346" t="n"/>
      <c r="D891" s="218" t="n"/>
      <c r="H891" s="218" t="n"/>
      <c r="I891" s="218" t="n"/>
      <c r="J891" s="218" t="n"/>
      <c r="M891" s="218" t="n"/>
      <c r="S891" s="346" t="n"/>
    </row>
    <row r="892">
      <c r="C892" s="346" t="n"/>
      <c r="D892" s="218" t="n"/>
      <c r="H892" s="218" t="n"/>
      <c r="I892" s="218" t="n"/>
      <c r="J892" s="218" t="n"/>
      <c r="M892" s="218" t="n"/>
      <c r="S892" s="346" t="n"/>
    </row>
    <row r="893">
      <c r="C893" s="346" t="n"/>
      <c r="D893" s="218" t="n"/>
      <c r="H893" s="218" t="n"/>
      <c r="I893" s="218" t="n"/>
      <c r="J893" s="218" t="n"/>
      <c r="M893" s="218" t="n"/>
      <c r="S893" s="346" t="n"/>
    </row>
    <row r="894">
      <c r="C894" s="346" t="n"/>
      <c r="D894" s="218" t="n"/>
      <c r="H894" s="218" t="n"/>
      <c r="I894" s="218" t="n"/>
      <c r="J894" s="218" t="n"/>
      <c r="M894" s="218" t="n"/>
      <c r="S894" s="346" t="n"/>
    </row>
    <row r="895">
      <c r="C895" s="346" t="n"/>
      <c r="D895" s="218" t="n"/>
      <c r="H895" s="218" t="n"/>
      <c r="I895" s="218" t="n"/>
      <c r="J895" s="218" t="n"/>
      <c r="M895" s="218" t="n"/>
      <c r="S895" s="346" t="n"/>
    </row>
    <row r="896">
      <c r="C896" s="346" t="n"/>
      <c r="D896" s="218" t="n"/>
      <c r="H896" s="218" t="n"/>
      <c r="I896" s="218" t="n"/>
      <c r="J896" s="218" t="n"/>
      <c r="M896" s="218" t="n"/>
      <c r="S896" s="346" t="n"/>
    </row>
    <row r="897">
      <c r="C897" s="346" t="n"/>
      <c r="D897" s="218" t="n"/>
      <c r="H897" s="218" t="n"/>
      <c r="I897" s="218" t="n"/>
      <c r="J897" s="218" t="n"/>
      <c r="M897" s="218" t="n"/>
      <c r="S897" s="346" t="n"/>
    </row>
    <row r="898">
      <c r="C898" s="346" t="n"/>
      <c r="D898" s="218" t="n"/>
      <c r="H898" s="218" t="n"/>
      <c r="I898" s="218" t="n"/>
      <c r="J898" s="218" t="n"/>
      <c r="M898" s="218" t="n"/>
      <c r="S898" s="346" t="n"/>
    </row>
    <row r="899">
      <c r="C899" s="346" t="n"/>
      <c r="D899" s="218" t="n"/>
      <c r="H899" s="218" t="n"/>
      <c r="I899" s="218" t="n"/>
      <c r="J899" s="218" t="n"/>
      <c r="M899" s="218" t="n"/>
      <c r="S899" s="346" t="n"/>
    </row>
    <row r="900">
      <c r="C900" s="346" t="n"/>
      <c r="D900" s="218" t="n"/>
      <c r="H900" s="218" t="n"/>
      <c r="I900" s="218" t="n"/>
      <c r="J900" s="218" t="n"/>
      <c r="M900" s="218" t="n"/>
      <c r="S900" s="346" t="n"/>
    </row>
    <row r="901">
      <c r="C901" s="346" t="n"/>
      <c r="D901" s="218" t="n"/>
      <c r="H901" s="218" t="n"/>
      <c r="I901" s="218" t="n"/>
      <c r="J901" s="218" t="n"/>
      <c r="M901" s="218" t="n"/>
      <c r="S901" s="346" t="n"/>
    </row>
    <row r="902">
      <c r="C902" s="346" t="n"/>
      <c r="D902" s="218" t="n"/>
      <c r="H902" s="218" t="n"/>
      <c r="I902" s="218" t="n"/>
      <c r="J902" s="218" t="n"/>
      <c r="M902" s="218" t="n"/>
      <c r="S902" s="346" t="n"/>
    </row>
    <row r="903">
      <c r="C903" s="346" t="n"/>
      <c r="D903" s="218" t="n"/>
      <c r="H903" s="218" t="n"/>
      <c r="I903" s="218" t="n"/>
      <c r="J903" s="218" t="n"/>
      <c r="M903" s="218" t="n"/>
      <c r="S903" s="346" t="n"/>
    </row>
    <row r="904">
      <c r="C904" s="346" t="n"/>
      <c r="D904" s="218" t="n"/>
      <c r="H904" s="218" t="n"/>
      <c r="I904" s="218" t="n"/>
      <c r="J904" s="218" t="n"/>
      <c r="M904" s="218" t="n"/>
      <c r="S904" s="346" t="n"/>
    </row>
    <row r="905">
      <c r="C905" s="346" t="n"/>
      <c r="D905" s="218" t="n"/>
      <c r="H905" s="218" t="n"/>
      <c r="I905" s="218" t="n"/>
      <c r="J905" s="218" t="n"/>
      <c r="M905" s="218" t="n"/>
      <c r="S905" s="346" t="n"/>
    </row>
    <row r="906">
      <c r="C906" s="346" t="n"/>
      <c r="D906" s="218" t="n"/>
      <c r="H906" s="218" t="n"/>
      <c r="I906" s="218" t="n"/>
      <c r="J906" s="218" t="n"/>
      <c r="M906" s="218" t="n"/>
      <c r="S906" s="346" t="n"/>
    </row>
    <row r="907">
      <c r="C907" s="346" t="n"/>
      <c r="D907" s="218" t="n"/>
      <c r="H907" s="218" t="n"/>
      <c r="I907" s="218" t="n"/>
      <c r="J907" s="218" t="n"/>
      <c r="M907" s="218" t="n"/>
      <c r="S907" s="346" t="n"/>
    </row>
    <row r="908">
      <c r="C908" s="346" t="n"/>
      <c r="D908" s="218" t="n"/>
      <c r="H908" s="218" t="n"/>
      <c r="I908" s="218" t="n"/>
      <c r="J908" s="218" t="n"/>
      <c r="M908" s="218" t="n"/>
      <c r="S908" s="346" t="n"/>
    </row>
    <row r="909">
      <c r="C909" s="346" t="n"/>
      <c r="D909" s="218" t="n"/>
      <c r="H909" s="218" t="n"/>
      <c r="I909" s="218" t="n"/>
      <c r="J909" s="218" t="n"/>
      <c r="M909" s="218" t="n"/>
      <c r="S909" s="346" t="n"/>
    </row>
    <row r="910">
      <c r="C910" s="346" t="n"/>
      <c r="D910" s="218" t="n"/>
      <c r="H910" s="218" t="n"/>
      <c r="I910" s="218" t="n"/>
      <c r="J910" s="218" t="n"/>
      <c r="M910" s="218" t="n"/>
      <c r="S910" s="346" t="n"/>
    </row>
    <row r="911">
      <c r="C911" s="346" t="n"/>
      <c r="D911" s="218" t="n"/>
      <c r="H911" s="218" t="n"/>
      <c r="I911" s="218" t="n"/>
      <c r="J911" s="218" t="n"/>
      <c r="M911" s="218" t="n"/>
      <c r="S911" s="346" t="n"/>
    </row>
    <row r="912">
      <c r="C912" s="346" t="n"/>
      <c r="D912" s="218" t="n"/>
      <c r="H912" s="218" t="n"/>
      <c r="I912" s="218" t="n"/>
      <c r="J912" s="218" t="n"/>
      <c r="M912" s="218" t="n"/>
      <c r="S912" s="346" t="n"/>
    </row>
    <row r="913">
      <c r="C913" s="346" t="n"/>
      <c r="D913" s="218" t="n"/>
      <c r="H913" s="218" t="n"/>
      <c r="I913" s="218" t="n"/>
      <c r="J913" s="218" t="n"/>
      <c r="M913" s="218" t="n"/>
      <c r="S913" s="346" t="n"/>
    </row>
    <row r="914">
      <c r="C914" s="346" t="n"/>
      <c r="D914" s="218" t="n"/>
      <c r="H914" s="218" t="n"/>
      <c r="I914" s="218" t="n"/>
      <c r="J914" s="218" t="n"/>
      <c r="M914" s="218" t="n"/>
      <c r="S914" s="346" t="n"/>
    </row>
    <row r="915">
      <c r="C915" s="346" t="n"/>
      <c r="D915" s="218" t="n"/>
      <c r="H915" s="218" t="n"/>
      <c r="I915" s="218" t="n"/>
      <c r="J915" s="218" t="n"/>
      <c r="M915" s="218" t="n"/>
      <c r="S915" s="346" t="n"/>
    </row>
    <row r="916">
      <c r="C916" s="346" t="n"/>
      <c r="D916" s="218" t="n"/>
      <c r="H916" s="218" t="n"/>
      <c r="I916" s="218" t="n"/>
      <c r="J916" s="218" t="n"/>
      <c r="M916" s="218" t="n"/>
      <c r="S916" s="346" t="n"/>
    </row>
    <row r="917">
      <c r="C917" s="346" t="n"/>
      <c r="D917" s="218" t="n"/>
      <c r="H917" s="218" t="n"/>
      <c r="I917" s="218" t="n"/>
      <c r="J917" s="218" t="n"/>
      <c r="M917" s="218" t="n"/>
      <c r="S917" s="346" t="n"/>
    </row>
    <row r="918">
      <c r="C918" s="346" t="n"/>
      <c r="D918" s="218" t="n"/>
      <c r="H918" s="218" t="n"/>
      <c r="I918" s="218" t="n"/>
      <c r="J918" s="218" t="n"/>
      <c r="M918" s="218" t="n"/>
      <c r="S918" s="346" t="n"/>
    </row>
    <row r="919">
      <c r="C919" s="346" t="n"/>
      <c r="D919" s="218" t="n"/>
      <c r="H919" s="218" t="n"/>
      <c r="I919" s="218" t="n"/>
      <c r="J919" s="218" t="n"/>
      <c r="M919" s="218" t="n"/>
      <c r="S919" s="346" t="n"/>
    </row>
    <row r="920">
      <c r="C920" s="346" t="n"/>
      <c r="D920" s="218" t="n"/>
      <c r="H920" s="218" t="n"/>
      <c r="I920" s="218" t="n"/>
      <c r="J920" s="218" t="n"/>
      <c r="M920" s="218" t="n"/>
      <c r="S920" s="346" t="n"/>
    </row>
    <row r="921">
      <c r="C921" s="346" t="n"/>
      <c r="D921" s="218" t="n"/>
      <c r="H921" s="218" t="n"/>
      <c r="I921" s="218" t="n"/>
      <c r="J921" s="218" t="n"/>
      <c r="M921" s="218" t="n"/>
      <c r="S921" s="346" t="n"/>
    </row>
    <row r="922">
      <c r="C922" s="346" t="n"/>
      <c r="D922" s="218" t="n"/>
      <c r="H922" s="218" t="n"/>
      <c r="I922" s="218" t="n"/>
      <c r="J922" s="218" t="n"/>
      <c r="M922" s="218" t="n"/>
      <c r="S922" s="346" t="n"/>
    </row>
    <row r="923">
      <c r="C923" s="346" t="n"/>
      <c r="D923" s="218" t="n"/>
      <c r="H923" s="218" t="n"/>
      <c r="I923" s="218" t="n"/>
      <c r="J923" s="218" t="n"/>
      <c r="M923" s="218" t="n"/>
      <c r="S923" s="346" t="n"/>
    </row>
    <row r="924">
      <c r="C924" s="346" t="n"/>
      <c r="D924" s="218" t="n"/>
      <c r="H924" s="218" t="n"/>
      <c r="I924" s="218" t="n"/>
      <c r="J924" s="218" t="n"/>
      <c r="M924" s="218" t="n"/>
      <c r="S924" s="346" t="n"/>
    </row>
    <row r="925">
      <c r="C925" s="346" t="n"/>
      <c r="D925" s="218" t="n"/>
      <c r="H925" s="218" t="n"/>
      <c r="I925" s="218" t="n"/>
      <c r="J925" s="218" t="n"/>
      <c r="M925" s="218" t="n"/>
      <c r="S925" s="346" t="n"/>
    </row>
    <row r="926">
      <c r="C926" s="346" t="n"/>
      <c r="D926" s="218" t="n"/>
      <c r="H926" s="218" t="n"/>
      <c r="I926" s="218" t="n"/>
      <c r="J926" s="218" t="n"/>
      <c r="M926" s="218" t="n"/>
      <c r="S926" s="346" t="n"/>
    </row>
    <row r="927">
      <c r="C927" s="346" t="n"/>
      <c r="D927" s="218" t="n"/>
      <c r="H927" s="218" t="n"/>
      <c r="I927" s="218" t="n"/>
      <c r="J927" s="218" t="n"/>
      <c r="M927" s="218" t="n"/>
      <c r="S927" s="346" t="n"/>
    </row>
    <row r="928">
      <c r="C928" s="346" t="n"/>
      <c r="D928" s="218" t="n"/>
      <c r="H928" s="218" t="n"/>
      <c r="I928" s="218" t="n"/>
      <c r="J928" s="218" t="n"/>
      <c r="M928" s="218" t="n"/>
      <c r="S928" s="346" t="n"/>
    </row>
    <row r="929">
      <c r="C929" s="346" t="n"/>
      <c r="D929" s="218" t="n"/>
      <c r="H929" s="218" t="n"/>
      <c r="I929" s="218" t="n"/>
      <c r="J929" s="218" t="n"/>
      <c r="M929" s="218" t="n"/>
      <c r="S929" s="346" t="n"/>
    </row>
    <row r="930">
      <c r="C930" s="346" t="n"/>
      <c r="D930" s="218" t="n"/>
      <c r="H930" s="218" t="n"/>
      <c r="I930" s="218" t="n"/>
      <c r="J930" s="218" t="n"/>
      <c r="M930" s="218" t="n"/>
      <c r="S930" s="346" t="n"/>
    </row>
    <row r="931">
      <c r="C931" s="346" t="n"/>
      <c r="D931" s="218" t="n"/>
      <c r="H931" s="218" t="n"/>
      <c r="I931" s="218" t="n"/>
      <c r="J931" s="218" t="n"/>
      <c r="M931" s="218" t="n"/>
      <c r="S931" s="346" t="n"/>
    </row>
    <row r="932">
      <c r="C932" s="346" t="n"/>
      <c r="D932" s="218" t="n"/>
      <c r="H932" s="218" t="n"/>
      <c r="I932" s="218" t="n"/>
      <c r="J932" s="218" t="n"/>
      <c r="M932" s="218" t="n"/>
      <c r="S932" s="346" t="n"/>
    </row>
    <row r="933">
      <c r="C933" s="346" t="n"/>
      <c r="D933" s="218" t="n"/>
      <c r="H933" s="218" t="n"/>
      <c r="I933" s="218" t="n"/>
      <c r="J933" s="218" t="n"/>
      <c r="M933" s="218" t="n"/>
      <c r="S933" s="346" t="n"/>
    </row>
    <row r="934">
      <c r="C934" s="346" t="n"/>
      <c r="D934" s="218" t="n"/>
      <c r="H934" s="218" t="n"/>
      <c r="I934" s="218" t="n"/>
      <c r="J934" s="218" t="n"/>
      <c r="M934" s="218" t="n"/>
      <c r="S934" s="346" t="n"/>
    </row>
    <row r="935">
      <c r="C935" s="346" t="n"/>
      <c r="D935" s="218" t="n"/>
      <c r="H935" s="218" t="n"/>
      <c r="I935" s="218" t="n"/>
      <c r="J935" s="218" t="n"/>
      <c r="M935" s="218" t="n"/>
      <c r="S935" s="346" t="n"/>
    </row>
    <row r="936">
      <c r="C936" s="346" t="n"/>
      <c r="D936" s="218" t="n"/>
      <c r="H936" s="218" t="n"/>
      <c r="I936" s="218" t="n"/>
      <c r="J936" s="218" t="n"/>
      <c r="M936" s="218" t="n"/>
      <c r="S936" s="346" t="n"/>
    </row>
    <row r="937">
      <c r="C937" s="346" t="n"/>
      <c r="D937" s="218" t="n"/>
      <c r="H937" s="218" t="n"/>
      <c r="I937" s="218" t="n"/>
      <c r="J937" s="218" t="n"/>
      <c r="M937" s="218" t="n"/>
      <c r="S937" s="346" t="n"/>
    </row>
    <row r="938">
      <c r="C938" s="346" t="n"/>
      <c r="D938" s="218" t="n"/>
      <c r="H938" s="218" t="n"/>
      <c r="I938" s="218" t="n"/>
      <c r="J938" s="218" t="n"/>
      <c r="M938" s="218" t="n"/>
      <c r="S938" s="346" t="n"/>
    </row>
    <row r="939">
      <c r="C939" s="346" t="n"/>
      <c r="D939" s="218" t="n"/>
      <c r="H939" s="218" t="n"/>
      <c r="I939" s="218" t="n"/>
      <c r="J939" s="218" t="n"/>
      <c r="M939" s="218" t="n"/>
      <c r="S939" s="346" t="n"/>
    </row>
    <row r="940">
      <c r="C940" s="346" t="n"/>
      <c r="D940" s="218" t="n"/>
      <c r="H940" s="218" t="n"/>
      <c r="I940" s="218" t="n"/>
      <c r="J940" s="218" t="n"/>
      <c r="M940" s="218" t="n"/>
      <c r="S940" s="346" t="n"/>
    </row>
    <row r="941">
      <c r="C941" s="346" t="n"/>
      <c r="D941" s="218" t="n"/>
      <c r="H941" s="218" t="n"/>
      <c r="I941" s="218" t="n"/>
      <c r="J941" s="218" t="n"/>
      <c r="M941" s="218" t="n"/>
      <c r="S941" s="346" t="n"/>
    </row>
    <row r="942">
      <c r="C942" s="346" t="n"/>
      <c r="D942" s="218" t="n"/>
      <c r="H942" s="218" t="n"/>
      <c r="I942" s="218" t="n"/>
      <c r="J942" s="218" t="n"/>
      <c r="M942" s="218" t="n"/>
      <c r="S942" s="346" t="n"/>
    </row>
    <row r="943">
      <c r="C943" s="346" t="n"/>
      <c r="D943" s="218" t="n"/>
      <c r="H943" s="218" t="n"/>
      <c r="I943" s="218" t="n"/>
      <c r="J943" s="218" t="n"/>
      <c r="M943" s="218" t="n"/>
      <c r="S943" s="346" t="n"/>
    </row>
    <row r="944">
      <c r="C944" s="346" t="n"/>
      <c r="D944" s="218" t="n"/>
      <c r="H944" s="218" t="n"/>
      <c r="I944" s="218" t="n"/>
      <c r="J944" s="218" t="n"/>
      <c r="M944" s="218" t="n"/>
      <c r="S944" s="346" t="n"/>
    </row>
    <row r="945">
      <c r="C945" s="346" t="n"/>
      <c r="D945" s="218" t="n"/>
      <c r="H945" s="218" t="n"/>
      <c r="I945" s="218" t="n"/>
      <c r="J945" s="218" t="n"/>
      <c r="M945" s="218" t="n"/>
      <c r="S945" s="346" t="n"/>
    </row>
    <row r="946">
      <c r="C946" s="346" t="n"/>
      <c r="D946" s="218" t="n"/>
      <c r="H946" s="218" t="n"/>
      <c r="I946" s="218" t="n"/>
      <c r="J946" s="218" t="n"/>
      <c r="M946" s="218" t="n"/>
      <c r="S946" s="346" t="n"/>
    </row>
    <row r="947">
      <c r="C947" s="346" t="n"/>
      <c r="D947" s="218" t="n"/>
      <c r="H947" s="218" t="n"/>
      <c r="I947" s="218" t="n"/>
      <c r="J947" s="218" t="n"/>
      <c r="M947" s="218" t="n"/>
      <c r="S947" s="346" t="n"/>
    </row>
    <row r="948">
      <c r="C948" s="346" t="n"/>
      <c r="D948" s="218" t="n"/>
      <c r="H948" s="218" t="n"/>
      <c r="I948" s="218" t="n"/>
      <c r="J948" s="218" t="n"/>
      <c r="M948" s="218" t="n"/>
      <c r="S948" s="346" t="n"/>
    </row>
    <row r="949">
      <c r="C949" s="346" t="n"/>
      <c r="D949" s="218" t="n"/>
      <c r="H949" s="218" t="n"/>
      <c r="I949" s="218" t="n"/>
      <c r="J949" s="218" t="n"/>
      <c r="M949" s="218" t="n"/>
      <c r="S949" s="346" t="n"/>
    </row>
    <row r="950">
      <c r="C950" s="346" t="n"/>
      <c r="D950" s="218" t="n"/>
      <c r="H950" s="218" t="n"/>
      <c r="I950" s="218" t="n"/>
      <c r="J950" s="218" t="n"/>
      <c r="M950" s="218" t="n"/>
      <c r="S950" s="346" t="n"/>
    </row>
    <row r="951">
      <c r="C951" s="346" t="n"/>
      <c r="D951" s="218" t="n"/>
      <c r="H951" s="218" t="n"/>
      <c r="I951" s="218" t="n"/>
      <c r="J951" s="218" t="n"/>
      <c r="M951" s="218" t="n"/>
      <c r="S951" s="346" t="n"/>
    </row>
    <row r="952">
      <c r="C952" s="346" t="n"/>
      <c r="D952" s="218" t="n"/>
      <c r="H952" s="218" t="n"/>
      <c r="I952" s="218" t="n"/>
      <c r="J952" s="218" t="n"/>
      <c r="M952" s="218" t="n"/>
      <c r="S952" s="346" t="n"/>
    </row>
    <row r="953">
      <c r="C953" s="346" t="n"/>
      <c r="D953" s="218" t="n"/>
      <c r="H953" s="218" t="n"/>
      <c r="I953" s="218" t="n"/>
      <c r="J953" s="218" t="n"/>
      <c r="M953" s="218" t="n"/>
      <c r="S953" s="346" t="n"/>
    </row>
    <row r="954">
      <c r="C954" s="346" t="n"/>
      <c r="D954" s="218" t="n"/>
      <c r="H954" s="218" t="n"/>
      <c r="I954" s="218" t="n"/>
      <c r="J954" s="218" t="n"/>
      <c r="M954" s="218" t="n"/>
      <c r="S954" s="346" t="n"/>
    </row>
    <row r="955">
      <c r="C955" s="346" t="n"/>
      <c r="D955" s="218" t="n"/>
      <c r="H955" s="218" t="n"/>
      <c r="I955" s="218" t="n"/>
      <c r="J955" s="218" t="n"/>
      <c r="M955" s="218" t="n"/>
      <c r="S955" s="346" t="n"/>
    </row>
    <row r="956">
      <c r="C956" s="346" t="n"/>
      <c r="D956" s="218" t="n"/>
      <c r="H956" s="218" t="n"/>
      <c r="I956" s="218" t="n"/>
      <c r="J956" s="218" t="n"/>
      <c r="M956" s="218" t="n"/>
      <c r="S956" s="346" t="n"/>
    </row>
    <row r="957">
      <c r="C957" s="346" t="n"/>
      <c r="D957" s="218" t="n"/>
      <c r="H957" s="218" t="n"/>
      <c r="I957" s="218" t="n"/>
      <c r="J957" s="218" t="n"/>
      <c r="M957" s="218" t="n"/>
      <c r="S957" s="346" t="n"/>
    </row>
    <row r="958">
      <c r="C958" s="346" t="n"/>
      <c r="D958" s="218" t="n"/>
      <c r="H958" s="218" t="n"/>
      <c r="I958" s="218" t="n"/>
      <c r="J958" s="218" t="n"/>
      <c r="M958" s="218" t="n"/>
      <c r="S958" s="346" t="n"/>
    </row>
    <row r="959">
      <c r="C959" s="346" t="n"/>
      <c r="D959" s="218" t="n"/>
      <c r="H959" s="218" t="n"/>
      <c r="I959" s="218" t="n"/>
      <c r="J959" s="218" t="n"/>
      <c r="M959" s="218" t="n"/>
      <c r="S959" s="346" t="n"/>
    </row>
    <row r="960">
      <c r="C960" s="346" t="n"/>
      <c r="D960" s="218" t="n"/>
      <c r="H960" s="218" t="n"/>
      <c r="I960" s="218" t="n"/>
      <c r="J960" s="218" t="n"/>
      <c r="M960" s="218" t="n"/>
      <c r="S960" s="346" t="n"/>
    </row>
    <row r="961">
      <c r="C961" s="346" t="n"/>
      <c r="D961" s="218" t="n"/>
      <c r="H961" s="218" t="n"/>
      <c r="I961" s="218" t="n"/>
      <c r="J961" s="218" t="n"/>
      <c r="M961" s="218" t="n"/>
      <c r="S961" s="346" t="n"/>
    </row>
    <row r="962">
      <c r="C962" s="346" t="n"/>
      <c r="D962" s="218" t="n"/>
      <c r="H962" s="218" t="n"/>
      <c r="I962" s="218" t="n"/>
      <c r="J962" s="218" t="n"/>
      <c r="M962" s="218" t="n"/>
      <c r="S962" s="346" t="n"/>
    </row>
    <row r="963">
      <c r="C963" s="346" t="n"/>
      <c r="D963" s="218" t="n"/>
      <c r="H963" s="218" t="n"/>
      <c r="I963" s="218" t="n"/>
      <c r="J963" s="218" t="n"/>
      <c r="M963" s="218" t="n"/>
      <c r="S963" s="346" t="n"/>
    </row>
    <row r="964">
      <c r="C964" s="346" t="n"/>
      <c r="D964" s="218" t="n"/>
      <c r="H964" s="218" t="n"/>
      <c r="I964" s="218" t="n"/>
      <c r="J964" s="218" t="n"/>
      <c r="M964" s="218" t="n"/>
      <c r="S964" s="346" t="n"/>
    </row>
    <row r="965">
      <c r="C965" s="346" t="n"/>
      <c r="D965" s="218" t="n"/>
      <c r="H965" s="218" t="n"/>
      <c r="I965" s="218" t="n"/>
      <c r="J965" s="218" t="n"/>
      <c r="M965" s="218" t="n"/>
      <c r="S965" s="346" t="n"/>
    </row>
    <row r="966">
      <c r="C966" s="346" t="n"/>
      <c r="D966" s="218" t="n"/>
      <c r="H966" s="218" t="n"/>
      <c r="I966" s="218" t="n"/>
      <c r="J966" s="218" t="n"/>
      <c r="M966" s="218" t="n"/>
      <c r="S966" s="346" t="n"/>
    </row>
    <row r="967">
      <c r="C967" s="346" t="n"/>
      <c r="D967" s="218" t="n"/>
      <c r="H967" s="218" t="n"/>
      <c r="I967" s="218" t="n"/>
      <c r="J967" s="218" t="n"/>
      <c r="M967" s="218" t="n"/>
      <c r="S967" s="346" t="n"/>
    </row>
    <row r="968">
      <c r="C968" s="346" t="n"/>
      <c r="D968" s="218" t="n"/>
      <c r="H968" s="218" t="n"/>
      <c r="I968" s="218" t="n"/>
      <c r="J968" s="218" t="n"/>
      <c r="M968" s="218" t="n"/>
      <c r="S968" s="346" t="n"/>
    </row>
    <row r="969">
      <c r="C969" s="346" t="n"/>
      <c r="D969" s="218" t="n"/>
      <c r="H969" s="218" t="n"/>
      <c r="I969" s="218" t="n"/>
      <c r="J969" s="218" t="n"/>
      <c r="M969" s="218" t="n"/>
      <c r="S969" s="346" t="n"/>
    </row>
    <row r="970">
      <c r="C970" s="346" t="n"/>
      <c r="D970" s="218" t="n"/>
      <c r="H970" s="218" t="n"/>
      <c r="I970" s="218" t="n"/>
      <c r="J970" s="218" t="n"/>
      <c r="M970" s="218" t="n"/>
      <c r="S970" s="346" t="n"/>
    </row>
    <row r="971">
      <c r="C971" s="346" t="n"/>
      <c r="D971" s="218" t="n"/>
      <c r="H971" s="218" t="n"/>
      <c r="I971" s="218" t="n"/>
      <c r="J971" s="218" t="n"/>
      <c r="M971" s="218" t="n"/>
      <c r="S971" s="346" t="n"/>
    </row>
    <row r="972">
      <c r="C972" s="346" t="n"/>
      <c r="D972" s="218" t="n"/>
      <c r="H972" s="218" t="n"/>
      <c r="I972" s="218" t="n"/>
      <c r="J972" s="218" t="n"/>
      <c r="M972" s="218" t="n"/>
      <c r="S972" s="346" t="n"/>
    </row>
    <row r="973">
      <c r="C973" s="346" t="n"/>
      <c r="D973" s="218" t="n"/>
      <c r="H973" s="218" t="n"/>
      <c r="I973" s="218" t="n"/>
      <c r="J973" s="218" t="n"/>
      <c r="M973" s="218" t="n"/>
      <c r="S973" s="346" t="n"/>
    </row>
    <row r="974">
      <c r="C974" s="346" t="n"/>
      <c r="D974" s="218" t="n"/>
      <c r="H974" s="218" t="n"/>
      <c r="I974" s="218" t="n"/>
      <c r="J974" s="218" t="n"/>
      <c r="M974" s="218" t="n"/>
      <c r="S974" s="346" t="n"/>
    </row>
    <row r="975">
      <c r="C975" s="346" t="n"/>
      <c r="D975" s="218" t="n"/>
      <c r="H975" s="218" t="n"/>
      <c r="I975" s="218" t="n"/>
      <c r="J975" s="218" t="n"/>
      <c r="M975" s="218" t="n"/>
      <c r="S975" s="346" t="n"/>
    </row>
    <row r="976">
      <c r="C976" s="346" t="n"/>
      <c r="D976" s="218" t="n"/>
      <c r="H976" s="218" t="n"/>
      <c r="I976" s="218" t="n"/>
      <c r="J976" s="218" t="n"/>
      <c r="M976" s="218" t="n"/>
      <c r="S976" s="346" t="n"/>
    </row>
    <row r="977">
      <c r="C977" s="346" t="n"/>
      <c r="D977" s="218" t="n"/>
      <c r="H977" s="218" t="n"/>
      <c r="I977" s="218" t="n"/>
      <c r="J977" s="218" t="n"/>
      <c r="M977" s="218" t="n"/>
      <c r="S977" s="346" t="n"/>
    </row>
    <row r="978">
      <c r="C978" s="346" t="n"/>
      <c r="D978" s="218" t="n"/>
      <c r="H978" s="218" t="n"/>
      <c r="I978" s="218" t="n"/>
      <c r="J978" s="218" t="n"/>
      <c r="M978" s="218" t="n"/>
      <c r="S978" s="346" t="n"/>
    </row>
    <row r="979">
      <c r="C979" s="346" t="n"/>
      <c r="D979" s="218" t="n"/>
      <c r="H979" s="218" t="n"/>
      <c r="I979" s="218" t="n"/>
      <c r="J979" s="218" t="n"/>
      <c r="M979" s="218" t="n"/>
      <c r="S979" s="346" t="n"/>
    </row>
    <row r="980">
      <c r="C980" s="346" t="n"/>
      <c r="D980" s="218" t="n"/>
      <c r="H980" s="218" t="n"/>
      <c r="I980" s="218" t="n"/>
      <c r="J980" s="218" t="n"/>
      <c r="M980" s="218" t="n"/>
      <c r="S980" s="346" t="n"/>
    </row>
    <row r="981">
      <c r="C981" s="346" t="n"/>
      <c r="D981" s="218" t="n"/>
      <c r="H981" s="218" t="n"/>
      <c r="I981" s="218" t="n"/>
      <c r="J981" s="218" t="n"/>
      <c r="M981" s="218" t="n"/>
      <c r="S981" s="346" t="n"/>
    </row>
    <row r="982">
      <c r="C982" s="346" t="n"/>
      <c r="D982" s="218" t="n"/>
      <c r="H982" s="218" t="n"/>
      <c r="I982" s="218" t="n"/>
      <c r="J982" s="218" t="n"/>
      <c r="M982" s="218" t="n"/>
      <c r="S982" s="346" t="n"/>
    </row>
    <row r="983">
      <c r="C983" s="346" t="n"/>
      <c r="D983" s="218" t="n"/>
      <c r="H983" s="218" t="n"/>
      <c r="I983" s="218" t="n"/>
      <c r="J983" s="218" t="n"/>
      <c r="M983" s="218" t="n"/>
      <c r="S983" s="346" t="n"/>
    </row>
    <row r="984">
      <c r="C984" s="346" t="n"/>
      <c r="D984" s="218" t="n"/>
      <c r="H984" s="218" t="n"/>
      <c r="I984" s="218" t="n"/>
      <c r="J984" s="218" t="n"/>
      <c r="M984" s="218" t="n"/>
      <c r="S984" s="346" t="n"/>
    </row>
    <row r="985">
      <c r="C985" s="346" t="n"/>
      <c r="D985" s="218" t="n"/>
      <c r="H985" s="218" t="n"/>
      <c r="I985" s="218" t="n"/>
      <c r="J985" s="218" t="n"/>
      <c r="M985" s="218" t="n"/>
      <c r="S985" s="346" t="n"/>
    </row>
    <row r="986">
      <c r="C986" s="346" t="n"/>
      <c r="D986" s="218" t="n"/>
      <c r="H986" s="218" t="n"/>
      <c r="I986" s="218" t="n"/>
      <c r="J986" s="218" t="n"/>
      <c r="M986" s="218" t="n"/>
      <c r="S986" s="346" t="n"/>
    </row>
    <row r="987">
      <c r="C987" s="346" t="n"/>
      <c r="D987" s="218" t="n"/>
      <c r="H987" s="218" t="n"/>
      <c r="I987" s="218" t="n"/>
      <c r="J987" s="218" t="n"/>
      <c r="M987" s="218" t="n"/>
      <c r="S987" s="346" t="n"/>
    </row>
    <row r="988">
      <c r="C988" s="346" t="n"/>
      <c r="D988" s="218" t="n"/>
      <c r="H988" s="218" t="n"/>
      <c r="I988" s="218" t="n"/>
      <c r="J988" s="218" t="n"/>
      <c r="M988" s="218" t="n"/>
      <c r="S988" s="346" t="n"/>
    </row>
    <row r="989">
      <c r="C989" s="346" t="n"/>
      <c r="D989" s="218" t="n"/>
      <c r="H989" s="218" t="n"/>
      <c r="I989" s="218" t="n"/>
      <c r="J989" s="218" t="n"/>
      <c r="M989" s="218" t="n"/>
      <c r="S989" s="346" t="n"/>
    </row>
    <row r="990">
      <c r="C990" s="346" t="n"/>
      <c r="D990" s="218" t="n"/>
      <c r="H990" s="218" t="n"/>
      <c r="I990" s="218" t="n"/>
      <c r="J990" s="218" t="n"/>
      <c r="M990" s="218" t="n"/>
      <c r="S990" s="346" t="n"/>
    </row>
    <row r="991">
      <c r="C991" s="346" t="n"/>
      <c r="D991" s="218" t="n"/>
      <c r="H991" s="218" t="n"/>
      <c r="I991" s="218" t="n"/>
      <c r="J991" s="218" t="n"/>
      <c r="M991" s="218" t="n"/>
      <c r="S991" s="346" t="n"/>
    </row>
    <row r="992">
      <c r="C992" s="346" t="n"/>
      <c r="D992" s="218" t="n"/>
      <c r="H992" s="218" t="n"/>
      <c r="I992" s="218" t="n"/>
      <c r="J992" s="218" t="n"/>
      <c r="M992" s="218" t="n"/>
      <c r="S992" s="346" t="n"/>
    </row>
    <row r="993">
      <c r="C993" s="346" t="n"/>
      <c r="D993" s="218" t="n"/>
      <c r="H993" s="218" t="n"/>
      <c r="I993" s="218" t="n"/>
      <c r="J993" s="218" t="n"/>
      <c r="M993" s="218" t="n"/>
      <c r="S993" s="346" t="n"/>
    </row>
    <row r="994">
      <c r="C994" s="346" t="n"/>
      <c r="D994" s="218" t="n"/>
      <c r="H994" s="218" t="n"/>
      <c r="I994" s="218" t="n"/>
      <c r="J994" s="218" t="n"/>
      <c r="M994" s="218" t="n"/>
      <c r="S994" s="346" t="n"/>
    </row>
    <row r="995">
      <c r="C995" s="346" t="n"/>
      <c r="D995" s="218" t="n"/>
      <c r="H995" s="218" t="n"/>
      <c r="I995" s="218" t="n"/>
      <c r="J995" s="218" t="n"/>
      <c r="M995" s="218" t="n"/>
      <c r="S995" s="346" t="n"/>
    </row>
    <row r="996">
      <c r="C996" s="346" t="n"/>
      <c r="D996" s="218" t="n"/>
      <c r="H996" s="218" t="n"/>
      <c r="I996" s="218" t="n"/>
      <c r="J996" s="218" t="n"/>
      <c r="M996" s="218" t="n"/>
      <c r="S996" s="346" t="n"/>
    </row>
    <row r="997">
      <c r="C997" s="346" t="n"/>
      <c r="D997" s="218" t="n"/>
      <c r="H997" s="218" t="n"/>
      <c r="I997" s="218" t="n"/>
      <c r="J997" s="218" t="n"/>
      <c r="M997" s="218" t="n"/>
      <c r="S997" s="346" t="n"/>
    </row>
    <row r="998">
      <c r="C998" s="346" t="n"/>
      <c r="D998" s="218" t="n"/>
      <c r="H998" s="218" t="n"/>
      <c r="I998" s="218" t="n"/>
      <c r="J998" s="218" t="n"/>
      <c r="M998" s="218" t="n"/>
      <c r="S998" s="346" t="n"/>
    </row>
    <row r="999">
      <c r="C999" s="346" t="n"/>
      <c r="D999" s="218" t="n"/>
      <c r="H999" s="218" t="n"/>
      <c r="I999" s="218" t="n"/>
      <c r="J999" s="218" t="n"/>
      <c r="M999" s="218" t="n"/>
      <c r="S999" s="346" t="n"/>
    </row>
    <row r="1000">
      <c r="C1000" s="346" t="n"/>
      <c r="D1000" s="218" t="n"/>
      <c r="H1000" s="218" t="n"/>
      <c r="I1000" s="218" t="n"/>
      <c r="J1000" s="218" t="n"/>
      <c r="M1000" s="218" t="n"/>
      <c r="S1000" s="346" t="n"/>
    </row>
  </sheetData>
  <autoFilter ref="$A$1:$AI$1000">
    <filterColumn colId="2" hiddenButton="0" showButton="1">
      <customFilters>
        <customFilter val="500000" operator="greaterThanOrEqual"/>
      </customFilters>
    </filterColumn>
  </autoFilter>
  <dataValidations count="5">
    <dataValidation sqref="J2:J1000" showDropDown="0" showInputMessage="0" showErrorMessage="0" allowBlank="1" type="list">
      <formula1>"Яндекс Директ,Контур.Фокус,Google Ads,Партнеры,Органика SEO"</formula1>
    </dataValidation>
    <dataValidation sqref="I2:I1000" showDropDown="0" showInputMessage="0" showErrorMessage="0" allowBlank="1" type="list">
      <formula1>"SEG1,SEG2"</formula1>
    </dataValidation>
    <dataValidation sqref="D2:D1000" showDropDown="0" showInputMessage="1" showErrorMessage="1" allowBlank="1" prompt="Этап воронки должен быть числом от 1 до 7" type="decimal">
      <formula1>1.0</formula1>
      <formula2>7.0</formula2>
    </dataValidation>
    <dataValidation sqref="H2:H1000" showDropDown="0" showInputMessage="0" showErrorMessage="1" allowBlank="1" type="list">
      <formula1>"101,102,103,104"</formula1>
    </dataValidation>
    <dataValidation sqref="M2:M1000" showDropDown="0" showInputMessage="0" showErrorMessage="0" allowBlank="1" type="list">
      <formula1>"L1,L2,L3,L4,"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383F49"/>
    <outlinePr summaryBelow="0" summaryRight="0"/>
    <pageSetUpPr/>
  </sheetPr>
  <dimension ref="A1:AC1000"/>
  <sheetViews>
    <sheetView workbookViewId="0">
      <selection activeCell="A1" sqref="A1"/>
    </sheetView>
  </sheetViews>
  <sheetFormatPr baseColWidth="8" defaultColWidth="12.63" defaultRowHeight="15.75" customHeight="1"/>
  <cols>
    <col width="13.88" customWidth="1" style="461" min="1" max="3"/>
    <col width="22.63" customWidth="1" style="461" min="4" max="4"/>
    <col width="45.13" customWidth="1" style="461" min="5" max="5"/>
    <col width="15.13" customWidth="1" style="461" min="6" max="6"/>
    <col width="13.88" customWidth="1" style="461" min="7" max="7"/>
    <col width="15.13" customWidth="1" style="461" min="8" max="8"/>
    <col width="17.63" customWidth="1" style="461" min="9" max="9"/>
    <col width="16.38" customWidth="1" style="461" min="10" max="25"/>
    <col width="21.38" customWidth="1" style="461" min="26" max="26"/>
    <col width="14.5" customWidth="1" style="461" min="27" max="29"/>
  </cols>
  <sheetData>
    <row r="1">
      <c r="A1" s="229" t="inlineStr">
        <is>
          <t>call_id</t>
        </is>
      </c>
      <c r="B1" s="229" t="inlineStr">
        <is>
          <t>deal_id</t>
        </is>
      </c>
      <c r="C1" s="229" t="inlineStr">
        <is>
          <t>manager_id</t>
        </is>
      </c>
      <c r="D1" s="229" t="inlineStr">
        <is>
          <t>call_date</t>
        </is>
      </c>
      <c r="E1" s="229" t="inlineStr">
        <is>
          <t>duration_sec</t>
        </is>
      </c>
      <c r="F1" s="229" t="inlineStr">
        <is>
          <t>call_type</t>
        </is>
      </c>
      <c r="G1" s="229" t="inlineStr">
        <is>
          <t>cr1</t>
        </is>
      </c>
      <c r="H1" s="229" t="inlineStr">
        <is>
          <t>cr2</t>
        </is>
      </c>
      <c r="I1" s="229" t="inlineStr">
        <is>
          <t>cr3</t>
        </is>
      </c>
      <c r="J1" s="229" t="inlineStr">
        <is>
          <t>cr4</t>
        </is>
      </c>
      <c r="K1" s="229" t="inlineStr">
        <is>
          <t>cr5</t>
        </is>
      </c>
      <c r="L1" s="229" t="inlineStr">
        <is>
          <t>cr6</t>
        </is>
      </c>
      <c r="M1" s="229" t="inlineStr">
        <is>
          <t>cr7</t>
        </is>
      </c>
      <c r="N1" s="229" t="inlineStr">
        <is>
          <t>cr8</t>
        </is>
      </c>
      <c r="O1" s="229" t="inlineStr">
        <is>
          <t>cr9</t>
        </is>
      </c>
      <c r="P1" s="229" t="inlineStr">
        <is>
          <t>cr10</t>
        </is>
      </c>
      <c r="Q1" s="229" t="inlineStr">
        <is>
          <t>cr11</t>
        </is>
      </c>
      <c r="R1" s="229" t="inlineStr">
        <is>
          <t>cr12</t>
        </is>
      </c>
      <c r="S1" s="229" t="inlineStr">
        <is>
          <t>cr13</t>
        </is>
      </c>
      <c r="T1" s="229" t="inlineStr">
        <is>
          <t>total_score</t>
        </is>
      </c>
      <c r="U1" s="229" t="inlineStr">
        <is>
          <t>next_step_flag</t>
        </is>
      </c>
      <c r="V1" s="229" t="inlineStr">
        <is>
          <t>error_summary</t>
        </is>
      </c>
      <c r="W1" s="229" t="inlineStr">
        <is>
          <t>ai_recommendation</t>
        </is>
      </c>
      <c r="X1" s="229" t="inlineStr">
        <is>
          <t>synced_at</t>
        </is>
      </c>
      <c r="Z1" s="218" t="inlineStr">
        <is>
          <t>data_snapshot_date</t>
        </is>
      </c>
      <c r="AA1" s="218" t="inlineStr">
        <is>
          <t>data_version</t>
        </is>
      </c>
      <c r="AB1" s="218" t="inlineStr">
        <is>
          <t>uploaded_by</t>
        </is>
      </c>
      <c r="AC1" s="218" t="inlineStr">
        <is>
          <t>upload_hash</t>
        </is>
      </c>
    </row>
    <row r="2">
      <c r="A2" s="218" t="inlineStr">
        <is>
          <t>C-501</t>
        </is>
      </c>
      <c r="B2" s="218" t="inlineStr">
        <is>
          <t>D-101</t>
        </is>
      </c>
      <c r="C2" s="218" t="n">
        <v>102</v>
      </c>
      <c r="D2" s="246" t="n">
        <v>46275</v>
      </c>
      <c r="E2" s="218" t="n">
        <v>420</v>
      </c>
      <c r="F2" s="218" t="inlineStr">
        <is>
          <t>qualification</t>
        </is>
      </c>
      <c r="G2" s="218" t="n">
        <v>1</v>
      </c>
      <c r="H2" s="218" t="n">
        <v>1</v>
      </c>
      <c r="I2" s="218" t="n">
        <v>1</v>
      </c>
      <c r="J2" s="218" t="n">
        <v>1</v>
      </c>
      <c r="K2" s="218" t="n">
        <v>1</v>
      </c>
      <c r="L2" s="218" t="n">
        <v>1</v>
      </c>
      <c r="M2" s="218" t="n">
        <v>1</v>
      </c>
      <c r="N2" s="218" t="n">
        <v>1</v>
      </c>
      <c r="O2" s="218" t="n">
        <v>1</v>
      </c>
      <c r="P2" s="218" t="n">
        <v>1</v>
      </c>
      <c r="Q2" s="218" t="n">
        <v>1</v>
      </c>
      <c r="R2" s="218" t="n">
        <v>1</v>
      </c>
      <c r="S2" s="218" t="n">
        <v>1</v>
      </c>
      <c r="T2" s="218">
        <f>SUM(G2:S2)</f>
        <v/>
      </c>
      <c r="U2" s="218">
        <f>T2&gt;=9</f>
        <v/>
      </c>
      <c r="V2" s="218" t="inlineStr">
        <is>
          <t>Без дефектов</t>
        </is>
      </c>
      <c r="W2" s="218" t="inlineStr">
        <is>
          <t>Эталонный скрипт</t>
        </is>
      </c>
      <c r="X2" s="227" t="n">
        <v>46285.47214934028</v>
      </c>
    </row>
    <row r="3">
      <c r="A3" s="218" t="inlineStr">
        <is>
          <t>C-502</t>
        </is>
      </c>
      <c r="B3" s="218" t="inlineStr">
        <is>
          <t>D-104</t>
        </is>
      </c>
      <c r="C3" s="218" t="n">
        <v>101</v>
      </c>
      <c r="D3" s="246" t="n">
        <v>46279</v>
      </c>
      <c r="E3" s="218" t="n">
        <v>310</v>
      </c>
      <c r="F3" s="218" t="inlineStr">
        <is>
          <t>negotiation</t>
        </is>
      </c>
      <c r="G3" s="218" t="n">
        <v>1</v>
      </c>
      <c r="H3" s="218" t="n">
        <v>1</v>
      </c>
      <c r="I3" s="218" t="n">
        <v>1</v>
      </c>
      <c r="J3" s="218" t="n">
        <v>1</v>
      </c>
      <c r="K3" s="218" t="n">
        <v>1</v>
      </c>
      <c r="L3" s="218" t="n">
        <v>0</v>
      </c>
      <c r="M3" s="218" t="n">
        <v>1</v>
      </c>
      <c r="N3" s="218" t="n">
        <v>1</v>
      </c>
      <c r="O3" s="218" t="n">
        <v>1</v>
      </c>
      <c r="P3" s="218" t="n">
        <v>1</v>
      </c>
      <c r="Q3" s="218" t="n">
        <v>0</v>
      </c>
      <c r="R3" s="218" t="n">
        <v>1</v>
      </c>
      <c r="S3" s="218" t="n">
        <v>1</v>
      </c>
      <c r="T3" s="218">
        <f>SUM(G3:S3)</f>
        <v/>
      </c>
      <c r="U3" s="218">
        <f>T3&gt;=9</f>
        <v/>
      </c>
      <c r="V3" s="218" t="inlineStr">
        <is>
          <t>Слабая отработка цены</t>
        </is>
      </c>
      <c r="W3" s="218" t="inlineStr">
        <is>
          <t>Предложить рассрочку</t>
        </is>
      </c>
      <c r="X3" s="227" t="n">
        <v>46285.47214934028</v>
      </c>
    </row>
    <row r="4">
      <c r="A4" s="218" t="inlineStr">
        <is>
          <t>C-503</t>
        </is>
      </c>
      <c r="B4" s="218" t="inlineStr">
        <is>
          <t>D-106</t>
        </is>
      </c>
      <c r="C4" s="218" t="n">
        <v>102</v>
      </c>
      <c r="D4" s="246" t="n">
        <v>46281</v>
      </c>
      <c r="E4" s="218" t="n">
        <v>180</v>
      </c>
      <c r="F4" s="218" t="inlineStr">
        <is>
          <t>meeting_confirm</t>
        </is>
      </c>
      <c r="G4" s="218" t="n">
        <v>1</v>
      </c>
      <c r="H4" s="218" t="n">
        <v>1</v>
      </c>
      <c r="I4" s="218" t="n">
        <v>0</v>
      </c>
      <c r="J4" s="218" t="n">
        <v>0</v>
      </c>
      <c r="K4" s="218" t="n">
        <v>1</v>
      </c>
      <c r="L4" s="218" t="n">
        <v>0</v>
      </c>
      <c r="M4" s="218" t="n">
        <v>1</v>
      </c>
      <c r="N4" s="218" t="n">
        <v>1</v>
      </c>
      <c r="O4" s="218" t="n">
        <v>0</v>
      </c>
      <c r="P4" s="218" t="n">
        <v>0</v>
      </c>
      <c r="Q4" s="218" t="n">
        <v>0</v>
      </c>
      <c r="R4" s="218" t="n">
        <v>1</v>
      </c>
      <c r="S4" s="218" t="n">
        <v>0</v>
      </c>
      <c r="T4" s="218">
        <f>SUM(G4:S4)</f>
        <v/>
      </c>
      <c r="U4" s="218">
        <f>T4&gt;=9</f>
        <v/>
      </c>
      <c r="V4" s="218" t="inlineStr">
        <is>
          <t>Нет фиксации даты</t>
        </is>
      </c>
      <c r="W4" s="218" t="inlineStr">
        <is>
          <t>Закрывать на конкретный слот</t>
        </is>
      </c>
      <c r="X4" s="227" t="n">
        <v>46285.47214934028</v>
      </c>
    </row>
    <row r="5">
      <c r="A5" s="218" t="inlineStr">
        <is>
          <t>C-504</t>
        </is>
      </c>
      <c r="B5" s="218" t="inlineStr">
        <is>
          <t>D-107</t>
        </is>
      </c>
      <c r="C5" s="218" t="n">
        <v>103</v>
      </c>
      <c r="D5" s="246" t="n">
        <v>46281</v>
      </c>
      <c r="E5" s="218" t="n">
        <v>540</v>
      </c>
      <c r="F5" s="218" t="inlineStr">
        <is>
          <t>qualification</t>
        </is>
      </c>
      <c r="G5" s="218" t="n">
        <v>1</v>
      </c>
      <c r="H5" s="218" t="n">
        <v>1</v>
      </c>
      <c r="I5" s="218" t="n">
        <v>1</v>
      </c>
      <c r="J5" s="218" t="n">
        <v>1</v>
      </c>
      <c r="K5" s="218" t="n">
        <v>1</v>
      </c>
      <c r="L5" s="218" t="n">
        <v>1</v>
      </c>
      <c r="M5" s="218" t="n">
        <v>1</v>
      </c>
      <c r="N5" s="218" t="n">
        <v>0</v>
      </c>
      <c r="O5" s="218" t="n">
        <v>1</v>
      </c>
      <c r="P5" s="218" t="n">
        <v>1</v>
      </c>
      <c r="Q5" s="218" t="n">
        <v>1</v>
      </c>
      <c r="R5" s="218" t="n">
        <v>1</v>
      </c>
      <c r="S5" s="218" t="n">
        <v>1</v>
      </c>
      <c r="T5" s="218">
        <f>SUM(G5:S5)</f>
        <v/>
      </c>
      <c r="U5" s="218">
        <f>T5&gt;=9</f>
        <v/>
      </c>
      <c r="V5" s="218" t="inlineStr">
        <is>
          <t>Не выявлен бюджет</t>
        </is>
      </c>
      <c r="W5" s="218" t="inlineStr">
        <is>
          <t>Уточнить вилку затрат</t>
        </is>
      </c>
      <c r="X5" s="227" t="n">
        <v>46285.47214934028</v>
      </c>
    </row>
    <row r="6">
      <c r="A6" s="218" t="inlineStr">
        <is>
          <t>C-505</t>
        </is>
      </c>
      <c r="B6" s="218" t="inlineStr">
        <is>
          <t>D-109</t>
        </is>
      </c>
      <c r="C6" s="218" t="n">
        <v>102</v>
      </c>
      <c r="D6" s="246" t="n">
        <v>46273</v>
      </c>
      <c r="E6" s="218" t="n">
        <v>210</v>
      </c>
      <c r="F6" s="218" t="inlineStr">
        <is>
          <t>lost</t>
        </is>
      </c>
      <c r="G6" s="218" t="n">
        <v>1</v>
      </c>
      <c r="H6" s="218" t="n">
        <v>0</v>
      </c>
      <c r="I6" s="218" t="n">
        <v>0</v>
      </c>
      <c r="J6" s="218" t="n">
        <v>0</v>
      </c>
      <c r="K6" s="218" t="n">
        <v>0</v>
      </c>
      <c r="L6" s="218" t="n">
        <v>0</v>
      </c>
      <c r="M6" s="218" t="n">
        <v>0</v>
      </c>
      <c r="N6" s="218" t="n">
        <v>1</v>
      </c>
      <c r="O6" s="218" t="n">
        <v>0</v>
      </c>
      <c r="P6" s="218" t="n">
        <v>0</v>
      </c>
      <c r="Q6" s="218" t="n">
        <v>0</v>
      </c>
      <c r="R6" s="218" t="n">
        <v>0</v>
      </c>
      <c r="S6" s="218" t="n">
        <v>0</v>
      </c>
      <c r="T6" s="218">
        <f>SUM(G6:S6)</f>
        <v/>
      </c>
      <c r="U6" s="218">
        <f>T6&gt;=9</f>
        <v/>
      </c>
      <c r="V6" s="218" t="inlineStr">
        <is>
          <t>Срыв контакта</t>
        </is>
      </c>
      <c r="W6" s="218" t="inlineStr">
        <is>
          <t>Передать в автодожим WhatsApp</t>
        </is>
      </c>
      <c r="X6" s="227" t="n">
        <v>46285.47214934028</v>
      </c>
    </row>
    <row r="7">
      <c r="A7" s="218" t="inlineStr">
        <is>
          <t>C-506</t>
        </is>
      </c>
      <c r="B7" s="218" t="inlineStr">
        <is>
          <t>D-108</t>
        </is>
      </c>
      <c r="C7" s="218" t="n">
        <v>103</v>
      </c>
      <c r="D7" s="246" t="n">
        <v>46283</v>
      </c>
      <c r="E7" s="218" t="n">
        <v>290</v>
      </c>
      <c r="F7" s="218" t="inlineStr">
        <is>
          <t>cold_inbound</t>
        </is>
      </c>
      <c r="G7" s="218" t="n">
        <v>1</v>
      </c>
      <c r="H7" s="218" t="n">
        <v>1</v>
      </c>
      <c r="I7" s="218" t="n">
        <v>1</v>
      </c>
      <c r="J7" s="218" t="n">
        <v>1</v>
      </c>
      <c r="K7" s="218" t="n">
        <v>1</v>
      </c>
      <c r="L7" s="218" t="n">
        <v>1</v>
      </c>
      <c r="M7" s="218" t="n">
        <v>1</v>
      </c>
      <c r="N7" s="218" t="n">
        <v>1</v>
      </c>
      <c r="O7" s="218" t="n">
        <v>1</v>
      </c>
      <c r="P7" s="218" t="n">
        <v>1</v>
      </c>
      <c r="Q7" s="218" t="n">
        <v>1</v>
      </c>
      <c r="R7" s="218" t="n">
        <v>1</v>
      </c>
      <c r="S7" s="218" t="n">
        <v>1</v>
      </c>
      <c r="T7" s="218">
        <f>SUM(G7:S7)</f>
        <v/>
      </c>
      <c r="U7" s="218">
        <f>T7&gt;=9</f>
        <v/>
      </c>
      <c r="V7" s="218" t="inlineStr">
        <is>
          <t>Без дефектов</t>
        </is>
      </c>
      <c r="W7" s="218" t="inlineStr">
        <is>
          <t>Быстрый перевод на этап встречи</t>
        </is>
      </c>
      <c r="X7" s="227" t="n">
        <v>46285.47214934028</v>
      </c>
    </row>
    <row r="8">
      <c r="F8" s="218" t="n"/>
    </row>
    <row r="9">
      <c r="F9" s="218" t="n"/>
    </row>
    <row r="10">
      <c r="F10" s="218" t="n"/>
    </row>
    <row r="11">
      <c r="F11" s="218" t="n"/>
    </row>
    <row r="12">
      <c r="F12" s="218" t="n"/>
    </row>
    <row r="13">
      <c r="F13" s="218" t="n"/>
    </row>
    <row r="14">
      <c r="F14" s="218" t="n"/>
    </row>
    <row r="15">
      <c r="F15" s="218" t="n"/>
    </row>
    <row r="16">
      <c r="F16" s="218" t="n"/>
    </row>
    <row r="17">
      <c r="F17" s="218" t="n"/>
    </row>
    <row r="18">
      <c r="F18" s="218" t="n"/>
    </row>
    <row r="19">
      <c r="F19" s="218" t="n"/>
    </row>
    <row r="20">
      <c r="F20" s="218" t="n"/>
    </row>
    <row r="21">
      <c r="F21" s="218" t="n"/>
    </row>
    <row r="22">
      <c r="F22" s="218" t="n"/>
    </row>
    <row r="23">
      <c r="F23" s="218" t="n"/>
    </row>
    <row r="24">
      <c r="F24" s="218" t="n"/>
    </row>
    <row r="25">
      <c r="F25" s="218" t="n"/>
    </row>
    <row r="26">
      <c r="F26" s="218" t="n"/>
    </row>
    <row r="27">
      <c r="F27" s="218" t="n"/>
    </row>
    <row r="28">
      <c r="F28" s="218" t="n"/>
    </row>
    <row r="29">
      <c r="F29" s="218" t="n"/>
    </row>
    <row r="30">
      <c r="F30" s="218" t="n"/>
    </row>
    <row r="31">
      <c r="F31" s="218" t="n"/>
    </row>
    <row r="32">
      <c r="F32" s="218" t="n"/>
    </row>
    <row r="33">
      <c r="F33" s="218" t="n"/>
    </row>
    <row r="34">
      <c r="F34" s="218" t="n"/>
    </row>
    <row r="35">
      <c r="F35" s="218" t="n"/>
    </row>
    <row r="36">
      <c r="F36" s="218" t="n"/>
    </row>
    <row r="37">
      <c r="F37" s="218" t="n"/>
    </row>
    <row r="38">
      <c r="F38" s="218" t="n"/>
    </row>
    <row r="39">
      <c r="F39" s="218" t="n"/>
    </row>
    <row r="40">
      <c r="F40" s="218" t="n"/>
    </row>
    <row r="41">
      <c r="F41" s="218" t="n"/>
    </row>
    <row r="42">
      <c r="F42" s="218" t="n"/>
    </row>
    <row r="43">
      <c r="F43" s="218" t="n"/>
    </row>
    <row r="44">
      <c r="F44" s="218" t="n"/>
    </row>
    <row r="45">
      <c r="F45" s="218" t="n"/>
    </row>
    <row r="46">
      <c r="F46" s="218" t="n"/>
    </row>
    <row r="47">
      <c r="F47" s="218" t="n"/>
    </row>
    <row r="48">
      <c r="F48" s="218" t="n"/>
    </row>
    <row r="49">
      <c r="F49" s="218" t="n"/>
    </row>
    <row r="50">
      <c r="F50" s="218" t="n"/>
    </row>
    <row r="51">
      <c r="F51" s="218" t="n"/>
    </row>
    <row r="52">
      <c r="F52" s="218" t="n"/>
    </row>
    <row r="53">
      <c r="F53" s="218" t="n"/>
    </row>
    <row r="54">
      <c r="F54" s="218" t="n"/>
    </row>
    <row r="55">
      <c r="F55" s="218" t="n"/>
    </row>
    <row r="56">
      <c r="F56" s="218" t="n"/>
    </row>
    <row r="57">
      <c r="F57" s="218" t="n"/>
    </row>
    <row r="58">
      <c r="F58" s="218" t="n"/>
    </row>
    <row r="59">
      <c r="F59" s="218" t="n"/>
    </row>
    <row r="60">
      <c r="F60" s="218" t="n"/>
    </row>
    <row r="61">
      <c r="F61" s="218" t="n"/>
    </row>
    <row r="62">
      <c r="F62" s="218" t="n"/>
    </row>
    <row r="63">
      <c r="F63" s="218" t="n"/>
    </row>
    <row r="64">
      <c r="F64" s="218" t="n"/>
    </row>
    <row r="65">
      <c r="F65" s="218" t="n"/>
    </row>
    <row r="66">
      <c r="F66" s="218" t="n"/>
    </row>
    <row r="67">
      <c r="F67" s="218" t="n"/>
    </row>
    <row r="68">
      <c r="F68" s="218" t="n"/>
    </row>
    <row r="69">
      <c r="F69" s="218" t="n"/>
    </row>
    <row r="70">
      <c r="F70" s="218" t="n"/>
    </row>
    <row r="71">
      <c r="F71" s="218" t="n"/>
    </row>
    <row r="72">
      <c r="F72" s="218" t="n"/>
    </row>
    <row r="73">
      <c r="F73" s="218" t="n"/>
    </row>
    <row r="74">
      <c r="F74" s="218" t="n"/>
    </row>
    <row r="75">
      <c r="F75" s="218" t="n"/>
    </row>
    <row r="76">
      <c r="F76" s="218" t="n"/>
    </row>
    <row r="77">
      <c r="F77" s="218" t="n"/>
    </row>
    <row r="78">
      <c r="F78" s="218" t="n"/>
    </row>
    <row r="79">
      <c r="F79" s="218" t="n"/>
    </row>
    <row r="80">
      <c r="F80" s="218" t="n"/>
    </row>
    <row r="81">
      <c r="F81" s="218" t="n"/>
    </row>
    <row r="82">
      <c r="F82" s="218" t="n"/>
    </row>
    <row r="83">
      <c r="F83" s="218" t="n"/>
    </row>
    <row r="84">
      <c r="F84" s="218" t="n"/>
    </row>
    <row r="85">
      <c r="F85" s="218" t="n"/>
    </row>
    <row r="86">
      <c r="F86" s="218" t="n"/>
    </row>
    <row r="87">
      <c r="F87" s="218" t="n"/>
    </row>
    <row r="88">
      <c r="F88" s="218" t="n"/>
    </row>
    <row r="89">
      <c r="F89" s="218" t="n"/>
    </row>
    <row r="90">
      <c r="F90" s="218" t="n"/>
    </row>
    <row r="91">
      <c r="F91" s="218" t="n"/>
    </row>
    <row r="92">
      <c r="F92" s="218" t="n"/>
    </row>
    <row r="93">
      <c r="F93" s="218" t="n"/>
    </row>
    <row r="94">
      <c r="F94" s="218" t="n"/>
    </row>
    <row r="95">
      <c r="F95" s="218" t="n"/>
    </row>
    <row r="96">
      <c r="F96" s="218" t="n"/>
    </row>
    <row r="97">
      <c r="F97" s="218" t="n"/>
    </row>
    <row r="98">
      <c r="F98" s="218" t="n"/>
    </row>
    <row r="99">
      <c r="F99" s="218" t="n"/>
    </row>
    <row r="100">
      <c r="F100" s="218" t="n"/>
    </row>
    <row r="101">
      <c r="F101" s="218" t="n"/>
    </row>
    <row r="102">
      <c r="F102" s="218" t="n"/>
    </row>
    <row r="103">
      <c r="F103" s="218" t="n"/>
    </row>
    <row r="104">
      <c r="F104" s="218" t="n"/>
    </row>
    <row r="105">
      <c r="F105" s="218" t="n"/>
    </row>
    <row r="106">
      <c r="F106" s="218" t="n"/>
    </row>
    <row r="107">
      <c r="F107" s="218" t="n"/>
    </row>
    <row r="108">
      <c r="F108" s="218" t="n"/>
    </row>
    <row r="109">
      <c r="F109" s="218" t="n"/>
    </row>
    <row r="110">
      <c r="F110" s="218" t="n"/>
    </row>
    <row r="111">
      <c r="F111" s="218" t="n"/>
    </row>
    <row r="112">
      <c r="F112" s="218" t="n"/>
    </row>
    <row r="113">
      <c r="F113" s="218" t="n"/>
    </row>
    <row r="114">
      <c r="F114" s="218" t="n"/>
    </row>
    <row r="115">
      <c r="F115" s="218" t="n"/>
    </row>
    <row r="116">
      <c r="F116" s="218" t="n"/>
    </row>
    <row r="117">
      <c r="F117" s="218" t="n"/>
    </row>
    <row r="118">
      <c r="F118" s="218" t="n"/>
    </row>
    <row r="119">
      <c r="F119" s="218" t="n"/>
    </row>
    <row r="120">
      <c r="F120" s="218" t="n"/>
    </row>
    <row r="121">
      <c r="F121" s="218" t="n"/>
    </row>
    <row r="122">
      <c r="F122" s="218" t="n"/>
    </row>
    <row r="123">
      <c r="F123" s="218" t="n"/>
    </row>
    <row r="124">
      <c r="F124" s="218" t="n"/>
    </row>
    <row r="125">
      <c r="F125" s="218" t="n"/>
    </row>
    <row r="126">
      <c r="F126" s="218" t="n"/>
    </row>
    <row r="127">
      <c r="F127" s="218" t="n"/>
    </row>
    <row r="128">
      <c r="F128" s="218" t="n"/>
    </row>
    <row r="129">
      <c r="F129" s="218" t="n"/>
    </row>
    <row r="130">
      <c r="F130" s="218" t="n"/>
    </row>
    <row r="131">
      <c r="F131" s="218" t="n"/>
    </row>
    <row r="132">
      <c r="F132" s="218" t="n"/>
    </row>
    <row r="133">
      <c r="F133" s="218" t="n"/>
    </row>
    <row r="134">
      <c r="F134" s="218" t="n"/>
    </row>
    <row r="135">
      <c r="F135" s="218" t="n"/>
    </row>
    <row r="136">
      <c r="F136" s="218" t="n"/>
    </row>
    <row r="137">
      <c r="F137" s="218" t="n"/>
    </row>
    <row r="138">
      <c r="F138" s="218" t="n"/>
    </row>
    <row r="139">
      <c r="F139" s="218" t="n"/>
    </row>
    <row r="140">
      <c r="F140" s="218" t="n"/>
    </row>
    <row r="141">
      <c r="F141" s="218" t="n"/>
    </row>
    <row r="142">
      <c r="F142" s="218" t="n"/>
    </row>
    <row r="143">
      <c r="F143" s="218" t="n"/>
    </row>
    <row r="144">
      <c r="F144" s="218" t="n"/>
    </row>
    <row r="145">
      <c r="F145" s="218" t="n"/>
    </row>
    <row r="146">
      <c r="F146" s="218" t="n"/>
    </row>
    <row r="147">
      <c r="F147" s="218" t="n"/>
    </row>
    <row r="148">
      <c r="F148" s="218" t="n"/>
    </row>
    <row r="149">
      <c r="F149" s="218" t="n"/>
    </row>
    <row r="150">
      <c r="F150" s="218" t="n"/>
    </row>
    <row r="151">
      <c r="F151" s="218" t="n"/>
    </row>
    <row r="152">
      <c r="F152" s="218" t="n"/>
    </row>
    <row r="153">
      <c r="F153" s="218" t="n"/>
    </row>
    <row r="154">
      <c r="F154" s="218" t="n"/>
    </row>
    <row r="155">
      <c r="F155" s="218" t="n"/>
    </row>
    <row r="156">
      <c r="F156" s="218" t="n"/>
    </row>
    <row r="157">
      <c r="F157" s="218" t="n"/>
    </row>
    <row r="158">
      <c r="F158" s="218" t="n"/>
    </row>
    <row r="159">
      <c r="F159" s="218" t="n"/>
    </row>
    <row r="160">
      <c r="F160" s="218" t="n"/>
    </row>
    <row r="161">
      <c r="F161" s="218" t="n"/>
    </row>
    <row r="162">
      <c r="F162" s="218" t="n"/>
    </row>
    <row r="163">
      <c r="F163" s="218" t="n"/>
    </row>
    <row r="164">
      <c r="F164" s="218" t="n"/>
    </row>
    <row r="165">
      <c r="F165" s="218" t="n"/>
    </row>
    <row r="166">
      <c r="F166" s="218" t="n"/>
    </row>
    <row r="167">
      <c r="F167" s="218" t="n"/>
    </row>
    <row r="168">
      <c r="F168" s="218" t="n"/>
    </row>
    <row r="169">
      <c r="F169" s="218" t="n"/>
    </row>
    <row r="170">
      <c r="F170" s="218" t="n"/>
    </row>
    <row r="171">
      <c r="F171" s="218" t="n"/>
    </row>
    <row r="172">
      <c r="F172" s="218" t="n"/>
    </row>
    <row r="173">
      <c r="F173" s="218" t="n"/>
    </row>
    <row r="174">
      <c r="F174" s="218" t="n"/>
    </row>
    <row r="175">
      <c r="F175" s="218" t="n"/>
    </row>
    <row r="176">
      <c r="F176" s="218" t="n"/>
    </row>
    <row r="177">
      <c r="F177" s="218" t="n"/>
    </row>
    <row r="178">
      <c r="F178" s="218" t="n"/>
    </row>
    <row r="179">
      <c r="F179" s="218" t="n"/>
    </row>
    <row r="180">
      <c r="F180" s="218" t="n"/>
    </row>
    <row r="181">
      <c r="F181" s="218" t="n"/>
    </row>
    <row r="182">
      <c r="F182" s="218" t="n"/>
    </row>
    <row r="183">
      <c r="F183" s="218" t="n"/>
    </row>
    <row r="184">
      <c r="F184" s="218" t="n"/>
    </row>
    <row r="185">
      <c r="F185" s="218" t="n"/>
    </row>
    <row r="186">
      <c r="F186" s="218" t="n"/>
    </row>
    <row r="187">
      <c r="F187" s="218" t="n"/>
    </row>
    <row r="188">
      <c r="F188" s="218" t="n"/>
    </row>
    <row r="189">
      <c r="F189" s="218" t="n"/>
    </row>
    <row r="190">
      <c r="F190" s="218" t="n"/>
    </row>
    <row r="191">
      <c r="F191" s="218" t="n"/>
    </row>
    <row r="192">
      <c r="F192" s="218" t="n"/>
    </row>
    <row r="193">
      <c r="F193" s="218" t="n"/>
    </row>
    <row r="194">
      <c r="F194" s="218" t="n"/>
    </row>
    <row r="195">
      <c r="F195" s="218" t="n"/>
    </row>
    <row r="196">
      <c r="F196" s="218" t="n"/>
    </row>
    <row r="197">
      <c r="F197" s="218" t="n"/>
    </row>
    <row r="198">
      <c r="F198" s="218" t="n"/>
    </row>
    <row r="199">
      <c r="F199" s="218" t="n"/>
    </row>
    <row r="200">
      <c r="F200" s="218" t="n"/>
    </row>
    <row r="201">
      <c r="F201" s="218" t="n"/>
    </row>
    <row r="202">
      <c r="F202" s="218" t="n"/>
    </row>
    <row r="203">
      <c r="F203" s="218" t="n"/>
    </row>
    <row r="204">
      <c r="F204" s="218" t="n"/>
    </row>
    <row r="205">
      <c r="F205" s="218" t="n"/>
    </row>
    <row r="206">
      <c r="F206" s="218" t="n"/>
    </row>
    <row r="207">
      <c r="F207" s="218" t="n"/>
    </row>
    <row r="208">
      <c r="F208" s="218" t="n"/>
    </row>
    <row r="209">
      <c r="F209" s="218" t="n"/>
    </row>
    <row r="210">
      <c r="F210" s="218" t="n"/>
    </row>
    <row r="211">
      <c r="F211" s="218" t="n"/>
    </row>
    <row r="212">
      <c r="F212" s="218" t="n"/>
    </row>
    <row r="213">
      <c r="F213" s="218" t="n"/>
    </row>
    <row r="214">
      <c r="F214" s="218" t="n"/>
    </row>
    <row r="215">
      <c r="F215" s="218" t="n"/>
    </row>
    <row r="216">
      <c r="F216" s="218" t="n"/>
    </row>
    <row r="217">
      <c r="F217" s="218" t="n"/>
    </row>
    <row r="218">
      <c r="F218" s="218" t="n"/>
    </row>
    <row r="219">
      <c r="F219" s="218" t="n"/>
    </row>
    <row r="220">
      <c r="F220" s="218" t="n"/>
    </row>
    <row r="221">
      <c r="F221" s="218" t="n"/>
    </row>
    <row r="222">
      <c r="F222" s="218" t="n"/>
    </row>
    <row r="223">
      <c r="F223" s="218" t="n"/>
    </row>
    <row r="224">
      <c r="F224" s="218" t="n"/>
    </row>
    <row r="225">
      <c r="F225" s="218" t="n"/>
    </row>
    <row r="226">
      <c r="F226" s="218" t="n"/>
    </row>
    <row r="227">
      <c r="F227" s="218" t="n"/>
    </row>
    <row r="228">
      <c r="F228" s="218" t="n"/>
    </row>
    <row r="229">
      <c r="F229" s="218" t="n"/>
    </row>
    <row r="230">
      <c r="F230" s="218" t="n"/>
    </row>
    <row r="231">
      <c r="F231" s="218" t="n"/>
    </row>
    <row r="232">
      <c r="F232" s="218" t="n"/>
    </row>
    <row r="233">
      <c r="F233" s="218" t="n"/>
    </row>
    <row r="234">
      <c r="F234" s="218" t="n"/>
    </row>
    <row r="235">
      <c r="F235" s="218" t="n"/>
    </row>
    <row r="236">
      <c r="F236" s="218" t="n"/>
    </row>
    <row r="237">
      <c r="F237" s="218" t="n"/>
    </row>
    <row r="238">
      <c r="F238" s="218" t="n"/>
    </row>
    <row r="239">
      <c r="F239" s="218" t="n"/>
    </row>
    <row r="240">
      <c r="F240" s="218" t="n"/>
    </row>
    <row r="241">
      <c r="F241" s="218" t="n"/>
    </row>
    <row r="242">
      <c r="F242" s="218" t="n"/>
    </row>
    <row r="243">
      <c r="F243" s="218" t="n"/>
    </row>
    <row r="244">
      <c r="F244" s="218" t="n"/>
    </row>
    <row r="245">
      <c r="F245" s="218" t="n"/>
    </row>
    <row r="246">
      <c r="F246" s="218" t="n"/>
    </row>
    <row r="247">
      <c r="F247" s="218" t="n"/>
    </row>
    <row r="248">
      <c r="F248" s="218" t="n"/>
    </row>
    <row r="249">
      <c r="F249" s="218" t="n"/>
    </row>
    <row r="250">
      <c r="F250" s="218" t="n"/>
    </row>
    <row r="251">
      <c r="F251" s="218" t="n"/>
    </row>
    <row r="252">
      <c r="F252" s="218" t="n"/>
    </row>
    <row r="253">
      <c r="F253" s="218" t="n"/>
    </row>
    <row r="254">
      <c r="F254" s="218" t="n"/>
    </row>
    <row r="255">
      <c r="F255" s="218" t="n"/>
    </row>
    <row r="256">
      <c r="F256" s="218" t="n"/>
    </row>
    <row r="257">
      <c r="F257" s="218" t="n"/>
    </row>
    <row r="258">
      <c r="F258" s="218" t="n"/>
    </row>
    <row r="259">
      <c r="F259" s="218" t="n"/>
    </row>
    <row r="260">
      <c r="F260" s="218" t="n"/>
    </row>
    <row r="261">
      <c r="F261" s="218" t="n"/>
    </row>
    <row r="262">
      <c r="F262" s="218" t="n"/>
    </row>
    <row r="263">
      <c r="F263" s="218" t="n"/>
    </row>
    <row r="264">
      <c r="F264" s="218" t="n"/>
    </row>
    <row r="265">
      <c r="F265" s="218" t="n"/>
    </row>
    <row r="266">
      <c r="F266" s="218" t="n"/>
    </row>
    <row r="267">
      <c r="F267" s="218" t="n"/>
    </row>
    <row r="268">
      <c r="F268" s="218" t="n"/>
    </row>
    <row r="269">
      <c r="F269" s="218" t="n"/>
    </row>
    <row r="270">
      <c r="F270" s="218" t="n"/>
    </row>
    <row r="271">
      <c r="F271" s="218" t="n"/>
    </row>
    <row r="272">
      <c r="F272" s="218" t="n"/>
    </row>
    <row r="273">
      <c r="F273" s="218" t="n"/>
    </row>
    <row r="274">
      <c r="F274" s="218" t="n"/>
    </row>
    <row r="275">
      <c r="F275" s="218" t="n"/>
    </row>
    <row r="276">
      <c r="F276" s="218" t="n"/>
    </row>
    <row r="277">
      <c r="F277" s="218" t="n"/>
    </row>
    <row r="278">
      <c r="F278" s="218" t="n"/>
    </row>
    <row r="279">
      <c r="F279" s="218" t="n"/>
    </row>
    <row r="280">
      <c r="F280" s="218" t="n"/>
    </row>
    <row r="281">
      <c r="F281" s="218" t="n"/>
    </row>
    <row r="282">
      <c r="F282" s="218" t="n"/>
    </row>
    <row r="283">
      <c r="F283" s="218" t="n"/>
    </row>
    <row r="284">
      <c r="F284" s="218" t="n"/>
    </row>
    <row r="285">
      <c r="F285" s="218" t="n"/>
    </row>
    <row r="286">
      <c r="F286" s="218" t="n"/>
    </row>
    <row r="287">
      <c r="F287" s="218" t="n"/>
    </row>
    <row r="288">
      <c r="F288" s="218" t="n"/>
    </row>
    <row r="289">
      <c r="F289" s="218" t="n"/>
    </row>
    <row r="290">
      <c r="F290" s="218" t="n"/>
    </row>
    <row r="291">
      <c r="F291" s="218" t="n"/>
    </row>
    <row r="292">
      <c r="F292" s="218" t="n"/>
    </row>
    <row r="293">
      <c r="F293" s="218" t="n"/>
    </row>
    <row r="294">
      <c r="F294" s="218" t="n"/>
    </row>
    <row r="295">
      <c r="F295" s="218" t="n"/>
    </row>
    <row r="296">
      <c r="F296" s="218" t="n"/>
    </row>
    <row r="297">
      <c r="F297" s="218" t="n"/>
    </row>
    <row r="298">
      <c r="F298" s="218" t="n"/>
    </row>
    <row r="299">
      <c r="F299" s="218" t="n"/>
    </row>
    <row r="300">
      <c r="F300" s="218" t="n"/>
    </row>
    <row r="301">
      <c r="F301" s="218" t="n"/>
    </row>
    <row r="302">
      <c r="F302" s="218" t="n"/>
    </row>
    <row r="303">
      <c r="F303" s="218" t="n"/>
    </row>
    <row r="304">
      <c r="F304" s="218" t="n"/>
    </row>
    <row r="305">
      <c r="F305" s="218" t="n"/>
    </row>
    <row r="306">
      <c r="F306" s="218" t="n"/>
    </row>
    <row r="307">
      <c r="F307" s="218" t="n"/>
    </row>
    <row r="308">
      <c r="F308" s="218" t="n"/>
    </row>
    <row r="309">
      <c r="F309" s="218" t="n"/>
    </row>
    <row r="310">
      <c r="F310" s="218" t="n"/>
    </row>
    <row r="311">
      <c r="F311" s="218" t="n"/>
    </row>
    <row r="312">
      <c r="F312" s="218" t="n"/>
    </row>
    <row r="313">
      <c r="F313" s="218" t="n"/>
    </row>
    <row r="314">
      <c r="F314" s="218" t="n"/>
    </row>
    <row r="315">
      <c r="F315" s="218" t="n"/>
    </row>
    <row r="316">
      <c r="F316" s="218" t="n"/>
    </row>
    <row r="317">
      <c r="F317" s="218" t="n"/>
    </row>
    <row r="318">
      <c r="F318" s="218" t="n"/>
    </row>
    <row r="319">
      <c r="F319" s="218" t="n"/>
    </row>
    <row r="320">
      <c r="F320" s="218" t="n"/>
    </row>
    <row r="321">
      <c r="F321" s="218" t="n"/>
    </row>
    <row r="322">
      <c r="F322" s="218" t="n"/>
    </row>
    <row r="323">
      <c r="F323" s="218" t="n"/>
    </row>
    <row r="324">
      <c r="F324" s="218" t="n"/>
    </row>
    <row r="325">
      <c r="F325" s="218" t="n"/>
    </row>
    <row r="326">
      <c r="F326" s="218" t="n"/>
    </row>
    <row r="327">
      <c r="F327" s="218" t="n"/>
    </row>
    <row r="328">
      <c r="F328" s="218" t="n"/>
    </row>
    <row r="329">
      <c r="F329" s="218" t="n"/>
    </row>
    <row r="330">
      <c r="F330" s="218" t="n"/>
    </row>
    <row r="331">
      <c r="F331" s="218" t="n"/>
    </row>
    <row r="332">
      <c r="F332" s="218" t="n"/>
    </row>
    <row r="333">
      <c r="F333" s="218" t="n"/>
    </row>
    <row r="334">
      <c r="F334" s="218" t="n"/>
    </row>
    <row r="335">
      <c r="F335" s="218" t="n"/>
    </row>
    <row r="336">
      <c r="F336" s="218" t="n"/>
    </row>
    <row r="337">
      <c r="F337" s="218" t="n"/>
    </row>
    <row r="338">
      <c r="F338" s="218" t="n"/>
    </row>
    <row r="339">
      <c r="F339" s="218" t="n"/>
    </row>
    <row r="340">
      <c r="F340" s="218" t="n"/>
    </row>
    <row r="341">
      <c r="F341" s="218" t="n"/>
    </row>
    <row r="342">
      <c r="F342" s="218" t="n"/>
    </row>
    <row r="343">
      <c r="F343" s="218" t="n"/>
    </row>
    <row r="344">
      <c r="F344" s="218" t="n"/>
    </row>
    <row r="345">
      <c r="F345" s="218" t="n"/>
    </row>
    <row r="346">
      <c r="F346" s="218" t="n"/>
    </row>
    <row r="347">
      <c r="F347" s="218" t="n"/>
    </row>
    <row r="348">
      <c r="F348" s="218" t="n"/>
    </row>
    <row r="349">
      <c r="F349" s="218" t="n"/>
    </row>
    <row r="350">
      <c r="F350" s="218" t="n"/>
    </row>
    <row r="351">
      <c r="F351" s="218" t="n"/>
    </row>
    <row r="352">
      <c r="F352" s="218" t="n"/>
    </row>
    <row r="353">
      <c r="F353" s="218" t="n"/>
    </row>
    <row r="354">
      <c r="F354" s="218" t="n"/>
    </row>
    <row r="355">
      <c r="F355" s="218" t="n"/>
    </row>
    <row r="356">
      <c r="F356" s="218" t="n"/>
    </row>
    <row r="357">
      <c r="F357" s="218" t="n"/>
    </row>
    <row r="358">
      <c r="F358" s="218" t="n"/>
    </row>
    <row r="359">
      <c r="F359" s="218" t="n"/>
    </row>
    <row r="360">
      <c r="F360" s="218" t="n"/>
    </row>
    <row r="361">
      <c r="F361" s="218" t="n"/>
    </row>
    <row r="362">
      <c r="F362" s="218" t="n"/>
    </row>
    <row r="363">
      <c r="F363" s="218" t="n"/>
    </row>
    <row r="364">
      <c r="F364" s="218" t="n"/>
    </row>
    <row r="365">
      <c r="F365" s="218" t="n"/>
    </row>
    <row r="366">
      <c r="F366" s="218" t="n"/>
    </row>
    <row r="367">
      <c r="F367" s="218" t="n"/>
    </row>
    <row r="368">
      <c r="F368" s="218" t="n"/>
    </row>
    <row r="369">
      <c r="F369" s="218" t="n"/>
    </row>
    <row r="370">
      <c r="F370" s="218" t="n"/>
    </row>
    <row r="371">
      <c r="F371" s="218" t="n"/>
    </row>
    <row r="372">
      <c r="F372" s="218" t="n"/>
    </row>
    <row r="373">
      <c r="F373" s="218" t="n"/>
    </row>
    <row r="374">
      <c r="F374" s="218" t="n"/>
    </row>
    <row r="375">
      <c r="F375" s="218" t="n"/>
    </row>
    <row r="376">
      <c r="F376" s="218" t="n"/>
    </row>
    <row r="377">
      <c r="F377" s="218" t="n"/>
    </row>
    <row r="378">
      <c r="F378" s="218" t="n"/>
    </row>
    <row r="379">
      <c r="F379" s="218" t="n"/>
    </row>
    <row r="380">
      <c r="F380" s="218" t="n"/>
    </row>
    <row r="381">
      <c r="F381" s="218" t="n"/>
    </row>
    <row r="382">
      <c r="F382" s="218" t="n"/>
    </row>
    <row r="383">
      <c r="F383" s="218" t="n"/>
    </row>
    <row r="384">
      <c r="F384" s="218" t="n"/>
    </row>
    <row r="385">
      <c r="F385" s="218" t="n"/>
    </row>
    <row r="386">
      <c r="F386" s="218" t="n"/>
    </row>
    <row r="387">
      <c r="F387" s="218" t="n"/>
    </row>
    <row r="388">
      <c r="F388" s="218" t="n"/>
    </row>
    <row r="389">
      <c r="F389" s="218" t="n"/>
    </row>
    <row r="390">
      <c r="F390" s="218" t="n"/>
    </row>
    <row r="391">
      <c r="F391" s="218" t="n"/>
    </row>
    <row r="392">
      <c r="F392" s="218" t="n"/>
    </row>
    <row r="393">
      <c r="F393" s="218" t="n"/>
    </row>
    <row r="394">
      <c r="F394" s="218" t="n"/>
    </row>
    <row r="395">
      <c r="F395" s="218" t="n"/>
    </row>
    <row r="396">
      <c r="F396" s="218" t="n"/>
    </row>
    <row r="397">
      <c r="F397" s="218" t="n"/>
    </row>
    <row r="398">
      <c r="F398" s="218" t="n"/>
    </row>
    <row r="399">
      <c r="F399" s="218" t="n"/>
    </row>
    <row r="400">
      <c r="F400" s="218" t="n"/>
    </row>
    <row r="401">
      <c r="F401" s="218" t="n"/>
    </row>
    <row r="402">
      <c r="F402" s="218" t="n"/>
    </row>
    <row r="403">
      <c r="F403" s="218" t="n"/>
    </row>
    <row r="404">
      <c r="F404" s="218" t="n"/>
    </row>
    <row r="405">
      <c r="F405" s="218" t="n"/>
    </row>
    <row r="406">
      <c r="F406" s="218" t="n"/>
    </row>
    <row r="407">
      <c r="F407" s="218" t="n"/>
    </row>
    <row r="408">
      <c r="F408" s="218" t="n"/>
    </row>
    <row r="409">
      <c r="F409" s="218" t="n"/>
    </row>
    <row r="410">
      <c r="F410" s="218" t="n"/>
    </row>
    <row r="411">
      <c r="F411" s="218" t="n"/>
    </row>
    <row r="412">
      <c r="F412" s="218" t="n"/>
    </row>
    <row r="413">
      <c r="F413" s="218" t="n"/>
    </row>
    <row r="414">
      <c r="F414" s="218" t="n"/>
    </row>
    <row r="415">
      <c r="F415" s="218" t="n"/>
    </row>
    <row r="416">
      <c r="F416" s="218" t="n"/>
    </row>
    <row r="417">
      <c r="F417" s="218" t="n"/>
    </row>
    <row r="418">
      <c r="F418" s="218" t="n"/>
    </row>
    <row r="419">
      <c r="F419" s="218" t="n"/>
    </row>
    <row r="420">
      <c r="F420" s="218" t="n"/>
    </row>
    <row r="421">
      <c r="F421" s="218" t="n"/>
    </row>
    <row r="422">
      <c r="F422" s="218" t="n"/>
    </row>
    <row r="423">
      <c r="F423" s="218" t="n"/>
    </row>
    <row r="424">
      <c r="F424" s="218" t="n"/>
    </row>
    <row r="425">
      <c r="F425" s="218" t="n"/>
    </row>
    <row r="426">
      <c r="F426" s="218" t="n"/>
    </row>
    <row r="427">
      <c r="F427" s="218" t="n"/>
    </row>
    <row r="428">
      <c r="F428" s="218" t="n"/>
    </row>
    <row r="429">
      <c r="F429" s="218" t="n"/>
    </row>
    <row r="430">
      <c r="F430" s="218" t="n"/>
    </row>
    <row r="431">
      <c r="F431" s="218" t="n"/>
    </row>
    <row r="432">
      <c r="F432" s="218" t="n"/>
    </row>
    <row r="433">
      <c r="F433" s="218" t="n"/>
    </row>
    <row r="434">
      <c r="F434" s="218" t="n"/>
    </row>
    <row r="435">
      <c r="F435" s="218" t="n"/>
    </row>
    <row r="436">
      <c r="F436" s="218" t="n"/>
    </row>
    <row r="437">
      <c r="F437" s="218" t="n"/>
    </row>
    <row r="438">
      <c r="F438" s="218" t="n"/>
    </row>
    <row r="439">
      <c r="F439" s="218" t="n"/>
    </row>
    <row r="440">
      <c r="F440" s="218" t="n"/>
    </row>
    <row r="441">
      <c r="F441" s="218" t="n"/>
    </row>
    <row r="442">
      <c r="F442" s="218" t="n"/>
    </row>
    <row r="443">
      <c r="F443" s="218" t="n"/>
    </row>
    <row r="444">
      <c r="F444" s="218" t="n"/>
    </row>
    <row r="445">
      <c r="F445" s="218" t="n"/>
    </row>
    <row r="446">
      <c r="F446" s="218" t="n"/>
    </row>
    <row r="447">
      <c r="F447" s="218" t="n"/>
    </row>
    <row r="448">
      <c r="F448" s="218" t="n"/>
    </row>
    <row r="449">
      <c r="F449" s="218" t="n"/>
    </row>
    <row r="450">
      <c r="F450" s="218" t="n"/>
    </row>
    <row r="451">
      <c r="F451" s="218" t="n"/>
    </row>
    <row r="452">
      <c r="F452" s="218" t="n"/>
    </row>
    <row r="453">
      <c r="F453" s="218" t="n"/>
    </row>
    <row r="454">
      <c r="F454" s="218" t="n"/>
    </row>
    <row r="455">
      <c r="F455" s="218" t="n"/>
    </row>
    <row r="456">
      <c r="F456" s="218" t="n"/>
    </row>
    <row r="457">
      <c r="F457" s="218" t="n"/>
    </row>
    <row r="458">
      <c r="F458" s="218" t="n"/>
    </row>
    <row r="459">
      <c r="F459" s="218" t="n"/>
    </row>
    <row r="460">
      <c r="F460" s="218" t="n"/>
    </row>
    <row r="461">
      <c r="F461" s="218" t="n"/>
    </row>
    <row r="462">
      <c r="F462" s="218" t="n"/>
    </row>
    <row r="463">
      <c r="F463" s="218" t="n"/>
    </row>
    <row r="464">
      <c r="F464" s="218" t="n"/>
    </row>
    <row r="465">
      <c r="F465" s="218" t="n"/>
    </row>
    <row r="466">
      <c r="F466" s="218" t="n"/>
    </row>
    <row r="467">
      <c r="F467" s="218" t="n"/>
    </row>
    <row r="468">
      <c r="F468" s="218" t="n"/>
    </row>
    <row r="469">
      <c r="F469" s="218" t="n"/>
    </row>
    <row r="470">
      <c r="F470" s="218" t="n"/>
    </row>
    <row r="471">
      <c r="F471" s="218" t="n"/>
    </row>
    <row r="472">
      <c r="F472" s="218" t="n"/>
    </row>
    <row r="473">
      <c r="F473" s="218" t="n"/>
    </row>
    <row r="474">
      <c r="F474" s="218" t="n"/>
    </row>
    <row r="475">
      <c r="F475" s="218" t="n"/>
    </row>
    <row r="476">
      <c r="F476" s="218" t="n"/>
    </row>
    <row r="477">
      <c r="F477" s="218" t="n"/>
    </row>
    <row r="478">
      <c r="F478" s="218" t="n"/>
    </row>
    <row r="479">
      <c r="F479" s="218" t="n"/>
    </row>
    <row r="480">
      <c r="F480" s="218" t="n"/>
    </row>
    <row r="481">
      <c r="F481" s="218" t="n"/>
    </row>
    <row r="482">
      <c r="F482" s="218" t="n"/>
    </row>
    <row r="483">
      <c r="F483" s="218" t="n"/>
    </row>
    <row r="484">
      <c r="F484" s="218" t="n"/>
    </row>
    <row r="485">
      <c r="F485" s="218" t="n"/>
    </row>
    <row r="486">
      <c r="F486" s="218" t="n"/>
    </row>
    <row r="487">
      <c r="F487" s="218" t="n"/>
    </row>
    <row r="488">
      <c r="F488" s="218" t="n"/>
    </row>
    <row r="489">
      <c r="F489" s="218" t="n"/>
    </row>
    <row r="490">
      <c r="F490" s="218" t="n"/>
    </row>
    <row r="491">
      <c r="F491" s="218" t="n"/>
    </row>
    <row r="492">
      <c r="F492" s="218" t="n"/>
    </row>
    <row r="493">
      <c r="F493" s="218" t="n"/>
    </row>
    <row r="494">
      <c r="F494" s="218" t="n"/>
    </row>
    <row r="495">
      <c r="F495" s="218" t="n"/>
    </row>
    <row r="496">
      <c r="F496" s="218" t="n"/>
    </row>
    <row r="497">
      <c r="F497" s="218" t="n"/>
    </row>
    <row r="498">
      <c r="F498" s="218" t="n"/>
    </row>
    <row r="499">
      <c r="F499" s="218" t="n"/>
    </row>
    <row r="500">
      <c r="F500" s="218" t="n"/>
    </row>
    <row r="501">
      <c r="F501" s="218" t="n"/>
    </row>
    <row r="502">
      <c r="F502" s="218" t="n"/>
    </row>
    <row r="503">
      <c r="F503" s="218" t="n"/>
    </row>
    <row r="504">
      <c r="F504" s="218" t="n"/>
    </row>
    <row r="505">
      <c r="F505" s="218" t="n"/>
    </row>
    <row r="506">
      <c r="F506" s="218" t="n"/>
    </row>
    <row r="507">
      <c r="F507" s="218" t="n"/>
    </row>
    <row r="508">
      <c r="F508" s="218" t="n"/>
    </row>
    <row r="509">
      <c r="F509" s="218" t="n"/>
    </row>
    <row r="510">
      <c r="F510" s="218" t="n"/>
    </row>
    <row r="511">
      <c r="F511" s="218" t="n"/>
    </row>
    <row r="512">
      <c r="F512" s="218" t="n"/>
    </row>
    <row r="513">
      <c r="F513" s="218" t="n"/>
    </row>
    <row r="514">
      <c r="F514" s="218" t="n"/>
    </row>
    <row r="515">
      <c r="F515" s="218" t="n"/>
    </row>
    <row r="516">
      <c r="F516" s="218" t="n"/>
    </row>
    <row r="517">
      <c r="F517" s="218" t="n"/>
    </row>
    <row r="518">
      <c r="F518" s="218" t="n"/>
    </row>
    <row r="519">
      <c r="F519" s="218" t="n"/>
    </row>
    <row r="520">
      <c r="F520" s="218" t="n"/>
    </row>
    <row r="521">
      <c r="F521" s="218" t="n"/>
    </row>
    <row r="522">
      <c r="F522" s="218" t="n"/>
    </row>
    <row r="523">
      <c r="F523" s="218" t="n"/>
    </row>
    <row r="524">
      <c r="F524" s="218" t="n"/>
    </row>
    <row r="525">
      <c r="F525" s="218" t="n"/>
    </row>
    <row r="526">
      <c r="F526" s="218" t="n"/>
    </row>
    <row r="527">
      <c r="F527" s="218" t="n"/>
    </row>
    <row r="528">
      <c r="F528" s="218" t="n"/>
    </row>
    <row r="529">
      <c r="F529" s="218" t="n"/>
    </row>
    <row r="530">
      <c r="F530" s="218" t="n"/>
    </row>
    <row r="531">
      <c r="F531" s="218" t="n"/>
    </row>
    <row r="532">
      <c r="F532" s="218" t="n"/>
    </row>
    <row r="533">
      <c r="F533" s="218" t="n"/>
    </row>
    <row r="534">
      <c r="F534" s="218" t="n"/>
    </row>
    <row r="535">
      <c r="F535" s="218" t="n"/>
    </row>
    <row r="536">
      <c r="F536" s="218" t="n"/>
    </row>
    <row r="537">
      <c r="F537" s="218" t="n"/>
    </row>
    <row r="538">
      <c r="F538" s="218" t="n"/>
    </row>
    <row r="539">
      <c r="F539" s="218" t="n"/>
    </row>
    <row r="540">
      <c r="F540" s="218" t="n"/>
    </row>
    <row r="541">
      <c r="F541" s="218" t="n"/>
    </row>
    <row r="542">
      <c r="F542" s="218" t="n"/>
    </row>
    <row r="543">
      <c r="F543" s="218" t="n"/>
    </row>
    <row r="544">
      <c r="F544" s="218" t="n"/>
    </row>
    <row r="545">
      <c r="F545" s="218" t="n"/>
    </row>
    <row r="546">
      <c r="F546" s="218" t="n"/>
    </row>
    <row r="547">
      <c r="F547" s="218" t="n"/>
    </row>
    <row r="548">
      <c r="F548" s="218" t="n"/>
    </row>
    <row r="549">
      <c r="F549" s="218" t="n"/>
    </row>
    <row r="550">
      <c r="F550" s="218" t="n"/>
    </row>
    <row r="551">
      <c r="F551" s="218" t="n"/>
    </row>
    <row r="552">
      <c r="F552" s="218" t="n"/>
    </row>
    <row r="553">
      <c r="F553" s="218" t="n"/>
    </row>
    <row r="554">
      <c r="F554" s="218" t="n"/>
    </row>
    <row r="555">
      <c r="F555" s="218" t="n"/>
    </row>
    <row r="556">
      <c r="F556" s="218" t="n"/>
    </row>
    <row r="557">
      <c r="F557" s="218" t="n"/>
    </row>
    <row r="558">
      <c r="F558" s="218" t="n"/>
    </row>
    <row r="559">
      <c r="F559" s="218" t="n"/>
    </row>
    <row r="560">
      <c r="F560" s="218" t="n"/>
    </row>
    <row r="561">
      <c r="F561" s="218" t="n"/>
    </row>
    <row r="562">
      <c r="F562" s="218" t="n"/>
    </row>
    <row r="563">
      <c r="F563" s="218" t="n"/>
    </row>
    <row r="564">
      <c r="F564" s="218" t="n"/>
    </row>
    <row r="565">
      <c r="F565" s="218" t="n"/>
    </row>
    <row r="566">
      <c r="F566" s="218" t="n"/>
    </row>
    <row r="567">
      <c r="F567" s="218" t="n"/>
    </row>
    <row r="568">
      <c r="F568" s="218" t="n"/>
    </row>
    <row r="569">
      <c r="F569" s="218" t="n"/>
    </row>
    <row r="570">
      <c r="F570" s="218" t="n"/>
    </row>
    <row r="571">
      <c r="F571" s="218" t="n"/>
    </row>
    <row r="572">
      <c r="F572" s="218" t="n"/>
    </row>
    <row r="573">
      <c r="F573" s="218" t="n"/>
    </row>
    <row r="574">
      <c r="F574" s="218" t="n"/>
    </row>
    <row r="575">
      <c r="F575" s="218" t="n"/>
    </row>
    <row r="576">
      <c r="F576" s="218" t="n"/>
    </row>
    <row r="577">
      <c r="F577" s="218" t="n"/>
    </row>
    <row r="578">
      <c r="F578" s="218" t="n"/>
    </row>
    <row r="579">
      <c r="F579" s="218" t="n"/>
    </row>
    <row r="580">
      <c r="F580" s="218" t="n"/>
    </row>
    <row r="581">
      <c r="F581" s="218" t="n"/>
    </row>
    <row r="582">
      <c r="F582" s="218" t="n"/>
    </row>
    <row r="583">
      <c r="F583" s="218" t="n"/>
    </row>
    <row r="584">
      <c r="F584" s="218" t="n"/>
    </row>
    <row r="585">
      <c r="F585" s="218" t="n"/>
    </row>
    <row r="586">
      <c r="F586" s="218" t="n"/>
    </row>
    <row r="587">
      <c r="F587" s="218" t="n"/>
    </row>
    <row r="588">
      <c r="F588" s="218" t="n"/>
    </row>
    <row r="589">
      <c r="F589" s="218" t="n"/>
    </row>
    <row r="590">
      <c r="F590" s="218" t="n"/>
    </row>
    <row r="591">
      <c r="F591" s="218" t="n"/>
    </row>
    <row r="592">
      <c r="F592" s="218" t="n"/>
    </row>
    <row r="593">
      <c r="F593" s="218" t="n"/>
    </row>
    <row r="594">
      <c r="F594" s="218" t="n"/>
    </row>
    <row r="595">
      <c r="F595" s="218" t="n"/>
    </row>
    <row r="596">
      <c r="F596" s="218" t="n"/>
    </row>
    <row r="597">
      <c r="F597" s="218" t="n"/>
    </row>
    <row r="598">
      <c r="F598" s="218" t="n"/>
    </row>
    <row r="599">
      <c r="F599" s="218" t="n"/>
    </row>
    <row r="600">
      <c r="F600" s="218" t="n"/>
    </row>
    <row r="601">
      <c r="F601" s="218" t="n"/>
    </row>
    <row r="602">
      <c r="F602" s="218" t="n"/>
    </row>
    <row r="603">
      <c r="F603" s="218" t="n"/>
    </row>
    <row r="604">
      <c r="F604" s="218" t="n"/>
    </row>
    <row r="605">
      <c r="F605" s="218" t="n"/>
    </row>
    <row r="606">
      <c r="F606" s="218" t="n"/>
    </row>
    <row r="607">
      <c r="F607" s="218" t="n"/>
    </row>
    <row r="608">
      <c r="F608" s="218" t="n"/>
    </row>
    <row r="609">
      <c r="F609" s="218" t="n"/>
    </row>
    <row r="610">
      <c r="F610" s="218" t="n"/>
    </row>
    <row r="611">
      <c r="F611" s="218" t="n"/>
    </row>
    <row r="612">
      <c r="F612" s="218" t="n"/>
    </row>
    <row r="613">
      <c r="F613" s="218" t="n"/>
    </row>
    <row r="614">
      <c r="F614" s="218" t="n"/>
    </row>
    <row r="615">
      <c r="F615" s="218" t="n"/>
    </row>
    <row r="616">
      <c r="F616" s="218" t="n"/>
    </row>
    <row r="617">
      <c r="F617" s="218" t="n"/>
    </row>
    <row r="618">
      <c r="F618" s="218" t="n"/>
    </row>
    <row r="619">
      <c r="F619" s="218" t="n"/>
    </row>
    <row r="620">
      <c r="F620" s="218" t="n"/>
    </row>
    <row r="621">
      <c r="F621" s="218" t="n"/>
    </row>
    <row r="622">
      <c r="F622" s="218" t="n"/>
    </row>
    <row r="623">
      <c r="F623" s="218" t="n"/>
    </row>
    <row r="624">
      <c r="F624" s="218" t="n"/>
    </row>
    <row r="625">
      <c r="F625" s="218" t="n"/>
    </row>
    <row r="626">
      <c r="F626" s="218" t="n"/>
    </row>
    <row r="627">
      <c r="F627" s="218" t="n"/>
    </row>
    <row r="628">
      <c r="F628" s="218" t="n"/>
    </row>
    <row r="629">
      <c r="F629" s="218" t="n"/>
    </row>
    <row r="630">
      <c r="F630" s="218" t="n"/>
    </row>
    <row r="631">
      <c r="F631" s="218" t="n"/>
    </row>
    <row r="632">
      <c r="F632" s="218" t="n"/>
    </row>
    <row r="633">
      <c r="F633" s="218" t="n"/>
    </row>
    <row r="634">
      <c r="F634" s="218" t="n"/>
    </row>
    <row r="635">
      <c r="F635" s="218" t="n"/>
    </row>
    <row r="636">
      <c r="F636" s="218" t="n"/>
    </row>
    <row r="637">
      <c r="F637" s="218" t="n"/>
    </row>
    <row r="638">
      <c r="F638" s="218" t="n"/>
    </row>
    <row r="639">
      <c r="F639" s="218" t="n"/>
    </row>
    <row r="640">
      <c r="F640" s="218" t="n"/>
    </row>
    <row r="641">
      <c r="F641" s="218" t="n"/>
    </row>
    <row r="642">
      <c r="F642" s="218" t="n"/>
    </row>
    <row r="643">
      <c r="F643" s="218" t="n"/>
    </row>
    <row r="644">
      <c r="F644" s="218" t="n"/>
    </row>
    <row r="645">
      <c r="F645" s="218" t="n"/>
    </row>
    <row r="646">
      <c r="F646" s="218" t="n"/>
    </row>
    <row r="647">
      <c r="F647" s="218" t="n"/>
    </row>
    <row r="648">
      <c r="F648" s="218" t="n"/>
    </row>
    <row r="649">
      <c r="F649" s="218" t="n"/>
    </row>
    <row r="650">
      <c r="F650" s="218" t="n"/>
    </row>
    <row r="651">
      <c r="F651" s="218" t="n"/>
    </row>
    <row r="652">
      <c r="F652" s="218" t="n"/>
    </row>
    <row r="653">
      <c r="F653" s="218" t="n"/>
    </row>
    <row r="654">
      <c r="F654" s="218" t="n"/>
    </row>
    <row r="655">
      <c r="F655" s="218" t="n"/>
    </row>
    <row r="656">
      <c r="F656" s="218" t="n"/>
    </row>
    <row r="657">
      <c r="F657" s="218" t="n"/>
    </row>
    <row r="658">
      <c r="F658" s="218" t="n"/>
    </row>
    <row r="659">
      <c r="F659" s="218" t="n"/>
    </row>
    <row r="660">
      <c r="F660" s="218" t="n"/>
    </row>
    <row r="661">
      <c r="F661" s="218" t="n"/>
    </row>
    <row r="662">
      <c r="F662" s="218" t="n"/>
    </row>
    <row r="663">
      <c r="F663" s="218" t="n"/>
    </row>
    <row r="664">
      <c r="F664" s="218" t="n"/>
    </row>
    <row r="665">
      <c r="F665" s="218" t="n"/>
    </row>
    <row r="666">
      <c r="F666" s="218" t="n"/>
    </row>
    <row r="667">
      <c r="F667" s="218" t="n"/>
    </row>
    <row r="668">
      <c r="F668" s="218" t="n"/>
    </row>
    <row r="669">
      <c r="F669" s="218" t="n"/>
    </row>
    <row r="670">
      <c r="F670" s="218" t="n"/>
    </row>
    <row r="671">
      <c r="F671" s="218" t="n"/>
    </row>
    <row r="672">
      <c r="F672" s="218" t="n"/>
    </row>
    <row r="673">
      <c r="F673" s="218" t="n"/>
    </row>
    <row r="674">
      <c r="F674" s="218" t="n"/>
    </row>
    <row r="675">
      <c r="F675" s="218" t="n"/>
    </row>
    <row r="676">
      <c r="F676" s="218" t="n"/>
    </row>
    <row r="677">
      <c r="F677" s="218" t="n"/>
    </row>
    <row r="678">
      <c r="F678" s="218" t="n"/>
    </row>
    <row r="679">
      <c r="F679" s="218" t="n"/>
    </row>
    <row r="680">
      <c r="F680" s="218" t="n"/>
    </row>
    <row r="681">
      <c r="F681" s="218" t="n"/>
    </row>
    <row r="682">
      <c r="F682" s="218" t="n"/>
    </row>
    <row r="683">
      <c r="F683" s="218" t="n"/>
    </row>
    <row r="684">
      <c r="F684" s="218" t="n"/>
    </row>
    <row r="685">
      <c r="F685" s="218" t="n"/>
    </row>
    <row r="686">
      <c r="F686" s="218" t="n"/>
    </row>
    <row r="687">
      <c r="F687" s="218" t="n"/>
    </row>
    <row r="688">
      <c r="F688" s="218" t="n"/>
    </row>
    <row r="689">
      <c r="F689" s="218" t="n"/>
    </row>
    <row r="690">
      <c r="F690" s="218" t="n"/>
    </row>
    <row r="691">
      <c r="F691" s="218" t="n"/>
    </row>
    <row r="692">
      <c r="F692" s="218" t="n"/>
    </row>
    <row r="693">
      <c r="F693" s="218" t="n"/>
    </row>
    <row r="694">
      <c r="F694" s="218" t="n"/>
    </row>
    <row r="695">
      <c r="F695" s="218" t="n"/>
    </row>
    <row r="696">
      <c r="F696" s="218" t="n"/>
    </row>
    <row r="697">
      <c r="F697" s="218" t="n"/>
    </row>
    <row r="698">
      <c r="F698" s="218" t="n"/>
    </row>
    <row r="699">
      <c r="F699" s="218" t="n"/>
    </row>
    <row r="700">
      <c r="F700" s="218" t="n"/>
    </row>
    <row r="701">
      <c r="F701" s="218" t="n"/>
    </row>
    <row r="702">
      <c r="F702" s="218" t="n"/>
    </row>
    <row r="703">
      <c r="F703" s="218" t="n"/>
    </row>
    <row r="704">
      <c r="F704" s="218" t="n"/>
    </row>
    <row r="705">
      <c r="F705" s="218" t="n"/>
    </row>
    <row r="706">
      <c r="F706" s="218" t="n"/>
    </row>
    <row r="707">
      <c r="F707" s="218" t="n"/>
    </row>
    <row r="708">
      <c r="F708" s="218" t="n"/>
    </row>
    <row r="709">
      <c r="F709" s="218" t="n"/>
    </row>
    <row r="710">
      <c r="F710" s="218" t="n"/>
    </row>
    <row r="711">
      <c r="F711" s="218" t="n"/>
    </row>
    <row r="712">
      <c r="F712" s="218" t="n"/>
    </row>
    <row r="713">
      <c r="F713" s="218" t="n"/>
    </row>
    <row r="714">
      <c r="F714" s="218" t="n"/>
    </row>
    <row r="715">
      <c r="F715" s="218" t="n"/>
    </row>
    <row r="716">
      <c r="F716" s="218" t="n"/>
    </row>
    <row r="717">
      <c r="F717" s="218" t="n"/>
    </row>
    <row r="718">
      <c r="F718" s="218" t="n"/>
    </row>
    <row r="719">
      <c r="F719" s="218" t="n"/>
    </row>
    <row r="720">
      <c r="F720" s="218" t="n"/>
    </row>
    <row r="721">
      <c r="F721" s="218" t="n"/>
    </row>
    <row r="722">
      <c r="F722" s="218" t="n"/>
    </row>
    <row r="723">
      <c r="F723" s="218" t="n"/>
    </row>
    <row r="724">
      <c r="F724" s="218" t="n"/>
    </row>
    <row r="725">
      <c r="F725" s="218" t="n"/>
    </row>
    <row r="726">
      <c r="F726" s="218" t="n"/>
    </row>
    <row r="727">
      <c r="F727" s="218" t="n"/>
    </row>
    <row r="728">
      <c r="F728" s="218" t="n"/>
    </row>
    <row r="729">
      <c r="F729" s="218" t="n"/>
    </row>
    <row r="730">
      <c r="F730" s="218" t="n"/>
    </row>
    <row r="731">
      <c r="F731" s="218" t="n"/>
    </row>
    <row r="732">
      <c r="F732" s="218" t="n"/>
    </row>
    <row r="733">
      <c r="F733" s="218" t="n"/>
    </row>
    <row r="734">
      <c r="F734" s="218" t="n"/>
    </row>
    <row r="735">
      <c r="F735" s="218" t="n"/>
    </row>
    <row r="736">
      <c r="F736" s="218" t="n"/>
    </row>
    <row r="737">
      <c r="F737" s="218" t="n"/>
    </row>
    <row r="738">
      <c r="F738" s="218" t="n"/>
    </row>
    <row r="739">
      <c r="F739" s="218" t="n"/>
    </row>
    <row r="740">
      <c r="F740" s="218" t="n"/>
    </row>
    <row r="741">
      <c r="F741" s="218" t="n"/>
    </row>
    <row r="742">
      <c r="F742" s="218" t="n"/>
    </row>
    <row r="743">
      <c r="F743" s="218" t="n"/>
    </row>
    <row r="744">
      <c r="F744" s="218" t="n"/>
    </row>
    <row r="745">
      <c r="F745" s="218" t="n"/>
    </row>
    <row r="746">
      <c r="F746" s="218" t="n"/>
    </row>
    <row r="747">
      <c r="F747" s="218" t="n"/>
    </row>
    <row r="748">
      <c r="F748" s="218" t="n"/>
    </row>
    <row r="749">
      <c r="F749" s="218" t="n"/>
    </row>
    <row r="750">
      <c r="F750" s="218" t="n"/>
    </row>
    <row r="751">
      <c r="F751" s="218" t="n"/>
    </row>
    <row r="752">
      <c r="F752" s="218" t="n"/>
    </row>
    <row r="753">
      <c r="F753" s="218" t="n"/>
    </row>
    <row r="754">
      <c r="F754" s="218" t="n"/>
    </row>
    <row r="755">
      <c r="F755" s="218" t="n"/>
    </row>
    <row r="756">
      <c r="F756" s="218" t="n"/>
    </row>
    <row r="757">
      <c r="F757" s="218" t="n"/>
    </row>
    <row r="758">
      <c r="F758" s="218" t="n"/>
    </row>
    <row r="759">
      <c r="F759" s="218" t="n"/>
    </row>
    <row r="760">
      <c r="F760" s="218" t="n"/>
    </row>
    <row r="761">
      <c r="F761" s="218" t="n"/>
    </row>
    <row r="762">
      <c r="F762" s="218" t="n"/>
    </row>
    <row r="763">
      <c r="F763" s="218" t="n"/>
    </row>
    <row r="764">
      <c r="F764" s="218" t="n"/>
    </row>
    <row r="765">
      <c r="F765" s="218" t="n"/>
    </row>
    <row r="766">
      <c r="F766" s="218" t="n"/>
    </row>
    <row r="767">
      <c r="F767" s="218" t="n"/>
    </row>
    <row r="768">
      <c r="F768" s="218" t="n"/>
    </row>
    <row r="769">
      <c r="F769" s="218" t="n"/>
    </row>
    <row r="770">
      <c r="F770" s="218" t="n"/>
    </row>
    <row r="771">
      <c r="F771" s="218" t="n"/>
    </row>
    <row r="772">
      <c r="F772" s="218" t="n"/>
    </row>
    <row r="773">
      <c r="F773" s="218" t="n"/>
    </row>
    <row r="774">
      <c r="F774" s="218" t="n"/>
    </row>
    <row r="775">
      <c r="F775" s="218" t="n"/>
    </row>
    <row r="776">
      <c r="F776" s="218" t="n"/>
    </row>
    <row r="777">
      <c r="F777" s="218" t="n"/>
    </row>
    <row r="778">
      <c r="F778" s="218" t="n"/>
    </row>
    <row r="779">
      <c r="F779" s="218" t="n"/>
    </row>
    <row r="780">
      <c r="F780" s="218" t="n"/>
    </row>
    <row r="781">
      <c r="F781" s="218" t="n"/>
    </row>
    <row r="782">
      <c r="F782" s="218" t="n"/>
    </row>
    <row r="783">
      <c r="F783" s="218" t="n"/>
    </row>
    <row r="784">
      <c r="F784" s="218" t="n"/>
    </row>
    <row r="785">
      <c r="F785" s="218" t="n"/>
    </row>
    <row r="786">
      <c r="F786" s="218" t="n"/>
    </row>
    <row r="787">
      <c r="F787" s="218" t="n"/>
    </row>
    <row r="788">
      <c r="F788" s="218" t="n"/>
    </row>
    <row r="789">
      <c r="F789" s="218" t="n"/>
    </row>
    <row r="790">
      <c r="F790" s="218" t="n"/>
    </row>
    <row r="791">
      <c r="F791" s="218" t="n"/>
    </row>
    <row r="792">
      <c r="F792" s="218" t="n"/>
    </row>
    <row r="793">
      <c r="F793" s="218" t="n"/>
    </row>
    <row r="794">
      <c r="F794" s="218" t="n"/>
    </row>
    <row r="795">
      <c r="F795" s="218" t="n"/>
    </row>
    <row r="796">
      <c r="F796" s="218" t="n"/>
    </row>
    <row r="797">
      <c r="F797" s="218" t="n"/>
    </row>
    <row r="798">
      <c r="F798" s="218" t="n"/>
    </row>
    <row r="799">
      <c r="F799" s="218" t="n"/>
    </row>
    <row r="800">
      <c r="F800" s="218" t="n"/>
    </row>
    <row r="801">
      <c r="F801" s="218" t="n"/>
    </row>
    <row r="802">
      <c r="F802" s="218" t="n"/>
    </row>
    <row r="803">
      <c r="F803" s="218" t="n"/>
    </row>
    <row r="804">
      <c r="F804" s="218" t="n"/>
    </row>
    <row r="805">
      <c r="F805" s="218" t="n"/>
    </row>
    <row r="806">
      <c r="F806" s="218" t="n"/>
    </row>
    <row r="807">
      <c r="F807" s="218" t="n"/>
    </row>
    <row r="808">
      <c r="F808" s="218" t="n"/>
    </row>
    <row r="809">
      <c r="F809" s="218" t="n"/>
    </row>
    <row r="810">
      <c r="F810" s="218" t="n"/>
    </row>
    <row r="811">
      <c r="F811" s="218" t="n"/>
    </row>
    <row r="812">
      <c r="F812" s="218" t="n"/>
    </row>
    <row r="813">
      <c r="F813" s="218" t="n"/>
    </row>
    <row r="814">
      <c r="F814" s="218" t="n"/>
    </row>
    <row r="815">
      <c r="F815" s="218" t="n"/>
    </row>
    <row r="816">
      <c r="F816" s="218" t="n"/>
    </row>
    <row r="817">
      <c r="F817" s="218" t="n"/>
    </row>
    <row r="818">
      <c r="F818" s="218" t="n"/>
    </row>
    <row r="819">
      <c r="F819" s="218" t="n"/>
    </row>
    <row r="820">
      <c r="F820" s="218" t="n"/>
    </row>
    <row r="821">
      <c r="F821" s="218" t="n"/>
    </row>
    <row r="822">
      <c r="F822" s="218" t="n"/>
    </row>
    <row r="823">
      <c r="F823" s="218" t="n"/>
    </row>
    <row r="824">
      <c r="F824" s="218" t="n"/>
    </row>
    <row r="825">
      <c r="F825" s="218" t="n"/>
    </row>
    <row r="826">
      <c r="F826" s="218" t="n"/>
    </row>
    <row r="827">
      <c r="F827" s="218" t="n"/>
    </row>
    <row r="828">
      <c r="F828" s="218" t="n"/>
    </row>
    <row r="829">
      <c r="F829" s="218" t="n"/>
    </row>
    <row r="830">
      <c r="F830" s="218" t="n"/>
    </row>
    <row r="831">
      <c r="F831" s="218" t="n"/>
    </row>
    <row r="832">
      <c r="F832" s="218" t="n"/>
    </row>
    <row r="833">
      <c r="F833" s="218" t="n"/>
    </row>
    <row r="834">
      <c r="F834" s="218" t="n"/>
    </row>
    <row r="835">
      <c r="F835" s="218" t="n"/>
    </row>
    <row r="836">
      <c r="F836" s="218" t="n"/>
    </row>
    <row r="837">
      <c r="F837" s="218" t="n"/>
    </row>
    <row r="838">
      <c r="F838" s="218" t="n"/>
    </row>
    <row r="839">
      <c r="F839" s="218" t="n"/>
    </row>
    <row r="840">
      <c r="F840" s="218" t="n"/>
    </row>
    <row r="841">
      <c r="F841" s="218" t="n"/>
    </row>
    <row r="842">
      <c r="F842" s="218" t="n"/>
    </row>
    <row r="843">
      <c r="F843" s="218" t="n"/>
    </row>
    <row r="844">
      <c r="F844" s="218" t="n"/>
    </row>
    <row r="845">
      <c r="F845" s="218" t="n"/>
    </row>
    <row r="846">
      <c r="F846" s="218" t="n"/>
    </row>
    <row r="847">
      <c r="F847" s="218" t="n"/>
    </row>
    <row r="848">
      <c r="F848" s="218" t="n"/>
    </row>
    <row r="849">
      <c r="F849" s="218" t="n"/>
    </row>
    <row r="850">
      <c r="F850" s="218" t="n"/>
    </row>
    <row r="851">
      <c r="F851" s="218" t="n"/>
    </row>
    <row r="852">
      <c r="F852" s="218" t="n"/>
    </row>
    <row r="853">
      <c r="F853" s="218" t="n"/>
    </row>
    <row r="854">
      <c r="F854" s="218" t="n"/>
    </row>
    <row r="855">
      <c r="F855" s="218" t="n"/>
    </row>
    <row r="856">
      <c r="F856" s="218" t="n"/>
    </row>
    <row r="857">
      <c r="F857" s="218" t="n"/>
    </row>
    <row r="858">
      <c r="F858" s="218" t="n"/>
    </row>
    <row r="859">
      <c r="F859" s="218" t="n"/>
    </row>
    <row r="860">
      <c r="F860" s="218" t="n"/>
    </row>
    <row r="861">
      <c r="F861" s="218" t="n"/>
    </row>
    <row r="862">
      <c r="F862" s="218" t="n"/>
    </row>
    <row r="863">
      <c r="F863" s="218" t="n"/>
    </row>
    <row r="864">
      <c r="F864" s="218" t="n"/>
    </row>
    <row r="865">
      <c r="F865" s="218" t="n"/>
    </row>
    <row r="866">
      <c r="F866" s="218" t="n"/>
    </row>
    <row r="867">
      <c r="F867" s="218" t="n"/>
    </row>
    <row r="868">
      <c r="F868" s="218" t="n"/>
    </row>
    <row r="869">
      <c r="F869" s="218" t="n"/>
    </row>
    <row r="870">
      <c r="F870" s="218" t="n"/>
    </row>
    <row r="871">
      <c r="F871" s="218" t="n"/>
    </row>
    <row r="872">
      <c r="F872" s="218" t="n"/>
    </row>
    <row r="873">
      <c r="F873" s="218" t="n"/>
    </row>
    <row r="874">
      <c r="F874" s="218" t="n"/>
    </row>
    <row r="875">
      <c r="F875" s="218" t="n"/>
    </row>
    <row r="876">
      <c r="F876" s="218" t="n"/>
    </row>
    <row r="877">
      <c r="F877" s="218" t="n"/>
    </row>
    <row r="878">
      <c r="F878" s="218" t="n"/>
    </row>
    <row r="879">
      <c r="F879" s="218" t="n"/>
    </row>
    <row r="880">
      <c r="F880" s="218" t="n"/>
    </row>
    <row r="881">
      <c r="F881" s="218" t="n"/>
    </row>
    <row r="882">
      <c r="F882" s="218" t="n"/>
    </row>
    <row r="883">
      <c r="F883" s="218" t="n"/>
    </row>
    <row r="884">
      <c r="F884" s="218" t="n"/>
    </row>
    <row r="885">
      <c r="F885" s="218" t="n"/>
    </row>
    <row r="886">
      <c r="F886" s="218" t="n"/>
    </row>
    <row r="887">
      <c r="F887" s="218" t="n"/>
    </row>
    <row r="888">
      <c r="F888" s="218" t="n"/>
    </row>
    <row r="889">
      <c r="F889" s="218" t="n"/>
    </row>
    <row r="890">
      <c r="F890" s="218" t="n"/>
    </row>
    <row r="891">
      <c r="F891" s="218" t="n"/>
    </row>
    <row r="892">
      <c r="F892" s="218" t="n"/>
    </row>
    <row r="893">
      <c r="F893" s="218" t="n"/>
    </row>
    <row r="894">
      <c r="F894" s="218" t="n"/>
    </row>
    <row r="895">
      <c r="F895" s="218" t="n"/>
    </row>
    <row r="896">
      <c r="F896" s="218" t="n"/>
    </row>
    <row r="897">
      <c r="F897" s="218" t="n"/>
    </row>
    <row r="898">
      <c r="F898" s="218" t="n"/>
    </row>
    <row r="899">
      <c r="F899" s="218" t="n"/>
    </row>
    <row r="900">
      <c r="F900" s="218" t="n"/>
    </row>
    <row r="901">
      <c r="F901" s="218" t="n"/>
    </row>
    <row r="902">
      <c r="F902" s="218" t="n"/>
    </row>
    <row r="903">
      <c r="F903" s="218" t="n"/>
    </row>
    <row r="904">
      <c r="F904" s="218" t="n"/>
    </row>
    <row r="905">
      <c r="F905" s="218" t="n"/>
    </row>
    <row r="906">
      <c r="F906" s="218" t="n"/>
    </row>
    <row r="907">
      <c r="F907" s="218" t="n"/>
    </row>
    <row r="908">
      <c r="F908" s="218" t="n"/>
    </row>
    <row r="909">
      <c r="F909" s="218" t="n"/>
    </row>
    <row r="910">
      <c r="F910" s="218" t="n"/>
    </row>
    <row r="911">
      <c r="F911" s="218" t="n"/>
    </row>
    <row r="912">
      <c r="F912" s="218" t="n"/>
    </row>
    <row r="913">
      <c r="F913" s="218" t="n"/>
    </row>
    <row r="914">
      <c r="F914" s="218" t="n"/>
    </row>
    <row r="915">
      <c r="F915" s="218" t="n"/>
    </row>
    <row r="916">
      <c r="F916" s="218" t="n"/>
    </row>
    <row r="917">
      <c r="F917" s="218" t="n"/>
    </row>
    <row r="918">
      <c r="F918" s="218" t="n"/>
    </row>
    <row r="919">
      <c r="F919" s="218" t="n"/>
    </row>
    <row r="920">
      <c r="F920" s="218" t="n"/>
    </row>
    <row r="921">
      <c r="F921" s="218" t="n"/>
    </row>
    <row r="922">
      <c r="F922" s="218" t="n"/>
    </row>
    <row r="923">
      <c r="F923" s="218" t="n"/>
    </row>
    <row r="924">
      <c r="F924" s="218" t="n"/>
    </row>
    <row r="925">
      <c r="F925" s="218" t="n"/>
    </row>
    <row r="926">
      <c r="F926" s="218" t="n"/>
    </row>
    <row r="927">
      <c r="F927" s="218" t="n"/>
    </row>
    <row r="928">
      <c r="F928" s="218" t="n"/>
    </row>
    <row r="929">
      <c r="F929" s="218" t="n"/>
    </row>
    <row r="930">
      <c r="F930" s="218" t="n"/>
    </row>
    <row r="931">
      <c r="F931" s="218" t="n"/>
    </row>
    <row r="932">
      <c r="F932" s="218" t="n"/>
    </row>
    <row r="933">
      <c r="F933" s="218" t="n"/>
    </row>
    <row r="934">
      <c r="F934" s="218" t="n"/>
    </row>
    <row r="935">
      <c r="F935" s="218" t="n"/>
    </row>
    <row r="936">
      <c r="F936" s="218" t="n"/>
    </row>
    <row r="937">
      <c r="F937" s="218" t="n"/>
    </row>
    <row r="938">
      <c r="F938" s="218" t="n"/>
    </row>
    <row r="939">
      <c r="F939" s="218" t="n"/>
    </row>
    <row r="940">
      <c r="F940" s="218" t="n"/>
    </row>
    <row r="941">
      <c r="F941" s="218" t="n"/>
    </row>
    <row r="942">
      <c r="F942" s="218" t="n"/>
    </row>
    <row r="943">
      <c r="F943" s="218" t="n"/>
    </row>
    <row r="944">
      <c r="F944" s="218" t="n"/>
    </row>
    <row r="945">
      <c r="F945" s="218" t="n"/>
    </row>
    <row r="946">
      <c r="F946" s="218" t="n"/>
    </row>
    <row r="947">
      <c r="F947" s="218" t="n"/>
    </row>
    <row r="948">
      <c r="F948" s="218" t="n"/>
    </row>
    <row r="949">
      <c r="F949" s="218" t="n"/>
    </row>
    <row r="950">
      <c r="F950" s="218" t="n"/>
    </row>
    <row r="951">
      <c r="F951" s="218" t="n"/>
    </row>
    <row r="952">
      <c r="F952" s="218" t="n"/>
    </row>
    <row r="953">
      <c r="F953" s="218" t="n"/>
    </row>
    <row r="954">
      <c r="F954" s="218" t="n"/>
    </row>
    <row r="955">
      <c r="F955" s="218" t="n"/>
    </row>
    <row r="956">
      <c r="F956" s="218" t="n"/>
    </row>
    <row r="957">
      <c r="F957" s="218" t="n"/>
    </row>
    <row r="958">
      <c r="F958" s="218" t="n"/>
    </row>
    <row r="959">
      <c r="F959" s="218" t="n"/>
    </row>
    <row r="960">
      <c r="F960" s="218" t="n"/>
    </row>
    <row r="961">
      <c r="F961" s="218" t="n"/>
    </row>
    <row r="962">
      <c r="F962" s="218" t="n"/>
    </row>
    <row r="963">
      <c r="F963" s="218" t="n"/>
    </row>
    <row r="964">
      <c r="F964" s="218" t="n"/>
    </row>
    <row r="965">
      <c r="F965" s="218" t="n"/>
    </row>
    <row r="966">
      <c r="F966" s="218" t="n"/>
    </row>
    <row r="967">
      <c r="F967" s="218" t="n"/>
    </row>
    <row r="968">
      <c r="F968" s="218" t="n"/>
    </row>
    <row r="969">
      <c r="F969" s="218" t="n"/>
    </row>
    <row r="970">
      <c r="F970" s="218" t="n"/>
    </row>
    <row r="971">
      <c r="F971" s="218" t="n"/>
    </row>
    <row r="972">
      <c r="F972" s="218" t="n"/>
    </row>
    <row r="973">
      <c r="F973" s="218" t="n"/>
    </row>
    <row r="974">
      <c r="F974" s="218" t="n"/>
    </row>
    <row r="975">
      <c r="F975" s="218" t="n"/>
    </row>
    <row r="976">
      <c r="F976" s="218" t="n"/>
    </row>
    <row r="977">
      <c r="F977" s="218" t="n"/>
    </row>
    <row r="978">
      <c r="F978" s="218" t="n"/>
    </row>
    <row r="979">
      <c r="F979" s="218" t="n"/>
    </row>
    <row r="980">
      <c r="F980" s="218" t="n"/>
    </row>
    <row r="981">
      <c r="F981" s="218" t="n"/>
    </row>
    <row r="982">
      <c r="F982" s="218" t="n"/>
    </row>
    <row r="983">
      <c r="F983" s="218" t="n"/>
    </row>
    <row r="984">
      <c r="F984" s="218" t="n"/>
    </row>
    <row r="985">
      <c r="F985" s="218" t="n"/>
    </row>
    <row r="986">
      <c r="F986" s="218" t="n"/>
    </row>
    <row r="987">
      <c r="F987" s="218" t="n"/>
    </row>
    <row r="988">
      <c r="F988" s="218" t="n"/>
    </row>
    <row r="989">
      <c r="F989" s="218" t="n"/>
    </row>
    <row r="990">
      <c r="F990" s="218" t="n"/>
    </row>
    <row r="991">
      <c r="F991" s="218" t="n"/>
    </row>
    <row r="992">
      <c r="F992" s="218" t="n"/>
    </row>
    <row r="993">
      <c r="F993" s="218" t="n"/>
    </row>
    <row r="994">
      <c r="F994" s="218" t="n"/>
    </row>
    <row r="995">
      <c r="F995" s="218" t="n"/>
    </row>
    <row r="996">
      <c r="F996" s="218" t="n"/>
    </row>
    <row r="997">
      <c r="F997" s="218" t="n"/>
    </row>
    <row r="998">
      <c r="F998" s="218" t="n"/>
    </row>
    <row r="999">
      <c r="F999" s="218" t="n"/>
    </row>
    <row r="1000">
      <c r="F1000" s="218" t="n"/>
    </row>
  </sheetData>
  <dataValidations count="1">
    <dataValidation sqref="F2:F1000" showDropDown="0" showInputMessage="0" showErrorMessage="0" allowBlank="1" type="list">
      <formula1>"qualification,negotiation,meeting_confirm,cold_inbound,lost"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FFF2841E"/>
    <outlinePr summaryBelow="0" summaryRight="0"/>
    <pageSetUpPr/>
  </sheetPr>
  <dimension ref="A1:I24"/>
  <sheetViews>
    <sheetView workbookViewId="0">
      <selection activeCell="A1" sqref="A1"/>
    </sheetView>
  </sheetViews>
  <sheetFormatPr baseColWidth="8" defaultColWidth="12.63" defaultRowHeight="15.75" customHeight="1"/>
  <cols>
    <col width="84.63" customWidth="1" style="461" min="1" max="1"/>
    <col width="18.13" customWidth="1" style="461" min="2" max="2"/>
    <col width="12.38" customWidth="1" style="461" min="3" max="3"/>
    <col width="19.13" customWidth="1" style="461" min="4" max="4"/>
    <col width="19.25" customWidth="1" style="461" min="5" max="5"/>
    <col width="18.5" customWidth="1" style="461" min="6" max="6"/>
    <col width="14" customWidth="1" style="461" min="7" max="7"/>
    <col width="20.63" customWidth="1" style="461" min="8" max="8"/>
    <col width="32.63" customWidth="1" style="461" min="9" max="9"/>
  </cols>
  <sheetData>
    <row r="1" ht="36" customHeight="1" s="461">
      <c r="A1" s="230" t="inlineStr">
        <is>
          <t>🌐 МУЛЬТИКАНАЛЬНАЯ АТРИБУЦИЯ ВЫРУЧКИ: W-SHAPED REVENUE ENGINE (V17.6)</t>
        </is>
      </c>
    </row>
    <row r="2" ht="24" customHeight="1" s="461">
      <c r="A2" s="496">
        <f>HYPERLINK("#'📄 Executive_OnePager'!A1", "📄 1. One-Pager")</f>
        <v/>
      </c>
      <c r="B2" s="496">
        <f>HYPERLINK("#'⚡ Пульс_Компании'!A1", "⚡ 2. Пульс компании")</f>
        <v/>
      </c>
      <c r="C2" s="496">
        <f>HYPERLINK("#'📋 Пульт_РОПа_15_Минут'!A1", "📋 3. Пульт РОПа")</f>
        <v/>
      </c>
      <c r="D2" s="496">
        <f>HYPERLINK("#'💸 Диагностика_Утечек_ОП'!A1", "💸 4. 7 Грехов ОП")</f>
        <v/>
      </c>
      <c r="E2" s="496">
        <f>HYPERLINK("#'🎯 Action_Center'!A1", "🎯 5. Action Center")</f>
        <v/>
      </c>
      <c r="F2" s="496">
        <f>HYPERLINK("#'🎙️ ИИ_Аудит'!A1", "🎙️ 6. ИИ-Аудит")</f>
        <v/>
      </c>
      <c r="G2" s="496">
        <f>HYPERLINK("#'⚡ Экспресс_Калькулятор_3_Цифры'!A1", "⚡ 7. Экспресс 3 цифры")</f>
        <v/>
      </c>
      <c r="H2" s="496">
        <f>HYPERLINK("#'🧪 QA_Suite'!A1", "🧪 8. QA Suite")</f>
        <v/>
      </c>
      <c r="I2" s="496">
        <f>HYPERLINK("#'⚙️ Настройки'!A1", "⚙️ 9. Настройки")</f>
        <v/>
      </c>
    </row>
    <row r="3" ht="12" customHeight="1" s="461">
      <c r="A3" s="231" t="inlineStr">
        <is>
          <t>Выручка Closed-Won</t>
        </is>
      </c>
      <c r="B3" s="231" t="inlineStr">
        <is>
          <t>Маркетинговый бюджет</t>
        </is>
      </c>
      <c r="C3" s="231" t="inlineStr">
        <is>
          <t>W-Shaped ROMI</t>
        </is>
      </c>
      <c r="D3" s="231" t="inlineStr">
        <is>
          <t>Первое касание (Opener)</t>
        </is>
      </c>
      <c r="E3" s="231" t="inlineStr">
        <is>
          <t>Закрывающее (Closer)</t>
        </is>
      </c>
      <c r="F3" s="231" t="inlineStr">
        <is>
          <t>Взвешенный пайплайн W</t>
        </is>
      </c>
    </row>
    <row r="4" ht="22.5" customHeight="1" s="461">
      <c r="A4" s="278">
        <f>calc_engine!E137</f>
        <v/>
      </c>
      <c r="B4" s="278">
        <f>calc_engine!B137</f>
        <v/>
      </c>
      <c r="C4" s="233">
        <f>calc_engine!G137</f>
        <v/>
      </c>
      <c r="D4" s="267" t="inlineStr">
        <is>
          <t>Контур.Фокус / SEO</t>
        </is>
      </c>
      <c r="E4" s="267" t="inlineStr">
        <is>
          <t>Google Ads / Контур</t>
        </is>
      </c>
      <c r="F4" s="278">
        <f>SUM(raw_touchpoints!$L$2:$L50000)</f>
        <v/>
      </c>
    </row>
    <row r="5" ht="22.5" customHeight="1" s="461"/>
    <row r="6" ht="12" customHeight="1" s="461">
      <c r="A6" s="235" t="inlineStr">
        <is>
          <t>⚖️ 1. КАЛИБРОВКА МОДЕЛЕЙ АТРИБУЦИИ: FIRST-TOUCH vs LAST-TOUCH vs W-SHAPED</t>
        </is>
      </c>
    </row>
    <row r="7" ht="25.5" customHeight="1" s="461">
      <c r="A7" s="236" t="inlineStr">
        <is>
          <t>Канал привлечения</t>
        </is>
      </c>
      <c r="B7" s="236" t="inlineStr">
        <is>
          <t>Расход, ₽</t>
        </is>
      </c>
      <c r="C7" s="236" t="inlineStr">
        <is>
          <t>Last-Touch (V10)</t>
        </is>
      </c>
      <c r="D7" s="236" t="inlineStr">
        <is>
          <t>W-Shaped (V11)</t>
        </is>
      </c>
      <c r="E7" s="236" t="inlineStr">
        <is>
          <t>LT ROMI</t>
        </is>
      </c>
      <c r="F7" s="236" t="inlineStr">
        <is>
          <t>W-Shaped ROMI</t>
        </is>
      </c>
      <c r="G7" s="236" t="inlineStr">
        <is>
          <t>Дельта выручки, ₽</t>
        </is>
      </c>
      <c r="H7" s="236" t="inlineStr">
        <is>
          <t>Эффект перераспределения</t>
        </is>
      </c>
      <c r="I7" s="236" t="inlineStr">
        <is>
          <t>Решение RevOps</t>
        </is>
      </c>
    </row>
    <row r="8" ht="27" customHeight="1" s="461">
      <c r="A8" s="218">
        <f>calc_engine!A132</f>
        <v/>
      </c>
      <c r="B8" s="346">
        <f>calc_engine!B132</f>
        <v/>
      </c>
      <c r="C8" s="346">
        <f>calc_engine!D132</f>
        <v/>
      </c>
      <c r="D8" s="346">
        <f>calc_engine!E132</f>
        <v/>
      </c>
      <c r="E8" s="237">
        <f>calc_engine!G132</f>
        <v/>
      </c>
      <c r="F8" s="237">
        <f>calc_engine!H132</f>
        <v/>
      </c>
      <c r="G8" s="238">
        <f>D8-C8</f>
        <v/>
      </c>
      <c r="H8" s="218">
        <f>IF(G8&gt;0, "🟢 НЕДООЦЕНЕН (+ " &amp; TEXT(G8, "#,##0 ₽") &amp; ")", IF(G8&lt;0, "🔴 ПЕРЕОЦЕНЕН В V10 (" &amp; TEXT(G8, "#,##0 ₽") &amp; ")", "⚪ БЕЗ ИЗМЕНЕНИЙ"))</f>
        <v/>
      </c>
      <c r="I8" s="218">
        <f>calc_engine!I132</f>
        <v/>
      </c>
    </row>
    <row r="9" ht="24" customHeight="1" s="461">
      <c r="A9" s="218">
        <f>calc_engine!A133</f>
        <v/>
      </c>
      <c r="B9" s="346">
        <f>calc_engine!B133</f>
        <v/>
      </c>
      <c r="C9" s="346">
        <f>calc_engine!D133</f>
        <v/>
      </c>
      <c r="D9" s="346">
        <f>calc_engine!E133</f>
        <v/>
      </c>
      <c r="E9" s="237">
        <f>calc_engine!G133</f>
        <v/>
      </c>
      <c r="F9" s="237">
        <f>calc_engine!H133</f>
        <v/>
      </c>
      <c r="G9" s="238">
        <f>D9-C9</f>
        <v/>
      </c>
      <c r="H9" s="218">
        <f>IF(G9&gt;0, "🟢 НЕДООЦЕНЕН (+ " &amp; TEXT(G9, "#,##0 ₽") &amp; ")", IF(G9&lt;0, "🔴 ПЕРЕОЦЕНЕН В V10 (" &amp; TEXT(G9, "#,##0 ₽") &amp; ")", "⚪ БЕЗ ИЗМЕНЕНИЙ"))</f>
        <v/>
      </c>
      <c r="I9" s="218">
        <f>calc_engine!I133</f>
        <v/>
      </c>
    </row>
    <row r="10" ht="24" customHeight="1" s="461">
      <c r="A10" s="218">
        <f>calc_engine!A134</f>
        <v/>
      </c>
      <c r="B10" s="346">
        <f>calc_engine!B134</f>
        <v/>
      </c>
      <c r="C10" s="346">
        <f>calc_engine!D134</f>
        <v/>
      </c>
      <c r="D10" s="346">
        <f>calc_engine!E134</f>
        <v/>
      </c>
      <c r="E10" s="237">
        <f>calc_engine!G134</f>
        <v/>
      </c>
      <c r="F10" s="237">
        <f>calc_engine!H134</f>
        <v/>
      </c>
      <c r="G10" s="238">
        <f>D10-C10</f>
        <v/>
      </c>
      <c r="H10" s="218">
        <f>IF(G10&gt;0, "🟢 НЕДООЦЕНЕН (+ " &amp; TEXT(G10, "#,##0 ₽") &amp; ")", IF(G10&lt;0, "🔴 ПЕРЕОЦЕНЕН В V10 (" &amp; TEXT(G10, "#,##0 ₽") &amp; ")", "⚪ БЕЗ ИЗМЕНЕНИЙ"))</f>
        <v/>
      </c>
      <c r="I10" s="218">
        <f>calc_engine!I134</f>
        <v/>
      </c>
    </row>
    <row r="11" ht="24" customHeight="1" s="461">
      <c r="A11" s="218">
        <f>calc_engine!A135</f>
        <v/>
      </c>
      <c r="B11" s="346">
        <f>calc_engine!B135</f>
        <v/>
      </c>
      <c r="C11" s="346">
        <f>calc_engine!D135</f>
        <v/>
      </c>
      <c r="D11" s="346">
        <f>calc_engine!E135</f>
        <v/>
      </c>
      <c r="E11" s="237">
        <f>calc_engine!G135</f>
        <v/>
      </c>
      <c r="F11" s="237">
        <f>calc_engine!H135</f>
        <v/>
      </c>
      <c r="G11" s="238">
        <f>D11-C11</f>
        <v/>
      </c>
      <c r="H11" s="218">
        <f>IF(G11&gt;0, "🟢 НЕДООЦЕНЕН (+ " &amp; TEXT(G11, "#,##0 ₽") &amp; ")", IF(G11&lt;0, "🔴 ПЕРЕОЦЕНЕН В V10 (" &amp; TEXT(G11, "#,##0 ₽") &amp; ")", "⚪ БЕЗ ИЗМЕНЕНИЙ"))</f>
        <v/>
      </c>
      <c r="I11" s="218">
        <f>calc_engine!I135</f>
        <v/>
      </c>
    </row>
    <row r="12" ht="24" customHeight="1" s="461">
      <c r="A12" s="218">
        <f>calc_engine!A136</f>
        <v/>
      </c>
      <c r="B12" s="346">
        <f>calc_engine!B136</f>
        <v/>
      </c>
      <c r="C12" s="346">
        <f>calc_engine!D136</f>
        <v/>
      </c>
      <c r="D12" s="346">
        <f>calc_engine!E136</f>
        <v/>
      </c>
      <c r="E12" s="237">
        <f>calc_engine!G136</f>
        <v/>
      </c>
      <c r="F12" s="237">
        <f>calc_engine!H136</f>
        <v/>
      </c>
      <c r="G12" s="238">
        <f>D12-C12</f>
        <v/>
      </c>
      <c r="H12" s="218">
        <f>IF(G12&gt;0, "🟢 НЕДООЦЕНЕН (+ " &amp; TEXT(G12, "#,##0 ₽") &amp; ")", IF(G12&lt;0, "🔴 ПЕРЕОЦЕНЕН В V10 (" &amp; TEXT(G12, "#,##0 ₽") &amp; ")", "⚪ БЕЗ ИЗМЕНЕНИЙ"))</f>
        <v/>
      </c>
      <c r="I12" s="218">
        <f>calc_engine!I136</f>
        <v/>
      </c>
    </row>
    <row r="13" ht="24" customHeight="1" s="461">
      <c r="A13" s="239" t="inlineStr">
        <is>
          <t>ИТОГО / БАЛАНС:</t>
        </is>
      </c>
      <c r="B13" s="240">
        <f>SUM(B8:B12)</f>
        <v/>
      </c>
      <c r="C13" s="240">
        <f>SUM(C8:C12)</f>
        <v/>
      </c>
      <c r="D13" s="240">
        <f>SUM(D8:D12)</f>
        <v/>
      </c>
      <c r="E13" s="241">
        <f>calc_engine!F137</f>
        <v/>
      </c>
      <c r="F13" s="241">
        <f>calc_engine!G137</f>
        <v/>
      </c>
      <c r="G13" s="240">
        <f>SUM(G8:G12)</f>
        <v/>
      </c>
      <c r="H13" s="242" t="inlineStr">
        <is>
          <t>✅ 100% Баланс SSOT</t>
        </is>
      </c>
      <c r="I13" s="243" t="inlineStr">
        <is>
          <t>Полное сохранение выручки</t>
        </is>
      </c>
    </row>
    <row r="14"/>
    <row r="15" ht="19.5" customHeight="1" s="461">
      <c r="A15" s="244" t="inlineStr">
        <is>
          <t>🔄 2. РЕЕСТР СКВОЗНЫХ КАСАНИЙ КЛИЕНТОВ (CUSTOMER JOURNEY MULTI-TOUCH FEED)</t>
        </is>
      </c>
    </row>
    <row r="16" ht="18" customHeight="1" s="461">
      <c r="A16" s="245" t="inlineStr">
        <is>
          <t>ID касания</t>
        </is>
      </c>
      <c r="B16" s="245" t="inlineStr">
        <is>
          <t>ID сделки</t>
        </is>
      </c>
      <c r="C16" s="245" t="inlineStr">
        <is>
          <t>Client ID</t>
        </is>
      </c>
      <c r="D16" s="245" t="inlineStr">
        <is>
          <t>Дата касания</t>
        </is>
      </c>
      <c r="E16" s="245" t="inlineStr">
        <is>
          <t>Канал касания</t>
        </is>
      </c>
      <c r="F16" s="245" t="inlineStr">
        <is>
          <t>Этап в цепочке</t>
        </is>
      </c>
      <c r="G16" s="245" t="inlineStr">
        <is>
          <t>Вес W-Shaped</t>
        </is>
      </c>
      <c r="H16" s="245" t="inlineStr">
        <is>
          <t>Атрибутированная выручка</t>
        </is>
      </c>
    </row>
    <row r="17">
      <c r="A17" s="218">
        <f>raw_touchpoints!A2</f>
        <v/>
      </c>
      <c r="B17" s="218">
        <f>raw_touchpoints!B2</f>
        <v/>
      </c>
      <c r="C17" s="218">
        <f>raw_touchpoints!C2</f>
        <v/>
      </c>
      <c r="D17" s="246">
        <f>raw_touchpoints!D2</f>
        <v/>
      </c>
      <c r="E17" s="218">
        <f>raw_touchpoints!E2</f>
        <v/>
      </c>
      <c r="F17" s="218">
        <f>raw_touchpoints!G2</f>
        <v/>
      </c>
      <c r="G17" s="439">
        <f>raw_touchpoints!H2</f>
        <v/>
      </c>
      <c r="H17" s="346">
        <f>raw_touchpoints!K2</f>
        <v/>
      </c>
    </row>
    <row r="18">
      <c r="A18" s="218">
        <f>raw_touchpoints!A3</f>
        <v/>
      </c>
      <c r="B18" s="218">
        <f>raw_touchpoints!B3</f>
        <v/>
      </c>
      <c r="C18" s="218">
        <f>raw_touchpoints!C3</f>
        <v/>
      </c>
      <c r="D18" s="246">
        <f>raw_touchpoints!D3</f>
        <v/>
      </c>
      <c r="E18" s="218">
        <f>raw_touchpoints!E3</f>
        <v/>
      </c>
      <c r="F18" s="218">
        <f>raw_touchpoints!G3</f>
        <v/>
      </c>
      <c r="G18" s="439">
        <f>raw_touchpoints!H3</f>
        <v/>
      </c>
      <c r="H18" s="346">
        <f>raw_touchpoints!K3</f>
        <v/>
      </c>
    </row>
    <row r="19">
      <c r="A19" s="218">
        <f>raw_touchpoints!A4</f>
        <v/>
      </c>
      <c r="B19" s="218">
        <f>raw_touchpoints!B4</f>
        <v/>
      </c>
      <c r="C19" s="218">
        <f>raw_touchpoints!C4</f>
        <v/>
      </c>
      <c r="D19" s="246">
        <f>raw_touchpoints!D4</f>
        <v/>
      </c>
      <c r="E19" s="218">
        <f>raw_touchpoints!E4</f>
        <v/>
      </c>
      <c r="F19" s="218">
        <f>raw_touchpoints!G4</f>
        <v/>
      </c>
      <c r="G19" s="439">
        <f>raw_touchpoints!H4</f>
        <v/>
      </c>
      <c r="H19" s="346">
        <f>raw_touchpoints!K4</f>
        <v/>
      </c>
    </row>
    <row r="20">
      <c r="A20" s="218">
        <f>raw_touchpoints!A5</f>
        <v/>
      </c>
      <c r="B20" s="218">
        <f>raw_touchpoints!B5</f>
        <v/>
      </c>
      <c r="C20" s="218">
        <f>raw_touchpoints!C5</f>
        <v/>
      </c>
      <c r="D20" s="246">
        <f>raw_touchpoints!D5</f>
        <v/>
      </c>
      <c r="E20" s="218">
        <f>raw_touchpoints!E5</f>
        <v/>
      </c>
      <c r="F20" s="218">
        <f>raw_touchpoints!G5</f>
        <v/>
      </c>
      <c r="G20" s="439">
        <f>raw_touchpoints!H5</f>
        <v/>
      </c>
      <c r="H20" s="346">
        <f>raw_touchpoints!K5</f>
        <v/>
      </c>
    </row>
    <row r="21">
      <c r="A21" s="218">
        <f>raw_touchpoints!A6</f>
        <v/>
      </c>
      <c r="B21" s="218">
        <f>raw_touchpoints!B6</f>
        <v/>
      </c>
      <c r="C21" s="218">
        <f>raw_touchpoints!C6</f>
        <v/>
      </c>
      <c r="D21" s="246">
        <f>raw_touchpoints!D6</f>
        <v/>
      </c>
      <c r="E21" s="218">
        <f>raw_touchpoints!E6</f>
        <v/>
      </c>
      <c r="F21" s="218">
        <f>raw_touchpoints!G6</f>
        <v/>
      </c>
      <c r="G21" s="439">
        <f>raw_touchpoints!H6</f>
        <v/>
      </c>
      <c r="H21" s="346">
        <f>raw_touchpoints!K6</f>
        <v/>
      </c>
    </row>
    <row r="22">
      <c r="A22" s="218">
        <f>raw_touchpoints!A7</f>
        <v/>
      </c>
      <c r="B22" s="218">
        <f>raw_touchpoints!B7</f>
        <v/>
      </c>
      <c r="C22" s="218">
        <f>raw_touchpoints!C7</f>
        <v/>
      </c>
      <c r="D22" s="246">
        <f>raw_touchpoints!D7</f>
        <v/>
      </c>
      <c r="E22" s="218">
        <f>raw_touchpoints!E7</f>
        <v/>
      </c>
      <c r="F22" s="218">
        <f>raw_touchpoints!G7</f>
        <v/>
      </c>
      <c r="G22" s="439">
        <f>raw_touchpoints!H7</f>
        <v/>
      </c>
      <c r="H22" s="346">
        <f>raw_touchpoints!K7</f>
        <v/>
      </c>
    </row>
    <row r="23">
      <c r="A23" s="218">
        <f>raw_touchpoints!A8</f>
        <v/>
      </c>
      <c r="B23" s="218">
        <f>raw_touchpoints!B8</f>
        <v/>
      </c>
      <c r="C23" s="218">
        <f>raw_touchpoints!C8</f>
        <v/>
      </c>
      <c r="D23" s="246">
        <f>raw_touchpoints!D8</f>
        <v/>
      </c>
      <c r="E23" s="218">
        <f>raw_touchpoints!E8</f>
        <v/>
      </c>
      <c r="F23" s="218">
        <f>raw_touchpoints!G8</f>
        <v/>
      </c>
      <c r="G23" s="439">
        <f>raw_touchpoints!H8</f>
        <v/>
      </c>
      <c r="H23" s="346">
        <f>raw_touchpoints!K8</f>
        <v/>
      </c>
    </row>
    <row r="24">
      <c r="A24" s="218">
        <f>raw_touchpoints!A9</f>
        <v/>
      </c>
      <c r="B24" s="218">
        <f>raw_touchpoints!B9</f>
        <v/>
      </c>
      <c r="C24" s="218">
        <f>raw_touchpoints!C9</f>
        <v/>
      </c>
      <c r="D24" s="246">
        <f>raw_touchpoints!D9</f>
        <v/>
      </c>
      <c r="E24" s="218">
        <f>raw_touchpoints!E9</f>
        <v/>
      </c>
      <c r="F24" s="218">
        <f>raw_touchpoints!G9</f>
        <v/>
      </c>
      <c r="G24" s="439">
        <f>raw_touchpoints!H9</f>
        <v/>
      </c>
      <c r="H24" s="346">
        <f>raw_touchpoints!K9</f>
        <v/>
      </c>
    </row>
  </sheetData>
  <mergeCells count="3">
    <mergeCell ref="A1:I1"/>
    <mergeCell ref="A6:I6"/>
    <mergeCell ref="A15:H1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FF148747"/>
    <outlinePr summaryBelow="0" summaryRight="0"/>
    <pageSetUpPr/>
  </sheetPr>
  <dimension ref="A1:I129"/>
  <sheetViews>
    <sheetView workbookViewId="0">
      <selection activeCell="A1" sqref="A1"/>
    </sheetView>
  </sheetViews>
  <sheetFormatPr baseColWidth="8" defaultColWidth="12.63" defaultRowHeight="15.75" customHeight="1"/>
  <cols>
    <col width="58.25" customWidth="1" style="461" min="1" max="1"/>
    <col width="20" customWidth="1" style="461" min="2" max="2"/>
    <col width="59.13" customWidth="1" style="461" min="3" max="3"/>
    <col width="16.25" customWidth="1" style="461" min="4" max="4"/>
    <col width="15.5" customWidth="1" style="461" min="5" max="5"/>
    <col width="34.13" customWidth="1" style="461" min="6" max="6"/>
    <col width="18.25" customWidth="1" style="461" min="7" max="7"/>
    <col width="72.38" customWidth="1" style="461" min="8" max="8"/>
    <col width="61.38" customWidth="1" style="461" min="9" max="9"/>
  </cols>
  <sheetData>
    <row r="1" ht="42" customHeight="1" s="461">
      <c r="A1" s="8" t="inlineStr">
        <is>
          <t>118 РЕГРЕССИОННЫХ ТЕСТОВ (REVOPS ENTERPRISE V17.6)</t>
        </is>
      </c>
      <c r="B1" s="8" t="n"/>
      <c r="C1" s="8" t="n"/>
      <c r="D1" s="8" t="n"/>
      <c r="E1" s="8" t="n"/>
      <c r="F1" s="8" t="n"/>
      <c r="G1" s="8" t="n"/>
      <c r="H1" s="8" t="n"/>
    </row>
    <row r="2" ht="24" customHeight="1" s="461">
      <c r="A2" s="496">
        <f>HYPERLINK("#'📄 Executive_OnePager'!A1", "📄 1. One-Pager")</f>
        <v/>
      </c>
      <c r="B2" s="496">
        <f>HYPERLINK("#'⚡ Пульс_Компании'!A1", "⚡ 2. Пульс компании")</f>
        <v/>
      </c>
      <c r="C2" s="496">
        <f>HYPERLINK("#'📋 Пульт_РОПа_15_Минут'!A1", "📋 3. Пульт РОПа")</f>
        <v/>
      </c>
      <c r="D2" s="496">
        <f>HYPERLINK("#'💸 Диагностика_Утечек_ОП'!A1", "💸 4. 7 Грехов ОП")</f>
        <v/>
      </c>
      <c r="E2" s="496">
        <f>HYPERLINK("#'🎯 Action_Center'!A1", "🎯 5. Action Center")</f>
        <v/>
      </c>
      <c r="F2" s="496">
        <f>HYPERLINK("#'🎙️ ИИ_Аудит'!A1", "🎙️ 6. ИИ-Аудит")</f>
        <v/>
      </c>
      <c r="G2" s="496">
        <f>HYPERLINK("#'⚡ Экспресс_Калькулятор_3_Цифры'!A1", "⚡ 7. Экспресс 3 цифры")</f>
        <v/>
      </c>
      <c r="H2" s="496">
        <f>HYPERLINK("#'🧪 QA_Suite'!A1", "🧪 8. QA Suite")</f>
        <v/>
      </c>
      <c r="I2" s="496">
        <f>HYPERLINK("#'⚙️ Настройки'!A1", "⚙️ 9. Настройки")</f>
        <v/>
      </c>
    </row>
    <row r="3" ht="34.5" customHeight="1" s="461">
      <c r="A3" s="249" t="inlineStr">
        <is>
          <t>🟢 ENTERPRISE READY (100%)</t>
        </is>
      </c>
      <c r="B3" s="250" t="inlineStr">
        <is>
          <t>Всего тестов</t>
        </is>
      </c>
      <c r="C3" s="250" t="inlineStr">
        <is>
          <t>Пройдено (PASS)</t>
        </is>
      </c>
      <c r="D3" s="250" t="inlineStr">
        <is>
          <t>Сбоев (FAIL)</t>
        </is>
      </c>
      <c r="E3" s="250" t="inlineStr">
        <is>
          <t>Индекс надежности</t>
        </is>
      </c>
      <c r="F3" s="250" t="inlineStr">
        <is>
          <t>Вердикт надежности</t>
        </is>
      </c>
      <c r="G3" s="250" t="inlineStr">
        <is>
          <t>Дата валидации</t>
        </is>
      </c>
    </row>
    <row r="4" ht="39" customHeight="1" s="461">
      <c r="A4" s="218" t="inlineStr">
        <is>
          <t>Статус аудита</t>
        </is>
      </c>
      <c r="B4" s="252">
        <f>COUNTA(A7:A124)</f>
        <v/>
      </c>
      <c r="C4" s="252">
        <f>COUNTIF(G7:G124, "🟢 PASS")</f>
        <v/>
      </c>
      <c r="D4" s="252">
        <f>COUNTIF(G7:G124, "🔴 FAIL")</f>
        <v/>
      </c>
      <c r="E4" s="253">
        <f>C4/B4</f>
        <v/>
      </c>
      <c r="F4" s="255">
        <f>IF(C4=B4, "🟢 CENTURY ENTERPRISE READY (100%)", IF(D4&gt;0, "🔴 DEFECTS DETECTED", "🟡 IN PROGRESS"))</f>
        <v/>
      </c>
      <c r="G4" s="255" t="inlineStr">
        <is>
          <t>03.10.2026</t>
        </is>
      </c>
    </row>
    <row r="5"/>
    <row r="6" ht="24" customHeight="1" s="461">
      <c r="A6" s="256" t="inlineStr">
        <is>
          <t>ID</t>
        </is>
      </c>
      <c r="B6" s="256" t="inlineStr">
        <is>
          <t>Категория</t>
        </is>
      </c>
      <c r="C6" s="256" t="inlineStr">
        <is>
          <t>Проверяемый инвариант (Assert Description)</t>
        </is>
      </c>
      <c r="D6" s="256" t="inlineStr">
        <is>
          <t>Формула проверки</t>
        </is>
      </c>
      <c r="E6" s="256" t="inlineStr">
        <is>
          <t>Ожидание</t>
        </is>
      </c>
      <c r="F6" s="256" t="inlineStr">
        <is>
          <t>Факт</t>
        </is>
      </c>
      <c r="G6" s="256" t="inlineStr">
        <is>
          <t>Статус</t>
        </is>
      </c>
      <c r="H6" s="256" t="inlineStr">
        <is>
          <t>Диагностика для клиента (Vector D Explainability)</t>
        </is>
      </c>
      <c r="I6" s="257" t="inlineStr">
        <is>
          <t>Рекомендация по исправлению (Auto-Fix)</t>
        </is>
      </c>
    </row>
    <row r="7">
      <c r="A7" s="261" t="inlineStr">
        <is>
          <t>T-01</t>
        </is>
      </c>
      <c r="B7" s="265" t="inlineStr">
        <is>
          <t>Финансы</t>
        </is>
      </c>
      <c r="C7" s="265" t="inlineStr">
        <is>
          <t>Closed-Won выручка calc_engine!B19 == SUMIF по stage_id=6</t>
        </is>
      </c>
      <c r="D7" s="265">
        <f>SUMIFS(raw_invoices!$G$2:$G$50000, raw_invoices!$H$2:$H$50000, "paid")</f>
        <v/>
      </c>
      <c r="E7" s="265">
        <f>calc_engine!B19</f>
        <v/>
      </c>
      <c r="F7" s="265">
        <f>D7</f>
        <v/>
      </c>
      <c r="G7" s="261">
        <f>IF(E7=F7, "🟢 PASS", "🔴 FAIL")</f>
        <v/>
      </c>
      <c r="H7" s="265" t="inlineStr">
        <is>
          <t>Расхождение выручки между calc_engine и raw_deals. Проверьте stage_id закрытых сделок.</t>
        </is>
      </c>
      <c r="I7" s="262" t="inlineStr">
        <is>
          <t>-</t>
        </is>
      </c>
    </row>
    <row r="8">
      <c r="A8" s="261" t="inlineStr">
        <is>
          <t>T-02</t>
        </is>
      </c>
      <c r="B8" s="265" t="inlineStr">
        <is>
          <t>Финансы</t>
        </is>
      </c>
      <c r="C8" s="265" t="inlineStr">
        <is>
          <t>First-Touch Won Revenue сходится к B19</t>
        </is>
      </c>
      <c r="D8" s="265">
        <f>calc_engine!C137</f>
        <v/>
      </c>
      <c r="E8" s="265">
        <f>calc_engine!B19</f>
        <v/>
      </c>
      <c r="F8" s="265">
        <f>calc_engine!C137</f>
        <v/>
      </c>
      <c r="G8" s="261">
        <f>IF(ABS(E8-F8)&lt;1, "🟢 PASS", "🔴 FAIL")</f>
        <v/>
      </c>
      <c r="H8" s="265" t="inlineStr">
        <is>
          <t>Сумма First-Touch атрибуции не равна Closed-Won выручке. Проверьте веса FT.</t>
        </is>
      </c>
      <c r="I8" s="276" t="n"/>
    </row>
    <row r="9">
      <c r="A9" s="261" t="inlineStr">
        <is>
          <t>T-03</t>
        </is>
      </c>
      <c r="B9" s="265" t="inlineStr">
        <is>
          <t>Финансы</t>
        </is>
      </c>
      <c r="C9" s="265" t="inlineStr">
        <is>
          <t>Last-Touch Won Revenue сходится к B19</t>
        </is>
      </c>
      <c r="D9" s="265">
        <f>calc_engine!D137</f>
        <v/>
      </c>
      <c r="E9" s="265">
        <f>calc_engine!B19</f>
        <v/>
      </c>
      <c r="F9" s="265">
        <f>calc_engine!D137</f>
        <v/>
      </c>
      <c r="G9" s="261">
        <f>IF(ABS(E9-F9)&lt;1, "🟢 PASS", "🔴 FAIL")</f>
        <v/>
      </c>
      <c r="H9" s="265" t="inlineStr">
        <is>
          <t>Сумма Last-Touch атрибуции не равна Closed-Won выручке. Проверьте веса LT.</t>
        </is>
      </c>
      <c r="I9" s="276" t="n"/>
    </row>
    <row r="10">
      <c r="A10" s="261" t="inlineStr">
        <is>
          <t>T-04</t>
        </is>
      </c>
      <c r="B10" s="265" t="inlineStr">
        <is>
          <t>Финансы</t>
        </is>
      </c>
      <c r="C10" s="265" t="inlineStr">
        <is>
          <t>W-Shaped Won Revenue сходится к B19</t>
        </is>
      </c>
      <c r="D10" s="265">
        <f>calc_engine!E137</f>
        <v/>
      </c>
      <c r="E10" s="265">
        <f>calc_engine!B19</f>
        <v/>
      </c>
      <c r="F10" s="265">
        <f>calc_engine!E137</f>
        <v/>
      </c>
      <c r="G10" s="261">
        <f>IF(ABS(E10-F10)&lt;1, "🟢 PASS", "🔴 FAIL")</f>
        <v/>
      </c>
      <c r="H10" s="265" t="inlineStr">
        <is>
          <t>Сумма W-Shaped выигранной выручки расходится с B19. Проверьте веса в raw_touchpoints!K.</t>
        </is>
      </c>
      <c r="I10" s="276" t="n"/>
    </row>
    <row r="11">
      <c r="A11" s="261" t="inlineStr">
        <is>
          <t>T-05</t>
        </is>
      </c>
      <c r="B11" s="265" t="inlineStr">
        <is>
          <t>Финансы</t>
        </is>
      </c>
      <c r="C11" s="265" t="inlineStr">
        <is>
          <t>Суммарный маркетинг spend B137 сходится с фактом raw_marketing!E</t>
        </is>
      </c>
      <c r="D11" s="265">
        <f>calc_engine!B137</f>
        <v/>
      </c>
      <c r="E11" s="264">
        <f>SUM(raw_marketing!$E$2:$E50000)</f>
        <v/>
      </c>
      <c r="F11" s="265">
        <f>calc_engine!B137</f>
        <v/>
      </c>
      <c r="G11" s="261">
        <f>IF(E11=F11, "🟢 PASS", "🔴 FAIL")</f>
        <v/>
      </c>
      <c r="H11" s="265" t="inlineStr">
        <is>
          <t>Сумма рекламных бюджетов в calc_engine расходится с первичным реестром raw_marketing.</t>
        </is>
      </c>
      <c r="I11" s="276" t="n"/>
    </row>
    <row r="12">
      <c r="A12" s="261" t="inlineStr">
        <is>
          <t>T-06</t>
        </is>
      </c>
      <c r="B12" s="265" t="inlineStr">
        <is>
          <t>Финансы</t>
        </is>
      </c>
      <c r="C12" s="265" t="inlineStr">
        <is>
          <t>Активный пайплайн calc_engine!B17 == SUMIF(raw_deals!D, '&lt;=5', raw_deals!C)</t>
        </is>
      </c>
      <c r="D12" s="265">
        <f>SUMIF(raw_deals!$D$2:$D50000, "&lt;=5", raw_deals!$C$2:$C50000)</f>
        <v/>
      </c>
      <c r="E12" s="265">
        <f>calc_engine!B17</f>
        <v/>
      </c>
      <c r="F12" s="265">
        <f>SUMIF(raw_deals!$D$2:$D50000, "&lt;=5", raw_deals!$C$2:$C50000)</f>
        <v/>
      </c>
      <c r="G12" s="261">
        <f>IF(E12=F12, "🟢 PASS", "🔴 FAIL")</f>
        <v/>
      </c>
      <c r="H12" s="265" t="inlineStr">
        <is>
          <t>Сумма открытых сделок в пайплайне calc_engine расходится с raw_deals.</t>
        </is>
      </c>
      <c r="I12" s="276" t="n"/>
    </row>
    <row r="13">
      <c r="A13" s="261" t="inlineStr">
        <is>
          <t>T-07</t>
        </is>
      </c>
      <c r="B13" s="265" t="inlineStr">
        <is>
          <t>Финансы</t>
        </is>
      </c>
      <c r="C13" s="265" t="inlineStr">
        <is>
          <t>Отсутствие сделок с отрицательной суммой чека (MIN &gt;= 0)</t>
        </is>
      </c>
      <c r="D13" s="265">
        <f>MIN(raw_deals!$C$2:$C50000)&gt;=0</f>
        <v/>
      </c>
      <c r="E13" s="265" t="b">
        <v>1</v>
      </c>
      <c r="F13" s="265">
        <f>MIN(raw_deals!$C$2:$C50000)&gt;=0</f>
        <v/>
      </c>
      <c r="G13" s="261">
        <f>IF(D13=E13, "🟢 PASS", "🔴 FAIL")</f>
        <v/>
      </c>
      <c r="H13" s="265" t="inlineStr">
        <is>
          <t>Все суммы сделок положительные (мин. чек: 120 000 ₽).</t>
        </is>
      </c>
      <c r="I13" s="276" t="n"/>
    </row>
    <row r="14">
      <c r="A14" s="261" t="inlineStr">
        <is>
          <t>T-08</t>
        </is>
      </c>
      <c r="B14" s="265" t="inlineStr">
        <is>
          <t>Финансы</t>
        </is>
      </c>
      <c r="C14" s="265" t="inlineStr">
        <is>
          <t>Сумма выставленных счетов raw_invoices!G &gt;= Суммы оплат B19</t>
        </is>
      </c>
      <c r="D14" s="265" t="b">
        <v>1</v>
      </c>
      <c r="E14" s="265" t="b">
        <v>1</v>
      </c>
      <c r="F14" s="265">
        <f>SUM(raw_invoices!$G$2:$G$50000)&gt;=calc_engine!B19</f>
        <v/>
      </c>
      <c r="G14" s="261">
        <f>IF(F14=TRUE, "🟢 PASS", "🔴 FAIL")</f>
        <v/>
      </c>
      <c r="H14" s="265" t="inlineStr">
        <is>
          <t>Сумма поступивших оплат превышает сумму выставленных счетов.</t>
        </is>
      </c>
      <c r="I14" s="276" t="n"/>
    </row>
    <row r="15">
      <c r="A15" s="261" t="inlineStr">
        <is>
          <t>T-09</t>
        </is>
      </c>
      <c r="B15" s="265" t="inlineStr">
        <is>
          <t>Атрибуция</t>
        </is>
      </c>
      <c r="C15" s="265" t="inlineStr">
        <is>
          <t>Сумма весов W-Shaped касаний для сделки D-101 == 1.0</t>
        </is>
      </c>
      <c r="D15" s="265">
        <f>SUMIF(raw_touchpoints!$B$2:$B125, "D-101", raw_touchpoints!$H$2:$H125)</f>
        <v/>
      </c>
      <c r="E15" s="265" t="n">
        <v>1</v>
      </c>
      <c r="F15" s="265">
        <f>SUMIF(raw_touchpoints!$B$2:$B50000, "D-101", raw_touchpoints!$H$2:$H50000)</f>
        <v/>
      </c>
      <c r="G15" s="261">
        <f>IF(ABS(F15-1)&lt;0.01, "🟢 PASS", "🔴 FAIL")</f>
        <v/>
      </c>
      <c r="H15" s="265" t="inlineStr">
        <is>
          <t>Сумма весов касаний D-101 не равна 100%. Проверьте калибровку весов.</t>
        </is>
      </c>
      <c r="I15" s="276" t="n"/>
    </row>
    <row r="16">
      <c r="A16" s="261" t="inlineStr">
        <is>
          <t>T-10</t>
        </is>
      </c>
      <c r="B16" s="265" t="inlineStr">
        <is>
          <t>Атрибуция</t>
        </is>
      </c>
      <c r="C16" s="265" t="inlineStr">
        <is>
          <t>Сумма весов W-Shaped касаний для сделки D-102 == 1.0</t>
        </is>
      </c>
      <c r="D16" s="265">
        <f>SUMIF(raw_touchpoints!$B$2:$B125, "D-102", raw_touchpoints!$H$2:$H125)</f>
        <v/>
      </c>
      <c r="E16" s="265" t="n">
        <v>1</v>
      </c>
      <c r="F16" s="265">
        <f>SUMIF(raw_touchpoints!$B$2:$B50000, "D-102", raw_touchpoints!$H$2:$H50000)</f>
        <v/>
      </c>
      <c r="G16" s="261">
        <f>IF(ABS(F16-1)&lt;0.01, "🟢 PASS", "🔴 FAIL")</f>
        <v/>
      </c>
      <c r="H16" s="265" t="inlineStr">
        <is>
          <t>Сумма весов касаний D-102 не равна 100%.</t>
        </is>
      </c>
      <c r="I16" s="276" t="n"/>
    </row>
    <row r="17">
      <c r="A17" s="261" t="inlineStr">
        <is>
          <t>T-11</t>
        </is>
      </c>
      <c r="B17" s="265" t="inlineStr">
        <is>
          <t>Атрибуция</t>
        </is>
      </c>
      <c r="C17" s="265" t="inlineStr">
        <is>
          <t>Сумма весов W-Shaped касаний для сделки D-104 == 1.0</t>
        </is>
      </c>
      <c r="D17" s="265">
        <f>SUMIF(raw_touchpoints!$B$2:$B125, "D-104", raw_touchpoints!$H$2:$H125)</f>
        <v/>
      </c>
      <c r="E17" s="265" t="n">
        <v>1</v>
      </c>
      <c r="F17" s="265">
        <f>SUMIF(raw_touchpoints!$B$2:$B50000, "D-104", raw_touchpoints!$H$2:$H50000)</f>
        <v/>
      </c>
      <c r="G17" s="261">
        <f>IF(ABS(F17-1)&lt;0.01, "🟢 PASS", "🔴 FAIL")</f>
        <v/>
      </c>
      <c r="H17" s="265" t="inlineStr">
        <is>
          <t>Сумма весов касаний D-104 расходится с 1.0. Проверьте TP-109..TP-111B.</t>
        </is>
      </c>
      <c r="I17" s="276" t="n"/>
    </row>
    <row r="18">
      <c r="A18" s="261" t="inlineStr">
        <is>
          <t>T-12</t>
        </is>
      </c>
      <c r="B18" s="265" t="inlineStr">
        <is>
          <t>Атрибуция</t>
        </is>
      </c>
      <c r="C18" s="265" t="inlineStr">
        <is>
          <t>Сумма весов W-Shaped касаний для сделки D-105 == 1.0</t>
        </is>
      </c>
      <c r="D18" s="265">
        <f>SUMIF(raw_touchpoints!$B$2:$B125, "D-105", raw_touchpoints!$H$2:$H125)</f>
        <v/>
      </c>
      <c r="E18" s="265" t="n">
        <v>1</v>
      </c>
      <c r="F18" s="265">
        <f>SUMIF(raw_touchpoints!$B$2:$B50000, "D-105", raw_touchpoints!$H$2:$H50000)</f>
        <v/>
      </c>
      <c r="G18" s="261">
        <f>IF(ABS(F18-1)&lt;0.01, "🟢 PASS", "🔴 FAIL")</f>
        <v/>
      </c>
      <c r="H18" s="265" t="inlineStr">
        <is>
          <t>Сумма весов касаний D-105 не равна 100%.</t>
        </is>
      </c>
      <c r="I18" s="276" t="n"/>
    </row>
    <row r="19">
      <c r="A19" s="261" t="inlineStr">
        <is>
          <t>T-13</t>
        </is>
      </c>
      <c r="B19" s="265" t="inlineStr">
        <is>
          <t>Атрибуция</t>
        </is>
      </c>
      <c r="C19" s="265" t="inlineStr">
        <is>
          <t>Все веса касаний в строгом диапазоне [0.0, 1.0]</t>
        </is>
      </c>
      <c r="D19" s="265" t="b">
        <v>1</v>
      </c>
      <c r="E19" s="265" t="b">
        <v>1</v>
      </c>
      <c r="F19" s="265">
        <f>AND(MIN(raw_touchpoints!$H$2:$H50000)&gt;=0, MAX(raw_touchpoints!$H$2:$H50000)&lt;=1)</f>
        <v/>
      </c>
      <c r="G19" s="261">
        <f>IF(F19=TRUE, "🟢 PASS", "🔴 FAIL")</f>
        <v/>
      </c>
      <c r="H19" s="265" t="inlineStr">
        <is>
          <t>В raw_touchpoints!H есть вес &lt;0 или &gt;1.</t>
        </is>
      </c>
      <c r="I19" s="276" t="n"/>
    </row>
    <row r="20">
      <c r="A20" s="261" t="inlineStr">
        <is>
          <t>T-14</t>
        </is>
      </c>
      <c r="B20" s="265" t="inlineStr">
        <is>
          <t>Атрибуция</t>
        </is>
      </c>
      <c r="C20" s="265" t="inlineStr">
        <is>
          <t>Каждое касание мапится на реальную сделку в raw_deals</t>
        </is>
      </c>
      <c r="D20" s="265" t="n">
        <v>0</v>
      </c>
      <c r="E20" s="265" t="n">
        <v>0</v>
      </c>
      <c r="F20" s="265">
        <f>COUNTIF(raw_touchpoints!$I$2:$I50000, 0)</f>
        <v/>
      </c>
      <c r="G20" s="261">
        <f>IF(F20=0, "🟢 PASS", "🔴 FAIL")</f>
        <v/>
      </c>
      <c r="H20" s="265" t="inlineStr">
        <is>
          <t>В raw_touchpoints обнаружено касание с несуществующим deal_id.</t>
        </is>
      </c>
      <c r="I20" s="276" t="n"/>
    </row>
    <row r="21">
      <c r="A21" s="261" t="inlineStr">
        <is>
          <t>T-15</t>
        </is>
      </c>
      <c r="B21" s="265" t="inlineStr">
        <is>
          <t>Атрибуция</t>
        </is>
      </c>
      <c r="C21" s="265" t="inlineStr">
        <is>
          <t>W-Shaped пайплайн-атрибуция Col L неотрицательна (&gt;= 0)</t>
        </is>
      </c>
      <c r="D21" s="265" t="b">
        <v>1</v>
      </c>
      <c r="E21" s="265" t="b">
        <v>1</v>
      </c>
      <c r="F21" s="265">
        <f>MIN(raw_touchpoints!$L$2:$L50000)&gt;=0</f>
        <v/>
      </c>
      <c r="G21" s="261">
        <f>IF(F21=TRUE, "🟢 PASS", "🔴 FAIL")</f>
        <v/>
      </c>
      <c r="H21" s="265" t="inlineStr">
        <is>
          <t>В raw_touchpoints!L обнаружены отрицательные значения атрибуции.</t>
        </is>
      </c>
      <c r="I21" s="276" t="n"/>
    </row>
    <row r="22">
      <c r="A22" s="261" t="inlineStr">
        <is>
          <t>T-16</t>
        </is>
      </c>
      <c r="B22" s="265" t="inlineStr">
        <is>
          <t>Воронка &amp; SLA</t>
        </is>
      </c>
      <c r="C22" s="265" t="inlineStr">
        <is>
          <t>Все нормативы SLA этапов воронки строго &gt; 0 часов</t>
        </is>
      </c>
      <c r="D22" s="265" t="b">
        <v>1</v>
      </c>
      <c r="E22" s="265" t="b">
        <v>1</v>
      </c>
      <c r="F22" s="265">
        <f>MIN('⚙️ Настройки'!$C$12:$C$16)&gt;0</f>
        <v/>
      </c>
      <c r="G22" s="261">
        <f>IF(F22=TRUE, "🟢 PASS", "🔴 FAIL")</f>
        <v/>
      </c>
      <c r="H22" s="265" t="inlineStr">
        <is>
          <t>В Настройках указан нулевой или отрицательный SLA-норматив этапа.</t>
        </is>
      </c>
      <c r="I22" s="276" t="n"/>
    </row>
    <row r="23">
      <c r="A23" s="261" t="inlineStr">
        <is>
          <t>T-17</t>
        </is>
      </c>
      <c r="B23" s="265" t="inlineStr">
        <is>
          <t>Воронка &amp; SLA</t>
        </is>
      </c>
      <c r="C23" s="265" t="inlineStr">
        <is>
          <t>Количество открытых сделок в воронке (1..5) == calc_engine!B16</t>
        </is>
      </c>
      <c r="D23" s="265">
        <f>COUNTIFS(raw_deals!$D$2:$D50000, "&gt;=1", raw_deals!$D$2:$D50000, "&lt;=5")</f>
        <v/>
      </c>
      <c r="E23" s="265">
        <f>calc_engine!B16</f>
        <v/>
      </c>
      <c r="F23" s="265">
        <f>D23</f>
        <v/>
      </c>
      <c r="G23" s="261">
        <f>IF(E23=F23, "🟢 PASS", "🔴 FAIL")</f>
        <v/>
      </c>
      <c r="H23" s="265" t="inlineStr">
        <is>
          <t>Количество открытых сделок в воронке расходится с метрикой B16.</t>
        </is>
      </c>
      <c r="I23" s="276" t="n"/>
    </row>
    <row r="24">
      <c r="A24" s="261" t="inlineStr">
        <is>
          <t>T-18</t>
        </is>
      </c>
      <c r="B24" s="265" t="inlineStr">
        <is>
          <t>Воронка &amp; SLA</t>
        </is>
      </c>
      <c r="C24" s="265" t="inlineStr">
        <is>
          <t>Все stage_id сделок валидны (целые числа от 1 до 7)</t>
        </is>
      </c>
      <c r="D24" s="265" t="b">
        <v>1</v>
      </c>
      <c r="E24" s="265" t="b">
        <v>1</v>
      </c>
      <c r="F24" s="265">
        <f>AND(MIN(raw_deals!$D$2:$D50000)&gt;=1, MAX(raw_deals!$D$2:$D50000)&lt;=7)</f>
        <v/>
      </c>
      <c r="G24" s="261">
        <f>IF(F24=TRUE, "🟢 PASS", "🔴 FAIL")</f>
        <v/>
      </c>
      <c r="H24" s="265" t="inlineStr">
        <is>
          <t>В raw_deals!D обнаружен недопустимый номер этапа (вне 1..7).</t>
        </is>
      </c>
      <c r="I24" s="276" t="n"/>
    </row>
    <row r="25">
      <c r="A25" s="261" t="inlineStr">
        <is>
          <t>T-19</t>
        </is>
      </c>
      <c r="B25" s="265" t="inlineStr">
        <is>
          <t>Воронка &amp; SLA</t>
        </is>
      </c>
      <c r="C25" s="265" t="inlineStr">
        <is>
          <t>Сделки stage_id=6 строго имеют статус 'Успешно реализовано'</t>
        </is>
      </c>
      <c r="D25" s="265" t="n">
        <v>0</v>
      </c>
      <c r="E25" s="265" t="n">
        <v>0</v>
      </c>
      <c r="F25" s="265">
        <f>COUNTIFS(raw_deals!$D$2:$D50000, 6, raw_deals!$E$2:$E50000, "&lt;&gt;*Успешно реализовано*")</f>
        <v/>
      </c>
      <c r="G25" s="261">
        <f>IF(F25=0, "🟢 PASS", "🔴 FAIL")</f>
        <v/>
      </c>
      <c r="H25" s="265" t="inlineStr">
        <is>
          <t>Рассинхрон stage_id=6 и stage_name в raw_deals.</t>
        </is>
      </c>
      <c r="I25" s="276" t="n"/>
    </row>
    <row r="26">
      <c r="A26" s="261" t="inlineStr">
        <is>
          <t>T-20</t>
        </is>
      </c>
      <c r="B26" s="265" t="inlineStr">
        <is>
          <t>Воронка &amp; SLA</t>
        </is>
      </c>
      <c r="C26" s="265" t="inlineStr">
        <is>
          <t>Сделки stage_id=7 строго имеют статус 'Закрыто и не реализовано'</t>
        </is>
      </c>
      <c r="D26" s="265" t="n">
        <v>0</v>
      </c>
      <c r="E26" s="265" t="n">
        <v>0</v>
      </c>
      <c r="F26" s="265">
        <f>COUNTIFS(raw_deals!$D$2:$D50000, 7, raw_deals!$E$2:$E50000, "&lt;&gt;*не реализовано*")</f>
        <v/>
      </c>
      <c r="G26" s="261">
        <f>IF(F26=0, "🟢 PASS", "🔴 FAIL")</f>
        <v/>
      </c>
      <c r="H26" s="265" t="inlineStr">
        <is>
          <t>Рассинхрон stage_id=7 и stage_name в raw_deals.</t>
        </is>
      </c>
      <c r="I26" s="276" t="n"/>
    </row>
    <row r="27">
      <c r="A27" s="261" t="inlineStr">
        <is>
          <t>T-21</t>
        </is>
      </c>
      <c r="B27" s="265" t="inlineStr">
        <is>
          <t>Воронка &amp; SLA</t>
        </is>
      </c>
      <c r="C27" s="265" t="inlineStr">
        <is>
          <t>Вероятности этапов в Настройках монотонны (Win% 1 &lt; Win% 5)</t>
        </is>
      </c>
      <c r="D27" s="265" t="b">
        <v>1</v>
      </c>
      <c r="E27" s="265" t="b">
        <v>1</v>
      </c>
      <c r="F27" s="265">
        <f>'⚙️ Настройки'!$D$12&lt;'⚙️ Настройки'!$D$16</f>
        <v/>
      </c>
      <c r="G27" s="261">
        <f>IF(F27=TRUE, "🟢 PASS", "🔴 FAIL")</f>
        <v/>
      </c>
      <c r="H27" s="265" t="inlineStr">
        <is>
          <t>Вероятность закрытия лида превышает вероятность закрытия выставленного счета.</t>
        </is>
      </c>
      <c r="I27" s="276" t="n"/>
    </row>
    <row r="28">
      <c r="A28" s="261" t="inlineStr">
        <is>
          <t>T-22</t>
        </is>
      </c>
      <c r="B28" s="265" t="inlineStr">
        <is>
          <t>Воронка &amp; SLA</t>
        </is>
      </c>
      <c r="C28" s="265" t="inlineStr">
        <is>
          <t>SLA факт рассчитывается без ошибок деления на ноль</t>
        </is>
      </c>
      <c r="D28" s="265" t="b">
        <v>1</v>
      </c>
      <c r="E28" s="265" t="b">
        <v>1</v>
      </c>
      <c r="F28" s="265">
        <f>ISNUMBER(AVERAGE(raw_deals!$Q$2:$Q50000))</f>
        <v/>
      </c>
      <c r="G28" s="261">
        <f>IF(F28=TRUE, "🟢 PASS", "🔴 FAIL")</f>
        <v/>
      </c>
      <c r="H28" s="265" t="inlineStr">
        <is>
          <t>Ошибка расчета времени нахождения в этапе days_in_stage.</t>
        </is>
      </c>
      <c r="I28" s="276" t="n"/>
    </row>
    <row r="29">
      <c r="A29" s="261" t="inlineStr">
        <is>
          <t>T-23</t>
        </is>
      </c>
      <c r="B29" s="265" t="inlineStr">
        <is>
          <t>Воронка &amp; SLA</t>
        </is>
      </c>
      <c r="C29" s="265" t="inlineStr">
        <is>
          <t>Коэффициент соблюдения SLA в диапазоне [0.0, 1.0]</t>
        </is>
      </c>
      <c r="D29" s="265" t="b">
        <v>1</v>
      </c>
      <c r="E29" s="265" t="b">
        <v>1</v>
      </c>
      <c r="F29" s="265">
        <f>AND(calc_engine!B31&gt;=0, calc_engine!B31&lt;=1)</f>
        <v/>
      </c>
      <c r="G29" s="261">
        <f>IF(F29=TRUE, "🟢 PASS", "🔴 FAIL")</f>
        <v/>
      </c>
      <c r="H29" s="265" t="inlineStr">
        <is>
          <t>Индекс соблюдения SLA calc_engine!B31 вышел за границы 0..100%.</t>
        </is>
      </c>
      <c r="I29" s="276" t="n"/>
    </row>
    <row r="30">
      <c r="A30" s="261" t="inlineStr">
        <is>
          <t>T-24</t>
        </is>
      </c>
      <c r="B30" s="265" t="inlineStr">
        <is>
          <t>ИИ-Аудит речи</t>
        </is>
      </c>
      <c r="C30" s="265" t="inlineStr">
        <is>
          <t>Средний балл речи calc_engine!B32 в допустимом диапазоне [1, 13]</t>
        </is>
      </c>
      <c r="D30" s="265" t="b">
        <v>1</v>
      </c>
      <c r="E30" s="265" t="b">
        <v>1</v>
      </c>
      <c r="F30" s="265">
        <f>AND(calc_engine!B32&gt;=1, calc_engine!B32&lt;=13)</f>
        <v/>
      </c>
      <c r="G30" s="261">
        <f>IF(F30=TRUE, "🟢 PASS", "🔴 FAIL")</f>
        <v/>
      </c>
      <c r="H30" s="265" t="inlineStr">
        <is>
          <t>Средний чек-лист качества речи вышел за шкалу 13 критериев.</t>
        </is>
      </c>
      <c r="I30" s="276" t="n"/>
    </row>
    <row r="31">
      <c r="A31" s="261" t="inlineStr">
        <is>
          <t>T-25</t>
        </is>
      </c>
      <c r="B31" s="265" t="inlineStr">
        <is>
          <t>ИИ-Аудит речи</t>
        </is>
      </c>
      <c r="C31" s="265" t="inlineStr">
        <is>
          <t>Длительность всех звонков в raw_calls &gt; 0 секунд</t>
        </is>
      </c>
      <c r="D31" s="265" t="b">
        <v>1</v>
      </c>
      <c r="E31" s="265" t="b">
        <v>1</v>
      </c>
      <c r="F31" s="265">
        <f>MIN(raw_calls!$E$2:$E50000)&gt;0</f>
        <v/>
      </c>
      <c r="G31" s="261">
        <f>IF(F31=TRUE, "🟢 PASS", "🔴 FAIL")</f>
        <v/>
      </c>
      <c r="H31" s="265" t="inlineStr">
        <is>
          <t>В raw_calls обнаружены звонки с нулевой или отрицательной длительностью.</t>
        </is>
      </c>
      <c r="I31" s="276" t="n"/>
    </row>
    <row r="32">
      <c r="A32" s="261" t="inlineStr">
        <is>
          <t>T-26</t>
        </is>
      </c>
      <c r="B32" s="265" t="inlineStr">
        <is>
          <t>ИИ-Аудит речи</t>
        </is>
      </c>
      <c r="C32" s="265" t="inlineStr">
        <is>
          <t>Все звонки привязаны к существующим менеджерам [101..104]</t>
        </is>
      </c>
      <c r="D32" s="265" t="b">
        <v>1</v>
      </c>
      <c r="E32" s="265" t="b">
        <v>1</v>
      </c>
      <c r="F32" s="265">
        <f>AND(MIN(raw_calls!$C$2:$C50000)&gt;=101, MAX(raw_calls!$C$2:$C50000)&lt;=104)</f>
        <v/>
      </c>
      <c r="G32" s="261">
        <f>IF(F32=TRUE, "🟢 PASS", "🔴 FAIL")</f>
        <v/>
      </c>
      <c r="H32" s="265" t="inlineStr">
        <is>
          <t>В raw_calls найден звонок с неизвестным manager_id.</t>
        </is>
      </c>
      <c r="I32" s="276" t="n"/>
    </row>
    <row r="33">
      <c r="A33" s="261" t="inlineStr">
        <is>
          <t>T-27</t>
        </is>
      </c>
      <c r="B33" s="265" t="inlineStr">
        <is>
          <t>ИИ-Аудит речи</t>
        </is>
      </c>
      <c r="C33" s="265" t="inlineStr">
        <is>
          <t>Все звонки привязаны к существующим сделкам воронки</t>
        </is>
      </c>
      <c r="D33" s="265" t="b">
        <v>1</v>
      </c>
      <c r="E33" s="265" t="b">
        <v>1</v>
      </c>
      <c r="F33" s="265">
        <f>COUNTIF(raw_calls!$B$2:$B50000, "D-*")=COUNTA(raw_calls!$B$2:$B50000)</f>
        <v/>
      </c>
      <c r="G33" s="261">
        <f>IF(F33=TRUE, "🟢 PASS", "🔴 FAIL")</f>
        <v/>
      </c>
      <c r="H33" s="265" t="inlineStr">
        <is>
          <t>В raw_calls обнаружен звонок без привязки к сделке D-*.</t>
        </is>
      </c>
      <c r="I33" s="276" t="n"/>
    </row>
    <row r="34">
      <c r="A34" s="261" t="inlineStr">
        <is>
          <t>T-28</t>
        </is>
      </c>
      <c r="B34" s="265" t="inlineStr">
        <is>
          <t>ИИ-Аудит речи</t>
        </is>
      </c>
      <c r="C34" s="265" t="inlineStr">
        <is>
          <t>Доля фиксации Next Step calc_engine!B33 в диапазоне [0.0, 1.0]</t>
        </is>
      </c>
      <c r="D34" s="265" t="b">
        <v>1</v>
      </c>
      <c r="E34" s="265" t="b">
        <v>1</v>
      </c>
      <c r="F34" s="265">
        <f>AND(calc_engine!B33&gt;=0, calc_engine!B33&lt;=1)</f>
        <v/>
      </c>
      <c r="G34" s="261">
        <f>IF(F34=TRUE, "🟢 PASS", "🔴 FAIL")</f>
        <v/>
      </c>
      <c r="H34" s="265" t="inlineStr">
        <is>
          <t>Конверсия Next Step calc_engine!B33 вышла за пределы 0..100%.</t>
        </is>
      </c>
      <c r="I34" s="276" t="n"/>
    </row>
    <row r="35">
      <c r="A35" s="261" t="inlineStr">
        <is>
          <t>T-29</t>
        </is>
      </c>
      <c r="B35" s="265" t="inlineStr">
        <is>
          <t>ИИ-Аудит речи</t>
        </is>
      </c>
      <c r="C35" s="265" t="inlineStr">
        <is>
          <t>Хронометраж звонка в ИИ_Аудит!E17 зафиксирован в формате времени</t>
        </is>
      </c>
      <c r="D35" s="265" t="b">
        <v>1</v>
      </c>
      <c r="E35" s="265" t="b">
        <v>1</v>
      </c>
      <c r="F35" s="265">
        <f>ISNUMBER(SEARCH(":", '🎙️ ИИ_Аудит'!E17))</f>
        <v/>
      </c>
      <c r="G35" s="261">
        <f>IF(F35=TRUE, "🟢 PASS", "🔴 FAIL")</f>
        <v/>
      </c>
      <c r="H35" s="265" t="inlineStr">
        <is>
          <t>В колонке длительности звонка нарушен формат времени.</t>
        </is>
      </c>
      <c r="I35" s="276" t="n"/>
    </row>
    <row r="36">
      <c r="A36" s="261" t="inlineStr">
        <is>
          <t>T-30</t>
        </is>
      </c>
      <c r="B36" s="265" t="inlineStr">
        <is>
          <t>ИИ-Аудит речи</t>
        </is>
      </c>
      <c r="C36" s="265" t="inlineStr">
        <is>
          <t>Выручка под угрозой в ИИ_Аудит!J4 сходится с итогом выборки V27</t>
        </is>
      </c>
      <c r="D36" s="265">
        <f>'🎙️ ИИ_Аудит'!V27</f>
        <v/>
      </c>
      <c r="E36" s="265">
        <f>'🎙️ ИИ_Аудит'!J4</f>
        <v/>
      </c>
      <c r="F36" s="265">
        <f>D36</f>
        <v/>
      </c>
      <c r="G36" s="261">
        <f>IF(E36=F36, "🟢 PASS", "🔴 FAIL")</f>
        <v/>
      </c>
      <c r="H36" s="265" t="inlineStr">
        <is>
          <t>Сумма финансового риска брака звонков расходится с контрольной суммой выборки.</t>
        </is>
      </c>
      <c r="I36" s="276" t="n"/>
    </row>
    <row r="37">
      <c r="A37" s="261" t="inlineStr">
        <is>
          <t>T-31</t>
        </is>
      </c>
      <c r="B37" s="265" t="inlineStr">
        <is>
          <t>Финансы &amp; DSO</t>
        </is>
      </c>
      <c r="C37" s="265" t="inlineStr">
        <is>
          <t>DSO (Days Sales Outstanding) calc_engine!B27 неотрицательный</t>
        </is>
      </c>
      <c r="D37" s="265" t="b">
        <v>1</v>
      </c>
      <c r="E37" s="265" t="b">
        <v>1</v>
      </c>
      <c r="F37" s="265">
        <f>calc_engine!B27&gt;=0</f>
        <v/>
      </c>
      <c r="G37" s="261">
        <f>IF(F37=TRUE, "🟢 PASS", "🔴 FAIL")</f>
        <v/>
      </c>
      <c r="H37" s="265" t="inlineStr">
        <is>
          <t>DSO отрицательный. Проверьте формулу оборачиваемости дебиторки.</t>
        </is>
      </c>
      <c r="I37" s="276" t="n"/>
    </row>
    <row r="38">
      <c r="A38" s="261" t="inlineStr">
        <is>
          <t>T-32</t>
        </is>
      </c>
      <c r="B38" s="265" t="inlineStr">
        <is>
          <t>Финансы &amp; DSO</t>
        </is>
      </c>
      <c r="C38" s="265" t="inlineStr">
        <is>
          <t>Статусы счетов валидны (paid, overdue, forecast)</t>
        </is>
      </c>
      <c r="D38" s="265" t="n">
        <v>0</v>
      </c>
      <c r="E38" s="265" t="n">
        <v>0</v>
      </c>
      <c r="F38" s="265">
        <f>COUNTIFS(raw_invoices!$H$2:$H$50000, "&lt;&gt;paid", raw_invoices!$H$2:$H$50000, "&lt;&gt;overdue", raw_invoices!$H$2:$H$50000, "&lt;&gt;forecast", raw_invoices!$H$2:$H$50000, "&lt;&gt;")</f>
        <v/>
      </c>
      <c r="G38" s="261">
        <f>IF(F38=0, "🟢 PASS", "🔴 FAIL")</f>
        <v/>
      </c>
      <c r="H38" s="265" t="inlineStr">
        <is>
          <t>В raw_invoices обнаружен неизвестный статус инвойса.</t>
        </is>
      </c>
      <c r="I38" s="276" t="n"/>
    </row>
    <row r="39">
      <c r="A39" s="261" t="inlineStr">
        <is>
          <t>T-33</t>
        </is>
      </c>
      <c r="B39" s="265" t="inlineStr">
        <is>
          <t>Финансы &amp; DSO</t>
        </is>
      </c>
      <c r="C39" s="265" t="inlineStr">
        <is>
          <t>Просроченная дебиторка B145 &lt;= общей суммы счетов</t>
        </is>
      </c>
      <c r="D39" s="265" t="b">
        <v>1</v>
      </c>
      <c r="E39" s="265" t="b">
        <v>1</v>
      </c>
      <c r="F39" s="265">
        <f>calc_engine!B145&lt;=SUM(raw_invoices!$G$2:$G$50000)</f>
        <v/>
      </c>
      <c r="G39" s="261">
        <f>IF(F39=TRUE, "🟢 PASS", "🔴 FAIL")</f>
        <v/>
      </c>
      <c r="H39" s="265" t="inlineStr">
        <is>
          <t>Просроченная дебиторка превышает общую сумму выставленных счетов.</t>
        </is>
      </c>
      <c r="I39" s="276" t="n"/>
    </row>
    <row r="40">
      <c r="A40" s="261" t="inlineStr">
        <is>
          <t>T-34</t>
        </is>
      </c>
      <c r="B40" s="265" t="inlineStr">
        <is>
          <t>Финансы &amp; DSO</t>
        </is>
      </c>
      <c r="C40" s="265" t="inlineStr">
        <is>
          <t>Cash-In calc_engine!B19 строго равен Closed-Won выручке</t>
        </is>
      </c>
      <c r="D40" s="265">
        <f>SUMIF(raw_invoices!$H$2:$H$50000, "paid", raw_invoices!$G$2:$G$50000)</f>
        <v/>
      </c>
      <c r="E40" s="265">
        <f>calc_engine!B19</f>
        <v/>
      </c>
      <c r="F40" s="265">
        <f>D40</f>
        <v/>
      </c>
      <c r="G40" s="261">
        <f>IF(E40=F40, "🟢 PASS", "🔴 FAIL")</f>
        <v/>
      </c>
      <c r="H40" s="265" t="inlineStr">
        <is>
          <t>Фактические поступления Cash-In расходятся с закрытыми сделками.</t>
        </is>
      </c>
      <c r="I40" s="276" t="n"/>
    </row>
    <row r="41">
      <c r="A41" s="261" t="inlineStr">
        <is>
          <t>T-35</t>
        </is>
      </c>
      <c r="B41" s="265" t="inlineStr">
        <is>
          <t>Финансы &amp; DSO</t>
        </is>
      </c>
      <c r="C41" s="265" t="inlineStr">
        <is>
          <t>Отсутствие счетов с отрицательной суммой в raw_invoices!G</t>
        </is>
      </c>
      <c r="D41" s="265" t="b">
        <v>1</v>
      </c>
      <c r="E41" s="265" t="b">
        <v>1</v>
      </c>
      <c r="F41" s="265">
        <f>MIN(raw_invoices!$G$2:$G$50000)&gt;=0</f>
        <v/>
      </c>
      <c r="G41" s="261">
        <f>IF(F41=TRUE, "🟢 PASS", "🔴 FAIL")</f>
        <v/>
      </c>
      <c r="H41" s="265" t="inlineStr">
        <is>
          <t>Обнаружен счет с отрицательной суммой к оплате.</t>
        </is>
      </c>
      <c r="I41" s="276" t="n"/>
    </row>
    <row r="42">
      <c r="A42" s="261" t="inlineStr">
        <is>
          <t>T-36</t>
        </is>
      </c>
      <c r="B42" s="265" t="inlineStr">
        <is>
          <t>Финансы &amp; DSO</t>
        </is>
      </c>
      <c r="C42" s="265" t="inlineStr">
        <is>
          <t>Сумма оплаченных счетов (paid) равна Closed-Won выручке B19</t>
        </is>
      </c>
      <c r="D42" s="265">
        <f>SUMIF(raw_invoices!$H$2:$H$50000, "paid", raw_invoices!$G$2:$G$50000)</f>
        <v/>
      </c>
      <c r="E42" s="265">
        <f>calc_engine!B19</f>
        <v/>
      </c>
      <c r="F42" s="265">
        <f>D42</f>
        <v/>
      </c>
      <c r="G42" s="261">
        <f>IF(E42=F42, "🟢 PASS", "🔴 FAIL")</f>
        <v/>
      </c>
      <c r="H42" s="265" t="inlineStr">
        <is>
          <t>Сумма оплаченных инвойсов в реестре raw_invoices расходится с выручкой B19.</t>
        </is>
      </c>
      <c r="I42" s="276" t="n"/>
    </row>
    <row r="43">
      <c r="A43" s="261" t="inlineStr">
        <is>
          <t>T-37</t>
        </is>
      </c>
      <c r="B43" s="265" t="inlineStr">
        <is>
          <t>Алерты &amp; Риски</t>
        </is>
      </c>
      <c r="C43" s="265" t="inlineStr">
        <is>
          <t>Суммы в raw_alerts!D строго числовые (ISNUMBER)</t>
        </is>
      </c>
      <c r="D43" s="265" t="b">
        <v>1</v>
      </c>
      <c r="E43" s="265" t="b">
        <v>1</v>
      </c>
      <c r="F43" s="265">
        <f>AND(ISNUMBER(raw_alerts!$D$2), ISNUMBER(raw_alerts!$D$3), ISNUMBER(raw_alerts!$D$4))</f>
        <v/>
      </c>
      <c r="G43" s="261">
        <f>IF(F43=TRUE, "🟢 PASS", "🔴 FAIL")</f>
        <v/>
      </c>
      <c r="H43" s="265" t="inlineStr">
        <is>
          <t>Суммы алертов сохранены как текст, SUM(raw_alerts!D) сломается.</t>
        </is>
      </c>
      <c r="I43" s="276" t="n"/>
    </row>
    <row r="44">
      <c r="A44" s="261" t="inlineStr">
        <is>
          <t>T-38</t>
        </is>
      </c>
      <c r="B44" s="265" t="inlineStr">
        <is>
          <t>Алерты &amp; Риски</t>
        </is>
      </c>
      <c r="C44" s="265" t="inlineStr">
        <is>
          <t>Суммы всех зарегистрированных алертов &gt; 0</t>
        </is>
      </c>
      <c r="D44" s="265" t="b">
        <v>1</v>
      </c>
      <c r="E44" s="265" t="b">
        <v>1</v>
      </c>
      <c r="F44" s="265">
        <f>MIN(raw_alerts!$D$2:$D$6)&gt;0</f>
        <v/>
      </c>
      <c r="G44" s="261">
        <f>IF(F44=TRUE, "🟢 PASS", "🔴 FAIL")</f>
        <v/>
      </c>
      <c r="H44" s="265" t="inlineStr">
        <is>
          <t>В raw_alerts найден алерт с нулевой или отрицательной суммой риска.</t>
        </is>
      </c>
      <c r="I44" s="276" t="n"/>
    </row>
    <row r="45">
      <c r="A45" s="261" t="inlineStr">
        <is>
          <t>T-39</t>
        </is>
      </c>
      <c r="B45" s="265" t="inlineStr">
        <is>
          <t>Алерты &amp; Риски</t>
        </is>
      </c>
      <c r="C45" s="265" t="inlineStr">
        <is>
          <t>Доля базы РОПа calc_engine!B35 в диапазоне [0.0, 1.0]</t>
        </is>
      </c>
      <c r="D45" s="265" t="b">
        <v>1</v>
      </c>
      <c r="E45" s="265" t="b">
        <v>1</v>
      </c>
      <c r="F45" s="265">
        <f>AND(calc_engine!B35&gt;=0, calc_engine!B35&lt;=1)</f>
        <v/>
      </c>
      <c r="G45" s="261">
        <f>IF(F45=TRUE, "🟢 PASS", "🔴 FAIL")</f>
        <v/>
      </c>
      <c r="H45" s="265" t="inlineStr">
        <is>
          <t>Коэффициент нагрузки РОПа вышел за границы 0..100%.</t>
        </is>
      </c>
      <c r="I45" s="276" t="n"/>
    </row>
    <row r="46">
      <c r="A46" s="261" t="inlineStr">
        <is>
          <t>T-40</t>
        </is>
      </c>
      <c r="B46" s="265" t="inlineStr">
        <is>
          <t>Алерты &amp; Риски</t>
        </is>
      </c>
      <c r="C46" s="265" t="inlineStr">
        <is>
          <t>Нормативные лимиты сделок сотрудников в Настройках &gt; 0</t>
        </is>
      </c>
      <c r="D46" s="265" t="b">
        <v>1</v>
      </c>
      <c r="E46" s="265" t="b">
        <v>1</v>
      </c>
      <c r="F46" s="265">
        <f>MIN('⚙️ Настройки'!$D$21:$D$24)&gt;0</f>
        <v/>
      </c>
      <c r="G46" s="261">
        <f>IF(F46=TRUE, "🟢 PASS", "🔴 FAIL")</f>
        <v/>
      </c>
      <c r="H46" s="265" t="inlineStr">
        <is>
          <t>В Настройках емкости указан нулевой лимит сделок менеджера.</t>
        </is>
      </c>
      <c r="I46" s="276" t="n"/>
    </row>
    <row r="47">
      <c r="A47" s="261" t="inlineStr">
        <is>
          <t>T-41</t>
        </is>
      </c>
      <c r="B47" s="265" t="inlineStr">
        <is>
          <t>Алерты &amp; Риски</t>
        </is>
      </c>
      <c r="C47" s="265" t="inlineStr">
        <is>
          <t>Количество активных правил мониторинга в Радаре &gt;= 5</t>
        </is>
      </c>
      <c r="D47" s="265" t="b">
        <v>1</v>
      </c>
      <c r="E47" s="265" t="b">
        <v>1</v>
      </c>
      <c r="F47" s="265">
        <f>COUNTA('🚨 Радар_Алертов'!$A$4:$A$9)&gt;=5</f>
        <v/>
      </c>
      <c r="G47" s="261">
        <f>IF(F47=TRUE, "🟢 PASS", "🔴 FAIL")</f>
        <v/>
      </c>
      <c r="H47" s="265" t="inlineStr">
        <is>
          <t>В Радаре алертов отключены или удалены базовые триггеры.</t>
        </is>
      </c>
      <c r="I47" s="276" t="n"/>
    </row>
    <row r="48">
      <c r="A48" s="261" t="inlineStr">
        <is>
          <t>T-42</t>
        </is>
      </c>
      <c r="B48" s="265" t="inlineStr">
        <is>
          <t>Алерты &amp; Риски</t>
        </is>
      </c>
      <c r="C48" s="265" t="inlineStr">
        <is>
          <t>РОП Иванов Д. (101) имеет активные сделки в контуре</t>
        </is>
      </c>
      <c r="D48" s="265" t="b">
        <v>1</v>
      </c>
      <c r="E48" s="265" t="b">
        <v>1</v>
      </c>
      <c r="F48" s="265">
        <f>COUNTIF(raw_deals!$H$2:$H50000, 101)&gt;0</f>
        <v/>
      </c>
      <c r="G48" s="261">
        <f>IF(F48=TRUE, "🟢 PASS", "🔴 FAIL")</f>
        <v/>
      </c>
      <c r="H48" s="265" t="inlineStr">
        <is>
          <t>У РОПа нет сделок в воронке, проверка перегруза невозможна.</t>
        </is>
      </c>
      <c r="I48" s="276" t="n"/>
    </row>
    <row r="49">
      <c r="A49" s="261" t="inlineStr">
        <is>
          <t>T-43</t>
        </is>
      </c>
      <c r="B49" s="265" t="inlineStr">
        <is>
          <t>Система &amp; Стабильность</t>
        </is>
      </c>
      <c r="C49" s="265" t="inlineStr">
        <is>
          <t>Отсутствие #REF! в ключевой метрике выручки</t>
        </is>
      </c>
      <c r="D49" s="265" t="b">
        <v>1</v>
      </c>
      <c r="E49" s="265" t="b">
        <v>1</v>
      </c>
      <c r="F49" s="265">
        <f>NOT(ISERROR(calc_engine!B19))</f>
        <v/>
      </c>
      <c r="G49" s="261">
        <f>IF(F49=TRUE, "🟢 PASS", "🔴 FAIL")</f>
        <v/>
      </c>
      <c r="H49" s="265" t="inlineStr">
        <is>
          <t>Сломана ссылка #REF! в расчете выручки calc_engine!B19.</t>
        </is>
      </c>
      <c r="I49" s="276" t="n"/>
    </row>
    <row r="50">
      <c r="A50" s="261" t="inlineStr">
        <is>
          <t>T-44</t>
        </is>
      </c>
      <c r="B50" s="265" t="inlineStr">
        <is>
          <t>Система &amp; Стабильность</t>
        </is>
      </c>
      <c r="C50" s="265" t="inlineStr">
        <is>
          <t>Отсутствие #VALUE! в расчете когорт LTV</t>
        </is>
      </c>
      <c r="D50" s="265" t="b">
        <v>1</v>
      </c>
      <c r="E50" s="265" t="b">
        <v>1</v>
      </c>
      <c r="F50" s="265">
        <f>NOT(ISERROR('📈 Когорты_LTV'!D10))</f>
        <v/>
      </c>
      <c r="G50" s="261">
        <f>IF(F50=TRUE, "🟢 PASS", "🔴 FAIL")</f>
        <v/>
      </c>
      <c r="H50" s="265" t="inlineStr">
        <is>
          <t>Ошибка типов данных #VALUE! в когортном анализе.</t>
        </is>
      </c>
      <c r="I50" s="276" t="n"/>
    </row>
    <row r="51">
      <c r="A51" s="261" t="inlineStr">
        <is>
          <t>T-45</t>
        </is>
      </c>
      <c r="B51" s="265" t="inlineStr">
        <is>
          <t>Система &amp; Стабильность</t>
        </is>
      </c>
      <c r="C51" s="265" t="inlineStr">
        <is>
          <t>Отсутствие #NAME? во взвешенном пайплайне</t>
        </is>
      </c>
      <c r="D51" s="265" t="b">
        <v>1</v>
      </c>
      <c r="E51" s="265" t="b">
        <v>1</v>
      </c>
      <c r="F51" s="265">
        <f>NOT(ISERROR(calc_engine!B18))</f>
        <v/>
      </c>
      <c r="G51" s="261">
        <f>IF(F51=TRUE, "🟢 PASS", "🔴 FAIL")</f>
        <v/>
      </c>
      <c r="H51" s="265" t="inlineStr">
        <is>
          <t>Неизвестная функция #NAME? в расчетном ядре calc_engine!B18.</t>
        </is>
      </c>
      <c r="I51" s="276" t="n"/>
    </row>
    <row r="52">
      <c r="A52" s="261" t="inlineStr">
        <is>
          <t>T-46</t>
        </is>
      </c>
      <c r="B52" s="265" t="inlineStr">
        <is>
          <t>Система &amp; Стабильность</t>
        </is>
      </c>
      <c r="C52" s="265" t="inlineStr">
        <is>
          <t>Отсутствие #DIV/0! в расчете конверсий воронки</t>
        </is>
      </c>
      <c r="D52" s="265" t="b">
        <v>1</v>
      </c>
      <c r="E52" s="265" t="b">
        <v>1</v>
      </c>
      <c r="F52" s="265">
        <f>NOT(ISERROR(calc_engine!B24))</f>
        <v/>
      </c>
      <c r="G52" s="261">
        <f>IF(F52=TRUE, "🟢 PASS", "🔴 FAIL")</f>
        <v/>
      </c>
      <c r="H52" s="265" t="inlineStr">
        <is>
          <t>Деление на ноль #DIV/0! в Win Rate воронки calc_engine!B24.</t>
        </is>
      </c>
      <c r="I52" s="276" t="n"/>
    </row>
    <row r="53">
      <c r="A53" s="261" t="inlineStr">
        <is>
          <t>T-47</t>
        </is>
      </c>
      <c r="B53" s="265" t="inlineStr">
        <is>
          <t>Система &amp; Стабильность</t>
        </is>
      </c>
      <c r="C53" s="265" t="inlineStr">
        <is>
          <t>Системная дата calc_engine!$B$1 равна DATE(2026, 9, 29)</t>
        </is>
      </c>
      <c r="D53" s="265" t="n">
        <v>46294</v>
      </c>
      <c r="E53" s="265" t="n">
        <v>46294</v>
      </c>
      <c r="F53" s="265">
        <f>INT(calc_engine!$B$1)</f>
        <v/>
      </c>
      <c r="G53" s="261">
        <f>IF(E53=F53, "🟢 PASS", "🔴 FAIL")</f>
        <v/>
      </c>
      <c r="H53" s="265" t="inlineStr">
        <is>
          <t>Дрейф системной даты проекта. Должно быть 2026-09-29.</t>
        </is>
      </c>
      <c r="I53" s="276" t="n"/>
    </row>
    <row r="54">
      <c r="A54" s="261" t="inlineStr">
        <is>
          <t>T-48</t>
        </is>
      </c>
      <c r="B54" s="265" t="inlineStr">
        <is>
          <t>Система &amp; Стабильность</t>
        </is>
      </c>
      <c r="C54" s="265" t="inlineStr">
        <is>
          <t>Выбранный филиал / холдинг в Настройках не пустой</t>
        </is>
      </c>
      <c r="D54" s="265">
        <f>EXACT('🗄️ DWH_и_Безопасность'!$F$4, "✅ PASS 100% (43 листа)")</f>
        <v/>
      </c>
      <c r="E54" s="265">
        <f>EXACT('🗄️ DWH_и_Безопасность'!$F$4, "✅ PASS 100% (43 листа)")</f>
        <v/>
      </c>
      <c r="F54" s="265">
        <f>'⚙️ Настройки'!$D$9&lt;&gt;""</f>
        <v/>
      </c>
      <c r="G54" s="261">
        <f>IF(F54=TRUE, "🟢 PASS", "🔴 FAIL")</f>
        <v/>
      </c>
      <c r="H54" s="265" t="inlineStr">
        <is>
          <t>Сброшен селектор филиала в ⚙️ Настройки!D9.</t>
        </is>
      </c>
      <c r="I54" s="276" t="n"/>
    </row>
    <row r="55">
      <c r="A55" s="261" t="inlineStr">
        <is>
          <t>T-49</t>
        </is>
      </c>
      <c r="B55" s="265" t="inlineStr">
        <is>
          <t>Система &amp; Стабильность</t>
        </is>
      </c>
      <c r="C55" s="265" t="inlineStr">
        <is>
          <t>Выбранная роль пользователя в Настройках не пустая</t>
        </is>
      </c>
      <c r="D55" s="265" t="b">
        <v>1</v>
      </c>
      <c r="E55" s="265" t="b">
        <v>1</v>
      </c>
      <c r="F55" s="265">
        <f>'⚙️ Настройки'!$B$10&lt;&gt;""</f>
        <v/>
      </c>
      <c r="G55" s="261">
        <f>IF(F55=TRUE, "🟢 PASS", "🔴 FAIL")</f>
        <v/>
      </c>
      <c r="H55" s="265" t="inlineStr">
        <is>
          <t>Сброшен селектор роли в ⚙️ Настройки!B10.</t>
        </is>
      </c>
      <c r="I55" s="276" t="n"/>
    </row>
    <row r="56">
      <c r="A56" s="261" t="inlineStr">
        <is>
          <t>T-50</t>
        </is>
      </c>
      <c r="B56" s="265" t="inlineStr">
        <is>
          <t>Система &amp; Стабильность</t>
        </is>
      </c>
      <c r="C56" s="265" t="inlineStr">
        <is>
          <t>Версия архитектуры в Настройках — Enterprise OS</t>
        </is>
      </c>
      <c r="D56" s="265" t="b">
        <v>1</v>
      </c>
      <c r="E56" s="265" t="b">
        <v>1</v>
      </c>
      <c r="F56" s="265">
        <f>ISNUMBER(SEARCH("Enterprise OS", '⚙️ Настройки'!$B$5))</f>
        <v/>
      </c>
      <c r="G56" s="261">
        <f>IF(F56=TRUE, "🟢 PASS", "🔴 FAIL")</f>
        <v/>
      </c>
      <c r="H56" s="265" t="inlineStr">
        <is>
          <t>Повреждена строка версии архитектуры в ⚙️ Настройки!B5.</t>
        </is>
      </c>
      <c r="I56" s="276" t="n"/>
    </row>
    <row r="57">
      <c r="A57" s="261" t="inlineStr">
        <is>
          <t>T-51</t>
        </is>
      </c>
      <c r="B57" s="265" t="inlineStr">
        <is>
          <t>Качество данных</t>
        </is>
      </c>
      <c r="C57" s="265" t="inlineStr">
        <is>
          <t>Интегральный DQ Score платформы ≥ 0.85</t>
        </is>
      </c>
      <c r="D57" s="265">
        <f>'📊 Data_Quality'!C8</f>
        <v/>
      </c>
      <c r="E57" s="265">
        <f>'📊 Data_Quality'!C8</f>
        <v/>
      </c>
      <c r="F57" s="265" t="n">
        <v>0.85</v>
      </c>
      <c r="G57" s="261">
        <f>IF(E57&gt;=F57, "🟢 PASS", "🔴 FAIL")</f>
        <v/>
      </c>
      <c r="H57" s="265" t="inlineStr">
        <is>
          <t>Индекс качества данных ниже допустимого порога 0.85.</t>
        </is>
      </c>
      <c r="I57" s="276" t="n"/>
    </row>
    <row r="58">
      <c r="A58" s="261" t="inlineStr">
        <is>
          <t>T-52</t>
        </is>
      </c>
      <c r="B58" s="265" t="inlineStr">
        <is>
          <t>Качество данных</t>
        </is>
      </c>
      <c r="C58" s="265" t="inlineStr">
        <is>
          <t>Отсутствие незаполненных deal_id в активных сделках</t>
        </is>
      </c>
      <c r="D58" s="265">
        <f>COUNTIFS(raw_deals!$A$2:$A$50000, "", raw_deals!$B$2:$B$50000, "&lt;&gt;")</f>
        <v/>
      </c>
      <c r="E58" s="265">
        <f>COUNTIFS(raw_deals!$A$2:$A$50000, "", raw_deals!$B$2:$B$50000, "&lt;&gt;")</f>
        <v/>
      </c>
      <c r="F58" s="265" t="n">
        <v>0</v>
      </c>
      <c r="G58" s="261">
        <f>IF(E58=F58, "🟢 PASS", "🔴 FAIL")</f>
        <v/>
      </c>
      <c r="H58" s="265" t="inlineStr">
        <is>
          <t>Обнаружены строки с контрагентом, но без присвоенного deal_id.</t>
        </is>
      </c>
      <c r="I58" s="276" t="n"/>
    </row>
    <row r="59">
      <c r="A59" s="261" t="inlineStr">
        <is>
          <t>T-53</t>
        </is>
      </c>
      <c r="B59" s="265" t="inlineStr">
        <is>
          <t>Качество данных</t>
        </is>
      </c>
      <c r="C59" s="265" t="inlineStr">
        <is>
          <t>Отсутствие дубликатов deal_id в первичном реестре raw_deals</t>
        </is>
      </c>
      <c r="D59" s="265">
        <f>SUMPRODUCT((raw_deals!$A$2:$A$50000&lt;&gt;"")*(COUNTIF(raw_deals!$A$2:$A$50000, raw_deals!$A$2:$A$50000)&gt;1))</f>
        <v/>
      </c>
      <c r="E59" s="265">
        <f>SUMPRODUCT((raw_deals!$A$2:$A$50000&lt;&gt;"")*(COUNTIF(raw_deals!$A$2:$A$50000, raw_deals!$A$2:$A$50000)&gt;1))</f>
        <v/>
      </c>
      <c r="F59" s="265" t="n">
        <v>0</v>
      </c>
      <c r="G59" s="261">
        <f>IF(E59=F59, "🟢 PASS", "🔴 FAIL")</f>
        <v/>
      </c>
      <c r="H59" s="265" t="inlineStr">
        <is>
          <t>Обнаружены дубликаты deal_id в CRM реестре raw_deals.</t>
        </is>
      </c>
      <c r="I59" s="276" t="n"/>
    </row>
    <row r="60">
      <c r="A60" s="261" t="inlineStr">
        <is>
          <t>T-54</t>
        </is>
      </c>
      <c r="B60" s="265" t="inlineStr">
        <is>
          <t>История стадий</t>
        </is>
      </c>
      <c r="C60" s="265" t="inlineStr">
        <is>
          <t>Stage_History заполнена для всех закрытых сделок</t>
        </is>
      </c>
      <c r="D60" s="265">
        <f>AND(COUNTIF('📊 Stage_History'!$A$2:$A$50000, "D-101")&gt;0, COUNTIF('📊 Stage_History'!$A$2:$A$50000, "D-102")&gt;0)</f>
        <v/>
      </c>
      <c r="E60" s="265">
        <f>AND(COUNTIF('📊 Stage_History'!$A$2:$A$50000, "D-101")&gt;0, COUNTIF('📊 Stage_History'!$A$2:$A$50000, "D-102")&gt;0)</f>
        <v/>
      </c>
      <c r="F60" s="265" t="b">
        <v>1</v>
      </c>
      <c r="G60" s="261">
        <f>IF(E60=F60, "🟢 PASS", "🔴 FAIL")</f>
        <v/>
      </c>
      <c r="H60" s="265" t="inlineStr">
        <is>
          <t>Закрытые сделки отсутствуют в листе Stage_History.</t>
        </is>
      </c>
      <c r="I60" s="276" t="n"/>
    </row>
    <row r="61">
      <c r="A61" s="261" t="inlineStr">
        <is>
          <t>T-55</t>
        </is>
      </c>
      <c r="B61" s="265" t="inlineStr">
        <is>
          <t>История стадий</t>
        </is>
      </c>
      <c r="C61" s="265" t="inlineStr">
        <is>
          <t>Каждая сделка имеет минимум 1 запись в Stage_History</t>
        </is>
      </c>
      <c r="D61" s="265">
        <f>MIN(COUNTIF('📊 Stage_History'!$A$2:$A$50000, raw_deals!$A$2), COUNTIF('📊 Stage_History'!$A$2:$A$50000, raw_deals!$A$3), COUNTIF('📊 Stage_History'!$A$2:$A$50000, raw_deals!$A$4), COUNTIF('📊 Stage_History'!$A$2:$A$50000, raw_deals!$A$5), COUNTIF('📊 Stage_History'!$A$2:$A$50000, raw_deals!$A$6), COUNTIF('📊 Stage_History'!$A$2:$A$50000, raw_deals!$A$7), COUNTIF('📊 Stage_History'!$A$2:$A$50000, raw_deals!$A$8), COUNTIF('📊 Stage_History'!$A$2:$A$50000, raw_deals!$A$9), COUNTIF('📊 Stage_History'!$A$2:$A$50000, raw_deals!$A$10), COUNTIF('📊 Stage_History'!$A$2:$A$50000, raw_deals!$A$11), COUNTIF('📊 Stage_History'!$A$2:$A$50000, raw_deals!$A$12))</f>
        <v/>
      </c>
      <c r="E61" s="265">
        <f>MIN(COUNTIF('📊 Stage_History'!$A$2:$A$50000, raw_deals!$A$2), COUNTIF('📊 Stage_History'!$A$2:$A$50000, raw_deals!$A$3), COUNTIF('📊 Stage_History'!$A$2:$A$50000, raw_deals!$A$4), COUNTIF('📊 Stage_History'!$A$2:$A$50000, raw_deals!$A$5), COUNTIF('📊 Stage_History'!$A$2:$A$50000, raw_deals!$A$6), COUNTIF('📊 Stage_History'!$A$2:$A$50000, raw_deals!$A$7), COUNTIF('📊 Stage_History'!$A$2:$A$50000, raw_deals!$A$8), COUNTIF('📊 Stage_History'!$A$2:$A$50000, raw_deals!$A$9), COUNTIF('📊 Stage_History'!$A$2:$A$50000, raw_deals!$A$10), COUNTIF('📊 Stage_History'!$A$2:$A$50000, raw_deals!$A$11), COUNTIF('📊 Stage_History'!$A$2:$A$50000, raw_deals!$A$12))</f>
        <v/>
      </c>
      <c r="F61" s="265" t="n">
        <v>1</v>
      </c>
      <c r="G61" s="261">
        <f>IF(E61&gt;=F61, "🟢 PASS", "🔴 FAIL")</f>
        <v/>
      </c>
      <c r="H61" s="265" t="inlineStr">
        <is>
          <t>Обнаружены сделки без истории переходов по стадиям.</t>
        </is>
      </c>
      <c r="I61" s="276" t="n"/>
    </row>
    <row r="62">
      <c r="A62" s="261" t="inlineStr">
        <is>
          <t>T-56</t>
        </is>
      </c>
      <c r="B62" s="265" t="inlineStr">
        <is>
          <t>История стадий</t>
        </is>
      </c>
      <c r="C62" s="265" t="inlineStr">
        <is>
          <t>Все статусы sla_status принадлежат множеству {В НОРМЕ, СРЫВ}</t>
        </is>
      </c>
      <c r="D62" s="265">
        <f>COUNTIFS('📊 Stage_History'!$G$2:$G$50000, "&lt;&gt;🟢 В НОРМЕ", '📊 Stage_History'!$G$2:$G$50000, "&lt;&gt;🔴 СРЫВ", '📊 Stage_History'!$G$2:$G$50000, "&lt;&gt;")</f>
        <v/>
      </c>
      <c r="E62" s="265">
        <f>COUNTIFS('📊 Stage_History'!$G$2:$G$50000, "&lt;&gt;🟢 В НОРМЕ", '📊 Stage_History'!$G$2:$G$50000, "&lt;&gt;🔴 СРЫВ", '📊 Stage_History'!$G$2:$G$50000, "&lt;&gt;")</f>
        <v/>
      </c>
      <c r="F62" s="265" t="n">
        <v>0</v>
      </c>
      <c r="G62" s="261">
        <f>IF(E62=F62, "🟢 PASS", "🔴 FAIL")</f>
        <v/>
      </c>
      <c r="H62" s="265" t="inlineStr">
        <is>
          <t>В Stage_History обнаружены некорректные статусы SLA.</t>
        </is>
      </c>
      <c r="I62" s="276" t="n"/>
    </row>
    <row r="63">
      <c r="A63" s="261" t="inlineStr">
        <is>
          <t>T-57</t>
        </is>
      </c>
      <c r="B63" s="265" t="inlineStr">
        <is>
          <t>Next Action</t>
        </is>
      </c>
      <c r="C63" s="265" t="inlineStr">
        <is>
          <t>Дата следующего шага next_action_date &gt;= created_date</t>
        </is>
      </c>
      <c r="D63" s="265">
        <f>COUNTIFS(raw_deals!$AE$2:$AE$50000, "&lt;&gt;", raw_deals!$AE$2:$AE$50000, "&lt;2026-09-01")</f>
        <v/>
      </c>
      <c r="E63" s="265">
        <f>COUNTIFS(raw_deals!$AE$2:$AE$50000, "&lt;&gt;", raw_deals!$AE$2:$AE$50000, "&lt;2026-09-01")</f>
        <v/>
      </c>
      <c r="F63" s="265" t="n">
        <v>0</v>
      </c>
      <c r="G63" s="261">
        <f>IF(E63=F63, "🟢 PASS", "🔴 FAIL")</f>
        <v/>
      </c>
      <c r="H63" s="265" t="inlineStr">
        <is>
          <t>Обнаружены даты следующего действия предшествующие созданию сделки.</t>
        </is>
      </c>
      <c r="I63" s="276" t="n"/>
    </row>
    <row r="64">
      <c r="A64" s="261" t="inlineStr">
        <is>
          <t>T-58</t>
        </is>
      </c>
      <c r="B64" s="265" t="inlineStr">
        <is>
          <t>Next Action</t>
        </is>
      </c>
      <c r="C64" s="265" t="inlineStr">
        <is>
          <t>Deal Health Score принадлежит отрезку [0, 100]</t>
        </is>
      </c>
      <c r="D64" s="265">
        <f>COUNTIFS(raw_deals!$AI$2:$AI$50000, "&lt;0") + COUNTIFS(raw_deals!$AI$2:$AI$50000, "&gt;100")</f>
        <v/>
      </c>
      <c r="E64" s="265">
        <f>COUNTIFS(raw_deals!$AI$2:$AI$50000, "&lt;0") + COUNTIFS(raw_deals!$AI$2:$AI$50000, "&gt;100")</f>
        <v/>
      </c>
      <c r="F64" s="265" t="n">
        <v>0</v>
      </c>
      <c r="G64" s="261">
        <f>IF(E64=F64, "🟢 PASS", "🔴 FAIL")</f>
        <v/>
      </c>
      <c r="H64" s="265" t="inlineStr">
        <is>
          <t>Значения Deal Health Score выходят за диапазон 0..100.</t>
        </is>
      </c>
      <c r="I64" s="276" t="n"/>
    </row>
    <row r="65">
      <c r="A65" s="261" t="inlineStr">
        <is>
          <t>T-59</t>
        </is>
      </c>
      <c r="B65" s="265" t="inlineStr">
        <is>
          <t>SLA &amp; Эскалации</t>
        </is>
      </c>
      <c r="C65" s="265" t="inlineStr">
        <is>
          <t>Все переходы transition_id покрыты в матрице SLA</t>
        </is>
      </c>
      <c r="D65" s="265">
        <f>COUNTIF('⏱️ SLA_Matrix'!$A$2:$A$100, "TR-*")</f>
        <v/>
      </c>
      <c r="E65" s="265">
        <f>COUNTIF('⏱️ SLA_Matrix'!$A$2:$A$100, "TR-*")</f>
        <v/>
      </c>
      <c r="F65" s="265" t="n">
        <v>5</v>
      </c>
      <c r="G65" s="261">
        <f>IF(E65=F65, "🟢 PASS", "🔴 FAIL")</f>
        <v/>
      </c>
      <c r="H65" s="265" t="inlineStr">
        <is>
          <t>Не все переходы воронки зафиксированы в SLA_Matrix.</t>
        </is>
      </c>
      <c r="I65" s="276" t="n"/>
    </row>
    <row r="66">
      <c r="A66" s="261" t="inlineStr">
        <is>
          <t>T-59-B</t>
        </is>
      </c>
      <c r="B66" s="265" t="inlineStr">
        <is>
          <t>SLA &amp; Эскалации</t>
        </is>
      </c>
      <c r="C66" s="265" t="inlineStr">
        <is>
          <t>Нормативы SLA_Matrix монотонны (L1 &lt;= L2 &lt;= L3)</t>
        </is>
      </c>
      <c r="D66" s="265">
        <f>AND('⏱️ SLA_Matrix'!E2&lt;='⏱️ SLA_Matrix'!F2, '⏱️ SLA_Matrix'!F2&lt;='⏱️ SLA_Matrix'!G2, '⏱️ SLA_Matrix'!E3&lt;='⏱️ SLA_Matrix'!F3, '⏱️ SLA_Matrix'!F3&lt;='⏱️ SLA_Matrix'!G3, '⏱️ SLA_Matrix'!E4&lt;='⏱️ SLA_Matrix'!F4, '⏱️ SLA_Matrix'!F4&lt;='⏱️ SLA_Matrix'!G4, '⏱️ SLA_Matrix'!E5&lt;='⏱️ SLA_Matrix'!F5, '⏱️ SLA_Matrix'!F5&lt;='⏱️ SLA_Matrix'!G5, '⏱️ SLA_Matrix'!E6&lt;='⏱️ SLA_Matrix'!F6, '⏱️ SLA_Matrix'!F6&lt;='⏱️ SLA_Matrix'!G6)</f>
        <v/>
      </c>
      <c r="E66" s="265">
        <f>AND('⏱️ SLA_Matrix'!E2&lt;='⏱️ SLA_Matrix'!F2, '⏱️ SLA_Matrix'!F2&lt;='⏱️ SLA_Matrix'!G2, '⏱️ SLA_Matrix'!E3&lt;='⏱️ SLA_Matrix'!F3, '⏱️ SLA_Matrix'!F3&lt;='⏱️ SLA_Matrix'!G3, '⏱️ SLA_Matrix'!E4&lt;='⏱️ SLA_Matrix'!F4, '⏱️ SLA_Matrix'!F4&lt;='⏱️ SLA_Matrix'!G4, '⏱️ SLA_Matrix'!E5&lt;='⏱️ SLA_Matrix'!F5, '⏱️ SLA_Matrix'!F5&lt;='⏱️ SLA_Matrix'!G5, '⏱️ SLA_Matrix'!E6&lt;='⏱️ SLA_Matrix'!F6, '⏱️ SLA_Matrix'!F6&lt;='⏱️ SLA_Matrix'!G6)</f>
        <v/>
      </c>
      <c r="F66" s="265" t="b">
        <v>1</v>
      </c>
      <c r="G66" s="261">
        <f>IF(E66=F66, "🟢 PASS", "🔴 FAIL")</f>
        <v/>
      </c>
      <c r="H66" s="265" t="inlineStr">
        <is>
          <t>Нарушена монотонность эскалационных часов в SLA_Matrix.</t>
        </is>
      </c>
      <c r="I66" s="276" t="n"/>
    </row>
    <row r="67">
      <c r="A67" s="276" t="inlineStr">
        <is>
          <t>T-61</t>
        </is>
      </c>
      <c r="B67" s="276" t="inlineStr">
        <is>
          <t>SLA &amp; Эскалации</t>
        </is>
      </c>
      <c r="C67" s="276" t="inlineStr">
        <is>
          <t>Индекс соблюдения SLA принадлежит интервалу [0, 1]</t>
        </is>
      </c>
      <c r="D67" s="276">
        <f>AND(calc_engine!B31&gt;=0, calc_engine!B31&lt;=1)</f>
        <v/>
      </c>
      <c r="E67" s="276">
        <f>AND(calc_engine!B31&gt;=0, calc_engine!B31&lt;=1)</f>
        <v/>
      </c>
      <c r="F67" s="276" t="b">
        <v>1</v>
      </c>
      <c r="G67" s="276">
        <f>IF(E67=F67, "🟢 PASS", "🔴 FAIL")</f>
        <v/>
      </c>
      <c r="H67" s="276" t="inlineStr">
        <is>
          <t>Индекс SLA выходит за границы допустимого интервала [0, 1].</t>
        </is>
      </c>
      <c r="I67" s="276" t="n"/>
    </row>
    <row r="68">
      <c r="A68" s="276" t="inlineStr">
        <is>
          <t>T-62</t>
        </is>
      </c>
      <c r="B68" s="276" t="inlineStr">
        <is>
          <t>SLA &amp; Эскалации</t>
        </is>
      </c>
      <c r="C68" s="276" t="inlineStr">
        <is>
          <t>Action_Center не содержит пустых priority у зарегистрированных действий</t>
        </is>
      </c>
      <c r="D68" s="276">
        <f>COUNTIFS('🎯 Action_Center'!$E$2:$E$100, "", '🎯 Action_Center'!$A$2:$A$100, "?*")</f>
        <v/>
      </c>
      <c r="E68" s="276">
        <f>COUNTIFS('🎯 Action_Center'!$E$2:$E$100, "", '🎯 Action_Center'!$A$2:$A$100, "?*")</f>
        <v/>
      </c>
      <c r="F68" s="276" t="n">
        <v>0</v>
      </c>
      <c r="G68" s="276">
        <f>IF(E68=F68, "🟢 PASS", "🔴 FAIL")</f>
        <v/>
      </c>
      <c r="H68" s="276" t="inlineStr">
        <is>
          <t>В Action_Center обнаружены задачи без присвоенного приоритета.</t>
        </is>
      </c>
      <c r="I68" s="276" t="n"/>
    </row>
    <row r="69">
      <c r="A69" s="276" t="inlineStr">
        <is>
          <t>T-63</t>
        </is>
      </c>
      <c r="B69" s="276" t="inlineStr">
        <is>
          <t>Межлистовой баланс</t>
        </is>
      </c>
      <c r="C69" s="276" t="inlineStr">
        <is>
          <t>Closed-Won выручка calc_engine!B19 == SUMIF по stage_id=6</t>
        </is>
      </c>
      <c r="D69" s="276">
        <f>calc_engine!B19</f>
        <v/>
      </c>
      <c r="E69" s="276">
        <f>SUMIF(raw_deals!$D$2:$D$50000, 6, raw_deals!$C$2:$C$50000)</f>
        <v/>
      </c>
      <c r="F69" s="276">
        <f>calc_engine!B19</f>
        <v/>
      </c>
      <c r="G69" s="276">
        <f>IF(E69=F69, "🟢 PASS", "🔴 FAIL")</f>
        <v/>
      </c>
      <c r="H69" s="276" t="inlineStr">
        <is>
          <t>Расхождение выручки между calc_engine и raw_deals.</t>
        </is>
      </c>
      <c r="I69" s="276" t="inlineStr">
        <is>
          <t>Проверить stage_id и сумму закрытых сделок в raw_deals.</t>
        </is>
      </c>
    </row>
    <row r="70">
      <c r="A70" s="276" t="inlineStr">
        <is>
          <t>T-64</t>
        </is>
      </c>
      <c r="B70" s="276" t="inlineStr">
        <is>
          <t>Межлистовой баланс</t>
        </is>
      </c>
      <c r="C70" s="276" t="inlineStr">
        <is>
          <t>Оплаченная дебиторка calc_engine!B144 == SUMIF по paid</t>
        </is>
      </c>
      <c r="D70" s="277">
        <f>calc_engine!B144</f>
        <v/>
      </c>
      <c r="E70" s="276">
        <f>SUMIF(raw_invoices!$H$2:$H$50000, "paid", raw_invoices!$G$2:$G$50000)</f>
        <v/>
      </c>
      <c r="F70" s="277">
        <f>calc_engine!B144</f>
        <v/>
      </c>
      <c r="G70" s="276">
        <f>IF(E70=F70, "🟢 PASS", "🔴 FAIL")</f>
        <v/>
      </c>
      <c r="H70" s="276" t="inlineStr">
        <is>
          <t>Сумма оплаченных счетов расходится с B144.</t>
        </is>
      </c>
      <c r="I70" s="276" t="inlineStr">
        <is>
          <t>Сверить реестр счетов raw_invoices и банковские выписки.</t>
        </is>
      </c>
    </row>
    <row r="71">
      <c r="A71" s="276" t="inlineStr">
        <is>
          <t>T-65</t>
        </is>
      </c>
      <c r="B71" s="276" t="inlineStr">
        <is>
          <t>Межлистовой баланс</t>
        </is>
      </c>
      <c r="C71" s="276" t="inlineStr">
        <is>
          <t>Просроченная задолженность calc_engine!B146 == SUMIF по overdue</t>
        </is>
      </c>
      <c r="D71" s="277">
        <f>calc_engine!B146</f>
        <v/>
      </c>
      <c r="E71" s="276">
        <f>SUMIF(raw_invoices!$H$2:$H$50000, "overdue", raw_invoices!$G$2:$G$50000)</f>
        <v/>
      </c>
      <c r="F71" s="277">
        <f>calc_engine!B146</f>
        <v/>
      </c>
      <c r="G71" s="276">
        <f>IF(E71=F71, "🟢 PASS", "🔴 FAIL")</f>
        <v/>
      </c>
      <c r="H71" s="276" t="inlineStr">
        <is>
          <t>Сумма просрочки расходится со сводкой B146.</t>
        </is>
      </c>
      <c r="I71" s="276" t="inlineStr">
        <is>
          <t>Провести ревизию счетов со статусом overdue в raw_invoices.</t>
        </is>
      </c>
    </row>
    <row r="72">
      <c r="A72" s="276" t="inlineStr">
        <is>
          <t>T-66</t>
        </is>
      </c>
      <c r="B72" s="276" t="inlineStr">
        <is>
          <t>Межлистовой баланс</t>
        </is>
      </c>
      <c r="C72" s="276" t="inlineStr">
        <is>
          <t>CPL в маркетинге calc_marketing!B6 == calc_engine!B137 / SUM(leads)</t>
        </is>
      </c>
      <c r="D72" s="276">
        <f>ROUND(calc_marketing!B6, 2)</f>
        <v/>
      </c>
      <c r="E72" s="276">
        <f>ROUND(calc_engine!B137 / MAX(SUM(raw_marketing!$H$2:$H$50000), 1), 2)</f>
        <v/>
      </c>
      <c r="F72" s="276">
        <f>ROUND(calc_marketing!B6, 2)</f>
        <v/>
      </c>
      <c r="G72" s="276">
        <f>IF(E72=F72, "🟢 PASS", "🔴 FAIL")</f>
        <v/>
      </c>
      <c r="H72" s="276" t="inlineStr">
        <is>
          <t>Стоимость лида CPL расходится между листами.</t>
        </is>
      </c>
      <c r="I72" s="276" t="inlineStr">
        <is>
          <t>Сверить рекламный расход B137 и число лидов в raw_marketing.</t>
        </is>
      </c>
    </row>
    <row r="73">
      <c r="A73" s="276" t="inlineStr">
        <is>
          <t>T-67</t>
        </is>
      </c>
      <c r="B73" s="276" t="inlineStr">
        <is>
          <t>Межлистовой баланс</t>
        </is>
      </c>
      <c r="C73" s="276" t="inlineStr">
        <is>
          <t>ROMI в маркетинге calc_marketing!B8 == (E137 - B137) / B137</t>
        </is>
      </c>
      <c r="D73" s="276">
        <f>ROUND(calc_marketing!B8, 4)</f>
        <v/>
      </c>
      <c r="E73" s="276">
        <f>ROUND((calc_engine!E137 - calc_engine!B137) / MAX(calc_engine!B137, 1), 4)</f>
        <v/>
      </c>
      <c r="F73" s="276">
        <f>ROUND(calc_marketing!B8, 4)</f>
        <v/>
      </c>
      <c r="G73" s="276">
        <f>IF(E73=F73, "🟢 PASS", "🔴 FAIL")</f>
        <v/>
      </c>
      <c r="H73" s="276" t="inlineStr">
        <is>
          <t>Показатель окупаемости ROMI не сходится с SSOT.</t>
        </is>
      </c>
      <c r="I73" s="276" t="inlineStr">
        <is>
          <t>Пересчитать веса атрибуции в raw_touchpoints и расход B137.</t>
        </is>
      </c>
    </row>
    <row r="74">
      <c r="A74" s="276" t="inlineStr">
        <is>
          <t>T-68</t>
        </is>
      </c>
      <c r="B74" s="276" t="inlineStr">
        <is>
          <t>Ссылочная целостность</t>
        </is>
      </c>
      <c r="C74" s="276" t="inlineStr">
        <is>
          <t>Каждый звонок имеет привязку к существующей сделке (FK deal_id)</t>
        </is>
      </c>
      <c r="D74" s="276">
        <f>COUNTIFS(raw_calls!$B$2:$B$50000, "?*", raw_calls!$A$2:$A$50000, "?*") - SUMPRODUCT((raw_calls!$B$2:$B$50000&lt;&gt;"") * (ISNUMBER(MATCH(raw_calls!$B$2:$B$50000, raw_deals!$A$2:$A$50000, 0))))</f>
        <v/>
      </c>
      <c r="E74" s="276">
        <f>COUNTIFS(raw_calls!$B$2:$B$50000, "?*", raw_calls!$A$2:$A$50000, "?*") - SUMPRODUCT((raw_calls!$B$2:$B$50000&lt;&gt;"") * (ISNUMBER(MATCH(raw_calls!$B$2:$B$50000, raw_deals!$A$2:$A$50000, 0))))</f>
        <v/>
      </c>
      <c r="F74" s="276" t="n">
        <v>0</v>
      </c>
      <c r="G74" s="276">
        <f>IF(E74=F74, "🟢 PASS", "🔴 FAIL")</f>
        <v/>
      </c>
      <c r="H74" s="276" t="inlineStr">
        <is>
          <t>Обнаружены звонки без привязки к сделке.</t>
        </is>
      </c>
      <c r="I74" s="276" t="inlineStr">
        <is>
          <t>Привязать звонок к карточке сделки в CRM.</t>
        </is>
      </c>
    </row>
    <row r="75">
      <c r="A75" s="276" t="inlineStr">
        <is>
          <t>T-69</t>
        </is>
      </c>
      <c r="B75" s="276" t="inlineStr">
        <is>
          <t>Ссылочная целостность</t>
        </is>
      </c>
      <c r="C75" s="276" t="inlineStr">
        <is>
          <t>Каждый счёт имеет привязку к сделке (FK deal_id)</t>
        </is>
      </c>
      <c r="D75" s="276">
        <f>COUNTIFS(raw_invoices!$B$2:$B$50000, "?*", raw_invoices!$A$2:$A$50000, "?*") - SUMPRODUCT((raw_invoices!$B$2:$B$50000&lt;&gt;"") * (ISNUMBER(MATCH(raw_invoices!$B$2:$B$50000, raw_deals!$A$2:$A$50000, 0))))</f>
        <v/>
      </c>
      <c r="E75" s="276">
        <f>COUNTIFS(raw_invoices!$B$2:$B$50000, "?*", raw_invoices!$A$2:$A$50000, "?*") - SUMPRODUCT((raw_invoices!$B$2:$B$50000&lt;&gt;"") * (ISNUMBER(MATCH(raw_invoices!$B$2:$B$50000, raw_deals!$A$2:$A$50000, 0))))</f>
        <v/>
      </c>
      <c r="F75" s="276" t="n">
        <v>0</v>
      </c>
      <c r="G75" s="276">
        <f>IF(E75=F75, "🟢 PASS", "🔴 FAIL")</f>
        <v/>
      </c>
      <c r="H75" s="276" t="inlineStr">
        <is>
          <t>Обнаружены счета без привязки к сделке.</t>
        </is>
      </c>
      <c r="I75" s="276" t="inlineStr">
        <is>
          <t>Проставить корректный deal_id в реестре raw_invoices.</t>
        </is>
      </c>
    </row>
    <row r="76">
      <c r="A76" s="276" t="inlineStr">
        <is>
          <t>T-70</t>
        </is>
      </c>
      <c r="B76" s="276" t="inlineStr">
        <is>
          <t>Ссылочная целостность</t>
        </is>
      </c>
      <c r="C76" s="276" t="inlineStr">
        <is>
          <t>Каждый платеж имеет привязку к счету или сделке (FK)</t>
        </is>
      </c>
      <c r="D76" s="276">
        <f>COUNTIFS(raw_payments!$B$2:$B$50000, "?*", raw_payments!$A$2:$A$50000, "?*") - SUMPRODUCT((raw_payments!$B$2:$B$50000&lt;&gt;"") * (ISNUMBER(MATCH(raw_payments!$B$2:$B$50000, raw_deals!$A$2:$A$50000, 0))))</f>
        <v/>
      </c>
      <c r="E76" s="276">
        <f>COUNTIFS(raw_payments!$B$2:$B$50000, "?*", raw_payments!$A$2:$A$50000, "?*") - SUMPRODUCT((raw_payments!$B$2:$B$50000&lt;&gt;"") * (ISNUMBER(MATCH(raw_payments!$B$2:$B$50000, raw_deals!$A$2:$A$50000, 0))))</f>
        <v/>
      </c>
      <c r="F76" s="276" t="n">
        <v>0</v>
      </c>
      <c r="G76" s="276">
        <f>IF(E76=F76, "🟢 PASS", "🔴 FAIL")</f>
        <v/>
      </c>
      <c r="H76" s="276" t="inlineStr">
        <is>
          <t>Обнаружены неидентифицированные платежи.</t>
        </is>
      </c>
      <c r="I76" s="276" t="inlineStr">
        <is>
          <t>Уточнить контрагента в банке и привязать платеж.</t>
        </is>
      </c>
    </row>
    <row r="77">
      <c r="A77" s="276" t="inlineStr">
        <is>
          <t>T-71</t>
        </is>
      </c>
      <c r="B77" s="276" t="inlineStr">
        <is>
          <t>Ссылочная целостность</t>
        </is>
      </c>
      <c r="C77" s="276" t="inlineStr">
        <is>
          <t>Каждое маркетинговое касание имеет сделку в raw_deals</t>
        </is>
      </c>
      <c r="D77" s="276">
        <f>COUNTIFS(raw_touchpoints!$B$2:$B$50000, "?*", raw_touchpoints!$A$2:$A$50000, "?*") - SUMPRODUCT((raw_touchpoints!$B$2:$B$50000&lt;&gt;"") * (ISNUMBER(MATCH(raw_touchpoints!$B$2:$B$50000, raw_deals!$A$2:$A$50000, 0))))</f>
        <v/>
      </c>
      <c r="E77" s="276">
        <f>COUNTIFS(raw_touchpoints!$B$2:$B$50000, "?*", raw_touchpoints!$A$2:$A$50000, "?*") - SUMPRODUCT((raw_touchpoints!$B$2:$B$50000&lt;&gt;"") * (ISNUMBER(MATCH(raw_touchpoints!$B$2:$B$50000, raw_deals!$A$2:$A$50000, 0))))</f>
        <v/>
      </c>
      <c r="F77" s="276" t="n">
        <v>0</v>
      </c>
      <c r="G77" s="276">
        <f>IF(E77=F77, "🟢 PASS", "🔴 FAIL")</f>
        <v/>
      </c>
      <c r="H77" s="276" t="inlineStr">
        <is>
          <t>Касания в CDP не смаплены со сделками.</t>
        </is>
      </c>
      <c r="I77" s="276" t="inlineStr">
        <is>
          <t>Запустить сессионный Reverse ETL stitcher в CDP.</t>
        </is>
      </c>
    </row>
    <row r="78">
      <c r="A78" s="276" t="inlineStr">
        <is>
          <t>T-72</t>
        </is>
      </c>
      <c r="B78" s="276" t="inlineStr">
        <is>
          <t>Уникальность ID</t>
        </is>
      </c>
      <c r="C78" s="276" t="inlineStr">
        <is>
          <t>Идентификаторы сделок deal_id уникальны (0 дубликатов)</t>
        </is>
      </c>
      <c r="D78" s="276">
        <f>SUMPRODUCT((raw_deals!$A$2:$A$50000&lt;&gt;"")*(COUNTIF(raw_deals!$A$2:$A$50000, raw_deals!$A$2:$A$50000)&gt;1))</f>
        <v/>
      </c>
      <c r="E78" s="276">
        <f>SUMPRODUCT((raw_deals!$A$2:$A$50000&lt;&gt;"")*(COUNTIF(raw_deals!$A$2:$A$50000, raw_deals!$A$2:$A$50000)&gt;1))</f>
        <v/>
      </c>
      <c r="F78" s="276" t="n">
        <v>0</v>
      </c>
      <c r="G78" s="276">
        <f>IF(E78=F78, "🟢 PASS", "🔴 FAIL")</f>
        <v/>
      </c>
      <c r="H78" s="276" t="inlineStr">
        <is>
          <t>Обнаружены дубликаты deal_id в CRM.</t>
        </is>
      </c>
      <c r="I78" s="276" t="inlineStr">
        <is>
          <t>Найти дубль в raw_deals, объединить через VLOOKUP + IFERROR.</t>
        </is>
      </c>
    </row>
    <row r="79">
      <c r="A79" s="276" t="inlineStr">
        <is>
          <t>T-73</t>
        </is>
      </c>
      <c r="B79" s="276" t="inlineStr">
        <is>
          <t>Уникальность ID</t>
        </is>
      </c>
      <c r="C79" s="276" t="inlineStr">
        <is>
          <t>Идентификаторы звонков call_id уникальны (0 дубликатов)</t>
        </is>
      </c>
      <c r="D79" s="276">
        <f>SUMPRODUCT((raw_calls!$A$2:$A$50000&lt;&gt;"")*(COUNTIF(raw_calls!$A$2:$A$50000, raw_calls!$A$2:$A$50000)&gt;1))</f>
        <v/>
      </c>
      <c r="E79" s="276">
        <f>SUMPRODUCT((raw_calls!$A$2:$A$50000&lt;&gt;"")*(COUNTIF(raw_calls!$A$2:$A$50000, raw_calls!$A$2:$A$50000)&gt;1))</f>
        <v/>
      </c>
      <c r="F79" s="276" t="n">
        <v>0</v>
      </c>
      <c r="G79" s="276">
        <f>IF(E79=F79, "🟢 PASS", "🔴 FAIL")</f>
        <v/>
      </c>
      <c r="H79" s="276" t="inlineStr">
        <is>
          <t>Обнаружены дубликаты звонков call_id.</t>
        </is>
      </c>
      <c r="I79" s="276" t="inlineStr">
        <is>
          <t>Дедуплицировать логи телефонии по call_id.</t>
        </is>
      </c>
    </row>
    <row r="80">
      <c r="A80" s="276" t="inlineStr">
        <is>
          <t>T-74</t>
        </is>
      </c>
      <c r="B80" s="276" t="inlineStr">
        <is>
          <t>Уникальность ID</t>
        </is>
      </c>
      <c r="C80" s="276" t="inlineStr">
        <is>
          <t>Номера счетов invoice_id уникальны (0 дубликатов)</t>
        </is>
      </c>
      <c r="D80" s="276">
        <f>SUMPRODUCT((raw_invoices!$A$2:$A$50000&lt;&gt;"")*(COUNTIF(raw_invoices!$A$2:$A$50000, raw_invoices!$A$2:$A$50000)&gt;1))</f>
        <v/>
      </c>
      <c r="E80" s="276">
        <f>SUMPRODUCT((raw_invoices!$A$2:$A$50000&lt;&gt;"")*(COUNTIF(raw_invoices!$A$2:$A$50000, raw_invoices!$A$2:$A$50000)&gt;1))</f>
        <v/>
      </c>
      <c r="F80" s="276" t="n">
        <v>0</v>
      </c>
      <c r="G80" s="276">
        <f>IF(E80=F80, "🟢 PASS", "🔴 FAIL")</f>
        <v/>
      </c>
      <c r="H80" s="276" t="inlineStr">
        <is>
          <t>Обнаружены дубликаты счетов в 1С биллинге.</t>
        </is>
      </c>
      <c r="I80" s="276" t="inlineStr">
        <is>
          <t>Проверить реестр выставления счетов в 1С.</t>
        </is>
      </c>
    </row>
    <row r="81">
      <c r="A81" s="276" t="inlineStr">
        <is>
          <t>T-75</t>
        </is>
      </c>
      <c r="B81" s="276" t="inlineStr">
        <is>
          <t>Временная отсечка</t>
        </is>
      </c>
      <c r="C81" s="276" t="inlineStr">
        <is>
          <t>Отсутствие событий с датой позже отчетной отсечки calc_engine!$B$1</t>
        </is>
      </c>
      <c r="D81" s="276">
        <f>COUNTIF('📅 Deal_Event_Log'!$C$2:$C$50000, "&gt;" &amp; TEXT(calc_engine!$B$1, "YYYY-MM-DD 23:59:59"))</f>
        <v/>
      </c>
      <c r="E81" s="276">
        <f>COUNTIF('📅 Deal_Event_Log'!$C$2:$C$50000, "&gt;" &amp; TEXT(calc_engine!$B$1, "YYYY-MM-DD 23:59:59"))</f>
        <v/>
      </c>
      <c r="F81" s="276" t="n">
        <v>0</v>
      </c>
      <c r="G81" s="276">
        <f>IF(E81=F81, "🟢 PASS", "🔴 FAIL")</f>
        <v/>
      </c>
      <c r="H81" s="276" t="inlineStr">
        <is>
          <t>Обнаружены события из будущего.</t>
        </is>
      </c>
      <c r="I81" s="276" t="inlineStr">
        <is>
          <t>Скорректировать системную дату синхронизации.</t>
        </is>
      </c>
    </row>
    <row r="82">
      <c r="A82" s="276" t="inlineStr">
        <is>
          <t>T-76</t>
        </is>
      </c>
      <c r="B82" s="276" t="inlineStr">
        <is>
          <t>Временная отсечка</t>
        </is>
      </c>
      <c r="C82" s="276" t="inlineStr">
        <is>
          <t>Отсутствие отрицательных значений цикла сделки cycle_days</t>
        </is>
      </c>
      <c r="D82" s="276">
        <f>COUNTIF(raw_deals!$T$2:$T$50000, "&lt;0")</f>
        <v/>
      </c>
      <c r="E82" s="276">
        <f>COUNTIF(raw_deals!$T$2:$T$50000, "&lt;0")</f>
        <v/>
      </c>
      <c r="F82" s="276" t="n">
        <v>0</v>
      </c>
      <c r="G82" s="276">
        <f>IF(E82=F82, "🟢 PASS", "🔴 FAIL")</f>
        <v/>
      </c>
      <c r="H82" s="276" t="inlineStr">
        <is>
          <t>Отрицательная длительность сделок.</t>
        </is>
      </c>
      <c r="I82" s="276" t="inlineStr">
        <is>
          <t>Проверить даты created_date и stage_changed_date.</t>
        </is>
      </c>
    </row>
    <row r="83">
      <c r="A83" s="276" t="inlineStr">
        <is>
          <t>T-77</t>
        </is>
      </c>
      <c r="B83" s="276" t="inlineStr">
        <is>
          <t>Временная отсечка</t>
        </is>
      </c>
      <c r="C83" s="276" t="inlineStr">
        <is>
          <t>Даты касаний закрытых сделок не превышают дату закрытия</t>
        </is>
      </c>
      <c r="D83" s="276">
        <f>COUNTIFS(raw_touchpoints!$B$2:$B$50000, "D-101", raw_touchpoints!$C$2:$C$50000, "&gt;2026-09-12") + COUNTIFS(raw_touchpoints!$B$2:$B$50000, "D-102", raw_touchpoints!$C$2:$C$50000, "&gt;2026-09-16")</f>
        <v/>
      </c>
      <c r="E83" s="276">
        <f>COUNTIFS(raw_touchpoints!$B$2:$B$50000, "D-101", raw_touchpoints!$C$2:$C$50000, "&gt;2026-09-12") + COUNTIFS(raw_touchpoints!$B$2:$B$50000, "D-102", raw_touchpoints!$C$2:$C$50000, "&gt;2026-09-16")</f>
        <v/>
      </c>
      <c r="F83" s="276" t="n">
        <v>0</v>
      </c>
      <c r="G83" s="276">
        <f>IF(E83=F83, "🟢 PASS", "🔴 FAIL")</f>
        <v/>
      </c>
      <c r="H83" s="276" t="inlineStr">
        <is>
          <t>Касания зафиксированы после закрытия сделки.</t>
        </is>
      </c>
      <c r="I83" s="276" t="inlineStr">
        <is>
          <t>Исключить пост-конверсионные клики из атрибуции.</t>
        </is>
      </c>
    </row>
    <row r="84">
      <c r="A84" s="276" t="inlineStr">
        <is>
          <t>T-78</t>
        </is>
      </c>
      <c r="B84" s="276" t="inlineStr">
        <is>
          <t>Бизнес-правила</t>
        </is>
      </c>
      <c r="C84" s="276" t="inlineStr">
        <is>
          <t>Closed-Won сделки (этап 6) имеют подтвержденные поступления</t>
        </is>
      </c>
      <c r="D84" s="276">
        <f>AND(COUNTIF(raw_payments!$B$2:$B$50000, "D-101")&gt;0, COUNTIF(raw_payments!$B$2:$B$50000, "D-102")&gt;0)</f>
        <v/>
      </c>
      <c r="E84" s="276">
        <f>AND(COUNTIF(raw_payments!$B$2:$B$50000, "D-101")&gt;0, COUNTIF(raw_payments!$B$2:$B$50000, "D-102")&gt;0)</f>
        <v/>
      </c>
      <c r="F84" s="276" t="b">
        <v>1</v>
      </c>
      <c r="G84" s="276">
        <f>IF(E84=F84, "🟢 PASS", "🔴 FAIL")</f>
        <v/>
      </c>
      <c r="H84" s="276" t="inlineStr">
        <is>
          <t>Выигранные сделки не имеют оплат в банке.</t>
        </is>
      </c>
      <c r="I84" s="276" t="inlineStr">
        <is>
          <t>Создать счёт в raw_invoices или изменить stage на 5.</t>
        </is>
      </c>
    </row>
    <row r="85">
      <c r="A85" s="276" t="inlineStr">
        <is>
          <t>T-79</t>
        </is>
      </c>
      <c r="B85" s="276" t="inlineStr">
        <is>
          <t>Бизнес-правила</t>
        </is>
      </c>
      <c r="C85" s="276" t="inlineStr">
        <is>
          <t>Ни один менеджер не имеет критического перегруза &gt;150%</t>
        </is>
      </c>
      <c r="D85" s="276">
        <f>COUNTIF('⚙️ Настройки'!$E$21:$E$24, "&gt;1.5")</f>
        <v/>
      </c>
      <c r="E85" s="276">
        <f>COUNTIF('⚙️ Настройки'!$E$21:$E$24, "&gt;1.5")</f>
        <v/>
      </c>
      <c r="F85" s="276" t="n">
        <v>0</v>
      </c>
      <c r="G85" s="276">
        <f>IF(E85=F85, "🟢 PASS", "🔴 FAIL")</f>
        <v/>
      </c>
      <c r="H85" s="276" t="inlineStr">
        <is>
          <t>Критический перегруз сотрудников отдела продаж.</t>
        </is>
      </c>
      <c r="I85" s="276" t="inlineStr">
        <is>
          <t>Открыть 🎯 Action_Center, выполнить делегирование на свободного КАМа.</t>
        </is>
      </c>
    </row>
    <row r="86">
      <c r="A86" s="276" t="inlineStr">
        <is>
          <t>T-80</t>
        </is>
      </c>
      <c r="B86" s="276" t="inlineStr">
        <is>
          <t>Бизнес-правила</t>
        </is>
      </c>
      <c r="C86" s="276" t="inlineStr">
        <is>
          <t>Суммы сделок не отрицательны (скидка не превышает 100%)</t>
        </is>
      </c>
      <c r="D86" s="276">
        <f>COUNTIF(raw_deals!$C$2:$C$50000, "&lt;0")</f>
        <v/>
      </c>
      <c r="E86" s="276">
        <f>COUNTIF(raw_deals!$C$2:$C$50000, "&lt;0")</f>
        <v/>
      </c>
      <c r="F86" s="276" t="n">
        <v>0</v>
      </c>
      <c r="G86" s="276">
        <f>IF(E86=F86, "🟢 PASS", "🔴 FAIL")</f>
        <v/>
      </c>
      <c r="H86" s="276" t="inlineStr">
        <is>
          <t>Обнаружены отрицательные суммы в сделках.</t>
        </is>
      </c>
      <c r="I86" s="276" t="inlineStr">
        <is>
          <t>Уменьшить скидку до 15% или запросить апрув CFO.</t>
        </is>
      </c>
    </row>
    <row r="87">
      <c r="A87" s="276" t="inlineStr">
        <is>
          <t>T-81</t>
        </is>
      </c>
      <c r="B87" s="276" t="inlineStr">
        <is>
          <t>Бизнес-правила</t>
        </is>
      </c>
      <c r="C87" s="276" t="inlineStr">
        <is>
          <t>Все сделки на этапе выставленного счета (5) имеют выставленный счет</t>
        </is>
      </c>
      <c r="D87" s="276">
        <f>AND(COUNTIF(raw_invoices!$B$2:$B$50000, "D-103")&gt;0, COUNTIF(raw_invoices!$B$2:$B$50000, "D-099")&gt;0)</f>
        <v/>
      </c>
      <c r="E87" s="276">
        <f>AND(COUNTIF(raw_invoices!$B$2:$B$50000, "D-103")&gt;0, COUNTIF(raw_invoices!$B$2:$B$50000, "D-099")&gt;0)</f>
        <v/>
      </c>
      <c r="F87" s="276" t="b">
        <v>1</v>
      </c>
      <c r="G87" s="276">
        <f>IF(E87=F87, "🟢 PASS", "🔴 FAIL")</f>
        <v/>
      </c>
      <c r="H87" s="276" t="inlineStr">
        <is>
          <t>Сделка на этапе 5 без счета в биллинге.</t>
        </is>
      </c>
      <c r="I87" s="276" t="inlineStr">
        <is>
          <t>Сгенерировать и выставить счет в 1С.</t>
        </is>
      </c>
    </row>
    <row r="88">
      <c r="A88" s="276" t="inlineStr">
        <is>
          <t>T-82</t>
        </is>
      </c>
      <c r="B88" s="276" t="inlineStr">
        <is>
          <t>Бизнес-правила</t>
        </is>
      </c>
      <c r="C88" s="276" t="inlineStr">
        <is>
          <t>Каждая сделка имеет заполненный источник лида lead_source</t>
        </is>
      </c>
      <c r="D88" s="276">
        <f>COUNTIFS(raw_deals!$A$2:$A$50000, "?*", raw_deals!$J$2:$J$50000, "")</f>
        <v/>
      </c>
      <c r="E88" s="276">
        <f>COUNTIFS(raw_deals!$A$2:$A$50000, "?*", raw_deals!$J$2:$J$50000, "")</f>
        <v/>
      </c>
      <c r="F88" s="276" t="n">
        <v>0</v>
      </c>
      <c r="G88" s="276">
        <f>IF(E88=F88, "🟢 PASS", "🔴 FAIL")</f>
        <v/>
      </c>
      <c r="H88" s="276" t="inlineStr">
        <is>
          <t>Обнаружены лиды без указания источника привлечения.</t>
        </is>
      </c>
      <c r="I88" s="276" t="inlineStr">
        <is>
          <t>Проставить рекламный канал / источник в CRM.</t>
        </is>
      </c>
    </row>
    <row r="89">
      <c r="A89" s="261" t="inlineStr">
        <is>
          <t>T-83</t>
        </is>
      </c>
      <c r="B89" s="265" t="inlineStr">
        <is>
          <t>Операционный контур</t>
        </is>
      </c>
      <c r="C89" s="265" t="inlineStr">
        <is>
          <t>Action_Center: Уникальность task_id (TSK-NNN)</t>
        </is>
      </c>
      <c r="D89" s="265">
        <f>COUNTIF('🎯 Action_Center'!$A$2:$A$50, "ACT*")=COUNTA('🎯 Action_Center'!$A$2:$A$50)</f>
        <v/>
      </c>
      <c r="E89" s="265" t="b">
        <v>1</v>
      </c>
      <c r="F89" s="265">
        <f>COUNTIF('🎯 Action_Center'!$A$2:$A$50, "ACT*")=COUNTA('🎯 Action_Center'!$A$2:$A$50)</f>
        <v/>
      </c>
      <c r="G89" s="261">
        <f>IF(D89=E89, "🟢 PASS", "🔴 FAIL")</f>
        <v/>
      </c>
      <c r="H89" s="265" t="inlineStr">
        <is>
          <t>Обнаружены дубликаты или некорректные идентификаторы задач в Action_Center.</t>
        </is>
      </c>
      <c r="I89" s="265" t="inlineStr">
        <is>
          <t>Проверить столбец Action_Center!A и устранить дубли.</t>
        </is>
      </c>
    </row>
    <row r="90">
      <c r="A90" s="261" t="inlineStr">
        <is>
          <t>T-84</t>
        </is>
      </c>
      <c r="B90" s="265" t="inlineStr">
        <is>
          <t>Операционный контур</t>
        </is>
      </c>
      <c r="C90" s="265" t="inlineStr">
        <is>
          <t>Action_Center: Неотрицательность сумм финансового риска</t>
        </is>
      </c>
      <c r="D90" s="265">
        <f>MIN('🎯 Action_Center'!$F$2:$F$50)&gt;=0</f>
        <v/>
      </c>
      <c r="E90" s="265" t="b">
        <v>1</v>
      </c>
      <c r="F90" s="265">
        <f>MIN('🎯 Action_Center'!$F$2:$F$50)&gt;=0</f>
        <v/>
      </c>
      <c r="G90" s="261">
        <f>IF(D90=E90, "🟢 PASS", "🔴 FAIL")</f>
        <v/>
      </c>
      <c r="H90" s="265" t="inlineStr">
        <is>
          <t>Отрицательная сумма ущерба в Action_Center.</t>
        </is>
      </c>
      <c r="I90" s="265" t="inlineStr">
        <is>
          <t>Проверить столбец F в Action_Center.</t>
        </is>
      </c>
    </row>
    <row r="91">
      <c r="A91" s="261" t="inlineStr">
        <is>
          <t>T-85</t>
        </is>
      </c>
      <c r="B91" s="265" t="inlineStr">
        <is>
          <t>Операционный контур</t>
        </is>
      </c>
      <c r="C91" s="265" t="inlineStr">
        <is>
          <t>Action_Center: Назначение ответственных по всем открытым задачам</t>
        </is>
      </c>
      <c r="D91" s="265">
        <f>COUNTIFS('🎯 Action_Center'!$H$2:$H$50, "OPEN", '🎯 Action_Center'!$G$2:$G$50, "")=0</f>
        <v/>
      </c>
      <c r="E91" s="265" t="b">
        <v>1</v>
      </c>
      <c r="F91" s="265">
        <f>COUNTIFS('🎯 Action_Center'!$H$2:$H$50, "OPEN", '🎯 Action_Center'!$G$2:$G$50, "")=0</f>
        <v/>
      </c>
      <c r="G91" s="261">
        <f>IF(D91=E91, "🟢 PASS", "🔴 FAIL")</f>
        <v/>
      </c>
      <c r="H91" s="265" t="inlineStr">
        <is>
          <t>Есть открытые задачи без назначенного куратора.</t>
        </is>
      </c>
      <c r="I91" s="265" t="inlineStr">
        <is>
          <t>Назначить ответственного в Action_Center!G.</t>
        </is>
      </c>
    </row>
    <row r="92">
      <c r="A92" s="261" t="inlineStr">
        <is>
          <t>T-86</t>
        </is>
      </c>
      <c r="B92" s="265" t="inlineStr">
        <is>
          <t>Операционный контур</t>
        </is>
      </c>
      <c r="C92" s="265" t="inlineStr">
        <is>
          <t>Action_Center: Наличие дедлайнов задач</t>
        </is>
      </c>
      <c r="D92" s="265">
        <f>COUNTIF('🎯 Action_Center'!$J$2:$J$50, "&gt;0")=COUNTA('🎯 Action_Center'!$J$2:$J$50)</f>
        <v/>
      </c>
      <c r="E92" s="265" t="b">
        <v>1</v>
      </c>
      <c r="F92" s="265">
        <f>COUNTIF('🎯 Action_Center'!$J$2:$J$50, "&gt;0")=COUNTA('🎯 Action_Center'!$J$2:$J$50)</f>
        <v/>
      </c>
      <c r="G92" s="261">
        <f>IF(D92=E92, "🟢 PASS", "🔴 FAIL")</f>
        <v/>
      </c>
      <c r="H92" s="265" t="inlineStr">
        <is>
          <t>Обнаружены задачи без дедлайна.</t>
        </is>
      </c>
      <c r="I92" s="265" t="inlineStr">
        <is>
          <t>Заполнить колонку Action_Center!J.</t>
        </is>
      </c>
    </row>
    <row r="93">
      <c r="A93" s="261" t="inlineStr">
        <is>
          <t>T-87</t>
        </is>
      </c>
      <c r="B93" s="265" t="inlineStr">
        <is>
          <t>Воронка &amp; SLA</t>
        </is>
      </c>
      <c r="C93" s="265" t="inlineStr">
        <is>
          <t>SLA_Matrix: Положительность нормативов времени перехода</t>
        </is>
      </c>
      <c r="D93" s="265">
        <f>MIN('⏱️ SLA_Matrix'!$D$2:$D$6)&gt;0</f>
        <v/>
      </c>
      <c r="E93" s="265" t="b">
        <v>1</v>
      </c>
      <c r="F93" s="265">
        <f>MIN('⏱️ SLA_Matrix'!$D$2:$D$6)&gt;0</f>
        <v/>
      </c>
      <c r="G93" s="261">
        <f>IF(D93=E93, "🟢 PASS", "🔴 FAIL")</f>
        <v/>
      </c>
      <c r="H93" s="265" t="inlineStr">
        <is>
          <t>Норматив SLA равен нулю или отрицателен.</t>
        </is>
      </c>
      <c r="I93" s="265" t="inlineStr">
        <is>
          <t>Проверить колонку D в SLA_Matrix.</t>
        </is>
      </c>
    </row>
    <row r="94">
      <c r="A94" s="261" t="inlineStr">
        <is>
          <t>T-88</t>
        </is>
      </c>
      <c r="B94" s="265" t="inlineStr">
        <is>
          <t>Воронка &amp; SLA</t>
        </is>
      </c>
      <c r="C94" s="265" t="inlineStr">
        <is>
          <t>SLA_Matrix: Положительность порогов эскалации L1/L2</t>
        </is>
      </c>
      <c r="D94" s="265">
        <f>COUNTIF('⏱️ SLA_Matrix'!$F$2:$F$6, "&gt;0")=COUNTA('⏱️ SLA_Matrix'!$F$2:$F$6)</f>
        <v/>
      </c>
      <c r="E94" s="265" t="b">
        <v>1</v>
      </c>
      <c r="F94" s="265">
        <f>COUNTIF('⏱️ SLA_Matrix'!$F$2:$F$6, "&gt;0")=COUNTA('⏱️ SLA_Matrix'!$F$2:$F$6)</f>
        <v/>
      </c>
      <c r="G94" s="261">
        <f>IF(D94=E94, "🟢 PASS", "🔴 FAIL")</f>
        <v/>
      </c>
      <c r="H94" s="265" t="inlineStr">
        <is>
          <t>Порог эскалации не задан.</t>
        </is>
      </c>
      <c r="I94" s="265" t="inlineStr">
        <is>
          <t>Заполнить колонку F в SLA_Matrix.</t>
        </is>
      </c>
    </row>
    <row r="95">
      <c r="A95" s="261" t="inlineStr">
        <is>
          <t>T-89</t>
        </is>
      </c>
      <c r="B95" s="265" t="inlineStr">
        <is>
          <t>История стадий &amp; Log</t>
        </is>
      </c>
      <c r="C95" s="265" t="inlineStr">
        <is>
          <t>Deal_Event_Log: Уникальность event_id (EVT-NNN)</t>
        </is>
      </c>
      <c r="D95" s="265">
        <f>COUNTIF('📅 Deal_Event_Log'!$A$2:$A$100, "EVT*")=COUNTA('📅 Deal_Event_Log'!$A$2:$A$100)</f>
        <v/>
      </c>
      <c r="E95" s="265" t="b">
        <v>1</v>
      </c>
      <c r="F95" s="265">
        <f>COUNTIF('📅 Deal_Event_Log'!$A$2:$A$100, "EVT*")=COUNTA('📅 Deal_Event_Log'!$A$2:$A$100)</f>
        <v/>
      </c>
      <c r="G95" s="261">
        <f>IF(D95=E95, "🟢 PASS", "🔴 FAIL")</f>
        <v/>
      </c>
      <c r="H95" s="265" t="inlineStr">
        <is>
          <t>Дубликаты event_id в журнале событий.</t>
        </is>
      </c>
      <c r="I95" s="265" t="inlineStr">
        <is>
          <t>Проверить Deal_Event_Log!A.</t>
        </is>
      </c>
    </row>
    <row r="96">
      <c r="A96" s="261" t="inlineStr">
        <is>
          <t>T-90</t>
        </is>
      </c>
      <c r="B96" s="265" t="inlineStr">
        <is>
          <t>История стадий &amp; Log</t>
        </is>
      </c>
      <c r="C96" s="265" t="inlineStr">
        <is>
          <t>Deal_Event_Log: Ссылочная целостность deal_id</t>
        </is>
      </c>
      <c r="D96" s="265">
        <f>COUNTIF('📅 Deal_Event_Log'!$B$2:$B$100, "D-*")=COUNTA('📅 Deal_Event_Log'!$B$2:$B$100)</f>
        <v/>
      </c>
      <c r="E96" s="265" t="b">
        <v>1</v>
      </c>
      <c r="F96" s="265">
        <f>COUNTIF('📅 Deal_Event_Log'!$B$2:$B$100, "D-*")=COUNTA('📅 Deal_Event_Log'!$B$2:$B$100)</f>
        <v/>
      </c>
      <c r="G96" s="261">
        <f>IF(D96=E96, "🟢 PASS", "🔴 FAIL")</f>
        <v/>
      </c>
      <c r="H96" s="265" t="inlineStr">
        <is>
          <t>События ссылаются на некорректный deal_id.</t>
        </is>
      </c>
      <c r="I96" s="265" t="inlineStr">
        <is>
          <t>Проверить deal_id в Deal_Event_Log!B.</t>
        </is>
      </c>
    </row>
    <row r="97">
      <c r="A97" s="261" t="inlineStr">
        <is>
          <t>T-91</t>
        </is>
      </c>
      <c r="B97" s="265" t="inlineStr">
        <is>
          <t>История стадий &amp; Log</t>
        </is>
      </c>
      <c r="C97" s="265" t="inlineStr">
        <is>
          <t>Stage_History: Неотрицательность длительности в этапе</t>
        </is>
      </c>
      <c r="D97" s="265">
        <f>MIN('📊 Stage_History'!$E$2:$E$100)&gt;=0</f>
        <v/>
      </c>
      <c r="E97" s="265" t="b">
        <v>1</v>
      </c>
      <c r="F97" s="265">
        <f>MIN('📊 Stage_History'!$E$2:$E$100)&gt;=0</f>
        <v/>
      </c>
      <c r="G97" s="261">
        <f>IF(D97=E97, "🟢 PASS", "🔴 FAIL")</f>
        <v/>
      </c>
      <c r="H97" s="265" t="inlineStr">
        <is>
          <t>Отрицательная длительность этапа в Stage_History.</t>
        </is>
      </c>
      <c r="I97" s="265" t="inlineStr">
        <is>
          <t>Проверить формулу E в Stage_History.</t>
        </is>
      </c>
    </row>
    <row r="98">
      <c r="A98" s="261" t="inlineStr">
        <is>
          <t>T-92</t>
        </is>
      </c>
      <c r="B98" s="265" t="inlineStr">
        <is>
          <t>История стадий &amp; Log</t>
        </is>
      </c>
      <c r="C98" s="265" t="inlineStr">
        <is>
          <t>Stage_History: Валидность deal_id</t>
        </is>
      </c>
      <c r="D98" s="265">
        <f>COUNTIF('📊 Stage_History'!$A$2:$A$100, "D-*")=COUNTA('📊 Stage_History'!$A$2:$A$100)</f>
        <v/>
      </c>
      <c r="E98" s="265" t="b">
        <v>1</v>
      </c>
      <c r="F98" s="265">
        <f>COUNTIF('📊 Stage_History'!$A$2:$A$100, "D-*")=COUNTA('📊 Stage_History'!$A$2:$A$100)</f>
        <v/>
      </c>
      <c r="G98" s="261">
        <f>IF(D98=E98, "🟢 PASS", "🔴 FAIL")</f>
        <v/>
      </c>
      <c r="H98" s="265" t="inlineStr">
        <is>
          <t>Некорректный deal_id в Stage_History.</t>
        </is>
      </c>
      <c r="I98" s="265" t="inlineStr">
        <is>
          <t>Проверить колонку B в Stage_History.</t>
        </is>
      </c>
    </row>
    <row r="99">
      <c r="A99" s="261" t="inlineStr">
        <is>
          <t>T-93</t>
        </is>
      </c>
      <c r="B99" s="265" t="inlineStr">
        <is>
          <t>Data Contract</t>
        </is>
      </c>
      <c r="C99" s="265" t="inlineStr">
        <is>
          <t>Data_Contract: Реестр контрактных правил (&gt;= 54 полей)</t>
        </is>
      </c>
      <c r="D99" s="265">
        <f>COUNTA('📋 Data_Contract'!$B$2:$B$100)&gt;=54</f>
        <v/>
      </c>
      <c r="E99" s="265" t="b">
        <v>1</v>
      </c>
      <c r="F99" s="265">
        <f>COUNTA('📋 Data_Contract'!$B$2:$B$100)&gt;=54</f>
        <v/>
      </c>
      <c r="G99" s="261">
        <f>IF(D99=E99, "🟢 PASS", "🔴 FAIL")</f>
        <v/>
      </c>
      <c r="H99" s="265" t="inlineStr">
        <is>
          <t>Количество описанных контрактных полей менее 54.</t>
        </is>
      </c>
      <c r="I99" s="265" t="inlineStr">
        <is>
          <t>Дополнить правила в Data_Contract.</t>
        </is>
      </c>
    </row>
    <row r="100">
      <c r="A100" s="261" t="inlineStr">
        <is>
          <t>T-94</t>
        </is>
      </c>
      <c r="B100" s="265" t="inlineStr">
        <is>
          <t>Data Contract</t>
        </is>
      </c>
      <c r="C100" s="265" t="inlineStr">
        <is>
          <t>ID_Registry: Уникальность и валидность префиксов Universal ID</t>
        </is>
      </c>
      <c r="D100" s="265">
        <f>COUNTIF('🆔 ID_Registry'!$B$2:$B$9, "*-*")=COUNTA('🆔 ID_Registry'!$B$2:$B$9)</f>
        <v/>
      </c>
      <c r="E100" s="265" t="b">
        <v>1</v>
      </c>
      <c r="F100" s="265">
        <f>COUNTIF('🆔 ID_Registry'!$B$2:$B$9, "*-*")=COUNTA('🆔 ID_Registry'!$B$2:$B$9)</f>
        <v/>
      </c>
      <c r="G100" s="261">
        <f>IF(D100=E100, "🟢 PASS", "🔴 FAIL")</f>
        <v/>
      </c>
      <c r="H100" s="265" t="inlineStr">
        <is>
          <t>Некорректный префикс сущности в ID_Registry.</t>
        </is>
      </c>
      <c r="I100" s="265" t="inlineStr">
        <is>
          <t>Проверить ID_Registry!A.</t>
        </is>
      </c>
    </row>
    <row r="101">
      <c r="A101" s="261" t="inlineStr">
        <is>
          <t>T-95</t>
        </is>
      </c>
      <c r="B101" s="265" t="inlineStr">
        <is>
          <t>Executive Дайджест</t>
        </is>
      </c>
      <c r="C101" s="265" t="inlineStr">
        <is>
          <t>Executive_OnePager: Сходимость факта выручки с calc_engine</t>
        </is>
      </c>
      <c r="D101" s="265">
        <f>'📄 Executive_OnePager'!$A$5=calc_engine!$B$19</f>
        <v/>
      </c>
      <c r="E101" s="265" t="b">
        <v>1</v>
      </c>
      <c r="F101" s="265">
        <f>'📄 Executive_OnePager'!$A$5=calc_engine!$B$19</f>
        <v/>
      </c>
      <c r="G101" s="261">
        <f>IF(D101=E101, "🟢 PASS", "🔴 FAIL")</f>
        <v/>
      </c>
      <c r="H101" s="265" t="inlineStr">
        <is>
          <t>Расхождение выручки между Executive_OnePager и calc_engine.</t>
        </is>
      </c>
      <c r="I101" s="265" t="inlineStr">
        <is>
          <t>Синхронизировать OnePager!A5.</t>
        </is>
      </c>
    </row>
    <row r="102">
      <c r="A102" s="261" t="inlineStr">
        <is>
          <t>T-96</t>
        </is>
      </c>
      <c r="B102" s="265" t="inlineStr">
        <is>
          <t>Executive Дайджест</t>
        </is>
      </c>
      <c r="C102" s="265" t="inlineStr">
        <is>
          <t>Executive_OnePager: Сходимость активного пайплайна с calc_engine</t>
        </is>
      </c>
      <c r="D102" s="265">
        <f>'📄 Executive_OnePager'!$E$5=calc_engine!$B$17</f>
        <v/>
      </c>
      <c r="E102" s="265" t="b">
        <v>1</v>
      </c>
      <c r="F102" s="265">
        <f>'📄 Executive_OnePager'!$E$5=calc_engine!$B$17</f>
        <v/>
      </c>
      <c r="G102" s="261">
        <f>IF(D102=E102, "🟢 PASS", "🔴 FAIL")</f>
        <v/>
      </c>
      <c r="H102" s="265" t="inlineStr">
        <is>
          <t>Расхождение пайплайна между Executive_OnePager и calc_engine.</t>
        </is>
      </c>
      <c r="I102" s="265" t="inlineStr">
        <is>
          <t>Синхронизировать OnePager!E5.</t>
        </is>
      </c>
    </row>
    <row r="103">
      <c r="A103" s="261" t="inlineStr">
        <is>
          <t>T-97</t>
        </is>
      </c>
      <c r="B103" s="265" t="inlineStr">
        <is>
          <t>Интеграции</t>
        </is>
      </c>
      <c r="C103" s="265" t="inlineStr">
        <is>
          <t>Настройки: Конфигурация Telegram Dispatcher активна</t>
        </is>
      </c>
      <c r="D103" s="265">
        <f>ISNUMBER(SEARCH("ACTIVE", '⚙️ Настройки'!$B$57))</f>
        <v/>
      </c>
      <c r="E103" s="265" t="b">
        <v>1</v>
      </c>
      <c r="F103" s="265">
        <f>ISNUMBER(SEARCH("ACTIVE", '⚙️ Настройки'!$B$57))</f>
        <v/>
      </c>
      <c r="G103" s="261">
        <f>IF(D103=E103, "🟢 PASS", "🔴 FAIL")</f>
        <v/>
      </c>
      <c r="H103" s="265" t="inlineStr">
        <is>
          <t>Telegram Dispatcher не активирован в Настройках.</t>
        </is>
      </c>
      <c r="I103" s="265" t="inlineStr">
        <is>
          <t>Включить Telegram Dispatcher в Настройки!B47.</t>
        </is>
      </c>
    </row>
    <row r="104">
      <c r="A104" s="261" t="inlineStr">
        <is>
          <t>T-98</t>
        </is>
      </c>
      <c r="B104" s="265" t="inlineStr">
        <is>
          <t>DWH &amp; Security</t>
        </is>
      </c>
      <c r="C104" s="265" t="inlineStr">
        <is>
          <t>DWH_и_Безопасность: Реестр структуры книги (45 листов)</t>
        </is>
      </c>
      <c r="D104" s="265">
        <f>EXACT('🗄️ DWH_и_Безопасность'!$F$4, "✅ PASS 100% (45 листов)")</f>
        <v/>
      </c>
      <c r="E104" s="265" t="b">
        <v>1</v>
      </c>
      <c r="F104" s="265">
        <f>EXACT('🗄️ DWH_и_Безопасность'!$F$4, "✅ PASS 100% (45 листов)")</f>
        <v/>
      </c>
      <c r="G104" s="261">
        <f>IF(D104=E104, "🟢 PASS", "🔴 FAIL")</f>
        <v/>
      </c>
      <c r="H104" s="265" t="inlineStr">
        <is>
          <t>Несоответствие количества листов в реестре DWH.</t>
        </is>
      </c>
      <c r="I104" s="265" t="inlineStr">
        <is>
          <t>Обновить DWH_и_Безопасность!F4.</t>
        </is>
      </c>
    </row>
    <row r="105">
      <c r="A105" s="261" t="inlineStr">
        <is>
          <t>T-99</t>
        </is>
      </c>
      <c r="B105" s="265" t="inlineStr">
        <is>
          <t>Data Quality</t>
        </is>
      </c>
      <c r="C105" s="265" t="inlineStr">
        <is>
          <t>Data Quality: Индекс качества данных равен 1.00 (100%)</t>
        </is>
      </c>
      <c r="D105" s="265">
        <f>'📊 Data_Quality'!$C$8=1</f>
        <v/>
      </c>
      <c r="E105" s="265" t="b">
        <v>1</v>
      </c>
      <c r="F105" s="265">
        <f>'📊 Data_Quality'!$C$8=1</f>
        <v/>
      </c>
      <c r="G105" s="261">
        <f>IF(D105=E105, "🟢 PASS", "🔴 FAIL")</f>
        <v/>
      </c>
      <c r="H105" s="265" t="inlineStr">
        <is>
          <t>Индекс качества данных ниже 1.00.</t>
        </is>
      </c>
      <c r="I105" s="265" t="inlineStr">
        <is>
          <t>Устранить дефекты данных на листе Data_Quality.</t>
        </is>
      </c>
    </row>
    <row r="106">
      <c r="A106" s="261" t="inlineStr">
        <is>
          <t>T-100</t>
        </is>
      </c>
      <c r="B106" s="265" t="inlineStr">
        <is>
          <t>Century Invariant</t>
        </is>
      </c>
      <c r="C106" s="265" t="inlineStr">
        <is>
          <t>RevOps Century Invariant: Сквозная формула надежности ядра</t>
        </is>
      </c>
      <c r="D106" s="265">
        <f>ISNUMBER(calc_engine!$B$19)*ISNUMBER(calc_engine!$B$17)*ISNUMBER('📄 Executive_OnePager'!$A$5)*('📊 Data_Quality'!$C$8=1)=1</f>
        <v/>
      </c>
      <c r="E106" s="265" t="b">
        <v>1</v>
      </c>
      <c r="F106" s="265">
        <f>ISNUMBER(calc_engine!$B$19)*ISNUMBER(calc_engine!$B$17)*ISNUMBER('📄 Executive_OnePager'!$A$5)*('📊 Data_Quality'!$C$8=1)=1</f>
        <v/>
      </c>
      <c r="G106" s="261">
        <f>IF(D106=E106, "🟢 PASS", "🔴 FAIL")</f>
        <v/>
      </c>
      <c r="H106" s="265" t="inlineStr">
        <is>
          <t>Сбой сквозного инварианта надежности V17.5.</t>
        </is>
      </c>
      <c r="I106" s="265" t="inlineStr">
        <is>
          <t>Проверить финансовое ядро и витрины данных.</t>
        </is>
      </c>
    </row>
    <row r="107">
      <c r="A107" s="261" t="inlineStr">
        <is>
          <t>T-101</t>
        </is>
      </c>
      <c r="B107" s="265" t="inlineStr">
        <is>
          <t>RBAC Архитектура</t>
        </is>
      </c>
      <c r="C107" s="265" t="inlineStr">
        <is>
          <t>Лист 🔐 RBAC_Matrix существует и зарегистрирован в книге</t>
        </is>
      </c>
      <c r="D107" s="265">
        <f>ISREF('🔐 RBAC_Matrix'!$A$1)</f>
        <v/>
      </c>
      <c r="E107" s="265" t="b">
        <v>1</v>
      </c>
      <c r="F107" s="265">
        <f>ISREF('🔐 RBAC_Matrix'!$A$1)</f>
        <v/>
      </c>
      <c r="G107" s="261">
        <f>IF(D107=E107, "🟢 PASS", "🔴 FAIL")</f>
        <v/>
      </c>
      <c r="H107" s="265" t="inlineStr">
        <is>
          <t>Матрица прав 🔐 RBAC_Matrix активна и зарегистрирована.</t>
        </is>
      </c>
      <c r="I107" s="265" t="inlineStr">
        <is>
          <t>Создать лист 🔐 RBAC_Matrix.</t>
        </is>
      </c>
    </row>
    <row r="108">
      <c r="A108" s="261" t="inlineStr">
        <is>
          <t>T-102</t>
        </is>
      </c>
      <c r="B108" s="265" t="inlineStr">
        <is>
          <t>RBAC Архитектура</t>
        </is>
      </c>
      <c r="C108" s="265" t="inlineStr">
        <is>
          <t>Полнота матрицы: все 45 листов платформы внесены в реестр прав</t>
        </is>
      </c>
      <c r="D108" s="265">
        <f>COUNTA('🔐 RBAC_Matrix'!$A$2:$A$46)</f>
        <v/>
      </c>
      <c r="E108" s="265" t="n">
        <v>45</v>
      </c>
      <c r="F108" s="265">
        <f>COUNTA('🔐 RBAC_Matrix'!$A$2:$A$46)</f>
        <v/>
      </c>
      <c r="G108" s="261">
        <f>IF(D108=E108, "🟢 PASS", "🔴 FAIL")</f>
        <v/>
      </c>
      <c r="H108" s="265" t="inlineStr">
        <is>
          <t>Матрица содержит ровно 45 листов платформы.</t>
        </is>
      </c>
      <c r="I108" s="265" t="inlineStr">
        <is>
          <t>Синхронизировать строки матрицы с фактическим составом листов.</t>
        </is>
      </c>
    </row>
    <row r="109">
      <c r="A109" s="261" t="inlineStr">
        <is>
          <t>T-103</t>
        </is>
      </c>
      <c r="B109" s="265" t="inlineStr">
        <is>
          <t>RBAC Архитектура</t>
        </is>
      </c>
      <c r="C109" s="265" t="inlineStr">
        <is>
          <t>7 системных ролей в заголовке матрицы (CEO..Admin)</t>
        </is>
      </c>
      <c r="D109" s="265">
        <f>COUNTA('🔐 RBAC_Matrix'!$D$1:$J$1)</f>
        <v/>
      </c>
      <c r="E109" s="265" t="n">
        <v>7</v>
      </c>
      <c r="F109" s="265">
        <f>COUNTA('🔐 RBAC_Matrix'!$D$1:$J$1)</f>
        <v/>
      </c>
      <c r="G109" s="261">
        <f>IF(D109=E109, "🟢 PASS", "🔴 FAIL")</f>
        <v/>
      </c>
      <c r="H109" s="265" t="inlineStr">
        <is>
          <t>Все 7 ролей присутствуют в столбцах D:J матрицы.</t>
        </is>
      </c>
      <c r="I109" s="265" t="inlineStr">
        <is>
          <t>Проверить колонки D:J в 🔐 RBAC_Matrix.</t>
        </is>
      </c>
    </row>
    <row r="110">
      <c r="A110" s="261" t="inlineStr">
        <is>
          <t>T-104</t>
        </is>
      </c>
      <c r="B110" s="265" t="inlineStr">
        <is>
          <t>RBAC Целостность</t>
        </is>
      </c>
      <c r="C110" s="265" t="inlineStr">
        <is>
          <t>Системный лист Настройки защищен флагом always_visible=TRUE</t>
        </is>
      </c>
      <c r="D110" s="265">
        <f>'🔐 RBAC_Matrix'!$C$2</f>
        <v/>
      </c>
      <c r="E110" s="265" t="b">
        <v>1</v>
      </c>
      <c r="F110" s="265">
        <f>'🔐 RBAC_Matrix'!$C$2</f>
        <v/>
      </c>
      <c r="G110" s="261">
        <f>IF(OR(D110=TRUE, TEXT(D110,"@")=TEXT(E110,"@"), D110="TRUE"), "🟢 PASS", "🔴 FAIL")</f>
        <v/>
      </c>
      <c r="H110" s="265" t="inlineStr">
        <is>
          <t>Системный лист ⚙️ Настройки всегда видим для всех ролей.</t>
        </is>
      </c>
      <c r="I110" s="265" t="inlineStr">
        <is>
          <t>Установить TRUE в 🔐 RBAC_Matrix!C2.</t>
        </is>
      </c>
    </row>
    <row r="111">
      <c r="A111" s="261" t="inlineStr">
        <is>
          <t>T-105</t>
        </is>
      </c>
      <c r="B111" s="265" t="inlineStr">
        <is>
          <t>RBAC Безопасность</t>
        </is>
      </c>
      <c r="C111" s="265" t="inlineStr">
        <is>
          <t>Защита raw_deals: закрыт для роли КАМ (KAM = ⛔)</t>
        </is>
      </c>
      <c r="D111" s="265">
        <f>'🔐 RBAC_Matrix'!$F$35="⛔"</f>
        <v/>
      </c>
      <c r="E111" s="265" t="b">
        <v>1</v>
      </c>
      <c r="F111" s="265">
        <f>'🔐 RBAC_Matrix'!$F$35="⛔"</f>
        <v/>
      </c>
      <c r="G111" s="261">
        <f>IF(D111=E111, "🟢 PASS", "🔴 FAIL")</f>
        <v/>
      </c>
      <c r="H111" s="265" t="inlineStr">
        <is>
          <t>Сырые сделки надежно скрыты от прямого доступа КАМов.</t>
        </is>
      </c>
      <c r="I111" s="265" t="inlineStr">
        <is>
          <t>Установить ⛔ в ячейке 🔐 RBAC_Matrix!F35.</t>
        </is>
      </c>
    </row>
    <row r="112">
      <c r="A112" s="261" t="inlineStr">
        <is>
          <t>T-106</t>
        </is>
      </c>
      <c r="B112" s="265" t="inlineStr">
        <is>
          <t>RBAC Безопасность</t>
        </is>
      </c>
      <c r="C112" s="265" t="inlineStr">
        <is>
          <t>Защита расчетного ядра: calc_engine скрыт от KAM и SDR</t>
        </is>
      </c>
      <c r="D112" s="265">
        <f>AND('🔐 RBAC_Matrix'!$F$30="⛔", '🔐 RBAC_Matrix'!$G$30="⛔")</f>
        <v/>
      </c>
      <c r="E112" s="265" t="b">
        <v>1</v>
      </c>
      <c r="F112" s="265">
        <f>AND('🔐 RBAC_Matrix'!$F$30="⛔", '🔐 RBAC_Matrix'!$G$30="⛔")</f>
        <v/>
      </c>
      <c r="G112" s="261">
        <f>IF(D112=E112, "🟢 PASS", "🔴 FAIL")</f>
        <v/>
      </c>
      <c r="H112" s="265" t="inlineStr">
        <is>
          <t>Расчетный слой изолирован от линейного торгового персонала.</t>
        </is>
      </c>
      <c r="I112" s="265" t="inlineStr">
        <is>
          <t>Установить ⛔ в 🔐 RBAC_Matrix!F30:G30.</t>
        </is>
      </c>
    </row>
    <row r="113">
      <c r="A113" s="261" t="inlineStr">
        <is>
          <t>T-107</t>
        </is>
      </c>
      <c r="B113" s="265" t="inlineStr">
        <is>
          <t>RBAC Доступ Admin</t>
        </is>
      </c>
      <c r="C113" s="265" t="inlineStr">
        <is>
          <t>Полный доступ Администратора ко всем calc-листам (Admin = ✏️)</t>
        </is>
      </c>
      <c r="D113" s="265">
        <f>AND('🔐 RBAC_Matrix'!$J$30="✏️", '🔐 RBAC_Matrix'!$J$34="✏️")</f>
        <v/>
      </c>
      <c r="E113" s="265" t="b">
        <v>1</v>
      </c>
      <c r="F113" s="265">
        <f>AND('🔐 RBAC_Matrix'!$J$30="✏️", '🔐 RBAC_Matrix'!$J$34="✏️")</f>
        <v/>
      </c>
      <c r="G113" s="261">
        <f>IF(D113=E113, "🟢 PASS", "🔴 FAIL")</f>
        <v/>
      </c>
      <c r="H113" s="265" t="inlineStr">
        <is>
          <t>Администратор RevOps имеет полные права на расчетные движки.</t>
        </is>
      </c>
      <c r="I113" s="265" t="inlineStr">
        <is>
          <t>Установить ✏️ в колонке J для calc-листов в 🔐 RBAC_Matrix.</t>
        </is>
      </c>
    </row>
    <row r="114">
      <c r="A114" s="261" t="inlineStr">
        <is>
          <t>T-108</t>
        </is>
      </c>
      <c r="B114" s="265" t="inlineStr">
        <is>
          <t>RBAC Доступ CEO</t>
        </is>
      </c>
      <c r="C114" s="265" t="inlineStr">
        <is>
          <t>Права Собственника на сценарное моделирование (CEO = ✏️)</t>
        </is>
      </c>
      <c r="D114" s="265">
        <f>'🔐 RBAC_Matrix'!$D$14="✏️"</f>
        <v/>
      </c>
      <c r="E114" s="265" t="b">
        <v>1</v>
      </c>
      <c r="F114" s="265">
        <f>'🔐 RBAC_Matrix'!$D$14="✏️"</f>
        <v/>
      </c>
      <c r="G114" s="261">
        <f>IF(D114=E114, "🟢 PASS", "🔴 FAIL")</f>
        <v/>
      </c>
      <c r="H114" s="265" t="inlineStr">
        <is>
          <t>Собственник/CEO имеет доступ на правку гипотез в Симуляторе Роста.</t>
        </is>
      </c>
      <c r="I114" s="265" t="inlineStr">
        <is>
          <t>Установить ✏️ в 🔐 RBAC_Matrix!D14.</t>
        </is>
      </c>
    </row>
    <row r="115">
      <c r="A115" s="261" t="inlineStr">
        <is>
          <t>T-109</t>
        </is>
      </c>
      <c r="B115" s="265" t="inlineStr">
        <is>
          <t>RBAC Конфигурация</t>
        </is>
      </c>
      <c r="C115" s="265" t="inlineStr">
        <is>
          <t>Валидность роли в Настройки!B10 относительно ROLES_LIST</t>
        </is>
      </c>
      <c r="D115" s="265">
        <f>ISNUMBER(MATCH('⚙️ Настройки'!$B$10, '🔐 RBAC_Matrix'!$D$1:$J$1, 0))</f>
        <v/>
      </c>
      <c r="E115" s="265" t="b">
        <v>1</v>
      </c>
      <c r="F115" s="265">
        <f>ISNUMBER(MATCH('⚙️ Настройки'!$B$10, '🔐 RBAC_Matrix'!$D$1:$J$1, 0))</f>
        <v/>
      </c>
      <c r="G115" s="261">
        <f>IF(D115=E115, "🟢 PASS", "🔴 FAIL")</f>
        <v/>
      </c>
      <c r="H115" s="265" t="inlineStr">
        <is>
          <t>Роль в Настройки!B10 строго входит в перечень разрешенных ролей.</t>
        </is>
      </c>
      <c r="I115" s="265" t="inlineStr">
        <is>
          <t>Выбрать роль из выпадающего списка ROLES_LIST в Настройки!B10.</t>
        </is>
      </c>
    </row>
    <row r="116">
      <c r="A116" s="261" t="inlineStr">
        <is>
          <t>T-110</t>
        </is>
      </c>
      <c r="B116" s="265" t="inlineStr">
        <is>
          <t>RBAC Безопасность</t>
        </is>
      </c>
      <c r="C116" s="265" t="inlineStr">
        <is>
          <t>Матрица прав 🔐 RBAC_Matrix скрыта от РОПа и КАМа (⛔)</t>
        </is>
      </c>
      <c r="D116" s="265">
        <f>AND('🔐 RBAC_Matrix'!$E$29="⛔", '🔐 RBAC_Matrix'!$F$29="⛔")</f>
        <v/>
      </c>
      <c r="E116" s="265" t="b">
        <v>1</v>
      </c>
      <c r="F116" s="265">
        <f>AND('🔐 RBAC_Matrix'!$E$29="⛔", '🔐 RBAC_Matrix'!$F$29="⛔")</f>
        <v/>
      </c>
      <c r="G116" s="261">
        <f>IF(D116=E116, "🟢 PASS", "🔴 FAIL")</f>
        <v/>
      </c>
      <c r="H116" s="265" t="inlineStr">
        <is>
          <t>Матрица доступа скрыта от сотрудников, не обладающих правами Admin/CEO.</t>
        </is>
      </c>
      <c r="I116" s="265" t="inlineStr">
        <is>
          <t>Установить ⛔ в 🔐 RBAC_Matrix!E29:F29.</t>
        </is>
      </c>
    </row>
    <row r="117">
      <c r="A117" s="261" t="inlineStr">
        <is>
          <t>T-111</t>
        </is>
      </c>
      <c r="B117" s="265" t="inlineStr">
        <is>
          <t>RBAC Аудит</t>
        </is>
      </c>
      <c r="C117" s="265" t="inlineStr">
        <is>
          <t>Наличие журнала аудита безопасности raw_audit_log</t>
        </is>
      </c>
      <c r="D117" s="265">
        <f>ISREF(raw_audit_log!$A$1)</f>
        <v/>
      </c>
      <c r="E117" s="265" t="b">
        <v>1</v>
      </c>
      <c r="F117" s="265">
        <f>ISREF(raw_audit_log!$A$1)</f>
        <v/>
      </c>
      <c r="G117" s="261">
        <f>IF(D117=E117, "🟢 PASS", "🔴 FAIL")</f>
        <v/>
      </c>
      <c r="H117" s="265" t="inlineStr">
        <is>
          <t>Журнал аудита доступен для фиксации событий переключения ролей.</t>
        </is>
      </c>
      <c r="I117" s="265" t="inlineStr">
        <is>
          <t>Восстановить лист raw_audit_log для аудита RBAC-событий.</t>
        </is>
      </c>
    </row>
    <row r="118">
      <c r="A118" s="261" t="inlineStr">
        <is>
          <t>T-112</t>
        </is>
      </c>
      <c r="B118" s="265" t="inlineStr">
        <is>
          <t>RBAC Навигация</t>
        </is>
      </c>
      <c r="C118" s="265" t="inlineStr">
        <is>
          <t>Целостность Landing-страниц (OnePager, Пульт РОПа, Пульс)</t>
        </is>
      </c>
      <c r="D118" s="265">
        <f>AND(ISREF('📄 Executive_OnePager'!$A$1), ISREF('📋 Пульт_РОПа_15_Минут'!$A$1), ISREF('⚡ Пульс_Компании'!$A$1))</f>
        <v/>
      </c>
      <c r="E118" s="265" t="b">
        <v>1</v>
      </c>
      <c r="F118" s="265">
        <f>AND(ISREF('📄 Executive_OnePager'!$A$1), ISREF('📋 Пульт_РОПа_15_Минут'!$A$1), ISREF('⚡ Пульс_Компании'!$A$1))</f>
        <v/>
      </c>
      <c r="G118" s="261">
        <f>IF(D118=E118, "🟢 PASS", "🔴 FAIL")</f>
        <v/>
      </c>
      <c r="H118" s="265" t="inlineStr">
        <is>
          <t>Все посадочные витрины ролей присутствуют и функциональны.</t>
        </is>
      </c>
      <c r="I118" s="265" t="inlineStr">
        <is>
          <t>Проверить наличие листов Executive_OnePager, Пульт_РОПа, Пульс_Компании.</t>
        </is>
      </c>
    </row>
    <row r="119">
      <c r="A119" s="261" t="inlineStr">
        <is>
          <t>T-113</t>
        </is>
      </c>
      <c r="B119" s="265" t="inlineStr">
        <is>
          <t>RBAC Users Map</t>
        </is>
      </c>
      <c r="C119" s="265" t="inlineStr">
        <is>
          <t>USERS_ROLES_MAP содержит ≥ 7 активных учетных записей</t>
        </is>
      </c>
      <c r="D119" s="265">
        <f>COUNTA('⚙️ Настройки'!$J$10:$J$100)&gt;=7</f>
        <v/>
      </c>
      <c r="E119" s="265" t="b">
        <v>1</v>
      </c>
      <c r="F119" s="265">
        <f>D119</f>
        <v/>
      </c>
      <c r="G119" s="261">
        <f>IF(D119=E119, "🟢 PASS", "🔴 FAIL")</f>
        <v/>
      </c>
      <c r="H119" s="265" t="inlineStr">
        <is>
          <t>Реестр маппинга ролей по Email укомплектован для всех ключевых ролей компании.</t>
        </is>
      </c>
      <c r="I119" s="265" t="inlineStr">
        <is>
          <t>Заполнить таблицу ⚙️ Настройки!J10:L16 для сотрудников.</t>
        </is>
      </c>
    </row>
    <row r="120">
      <c r="A120" s="261" t="inlineStr">
        <is>
          <t>T-114</t>
        </is>
      </c>
      <c r="B120" s="265" t="inlineStr">
        <is>
          <t>RBAC Users Map</t>
        </is>
      </c>
      <c r="C120" s="265" t="inlineStr">
        <is>
          <t>Полнота ролей: каждой учетной записи назначена роль</t>
        </is>
      </c>
      <c r="D120" s="265">
        <f>COUNTIF('⚙️ Настройки'!$K$10:$K$100,"*")=COUNTA('⚙️ Настройки'!$K$10:$K$100)</f>
        <v/>
      </c>
      <c r="E120" s="265" t="b">
        <v>1</v>
      </c>
      <c r="F120" s="265">
        <f>D120</f>
        <v/>
      </c>
      <c r="G120" s="261">
        <f>IF(D120=E120, "🟢 PASS", "🔴 FAIL")</f>
        <v/>
      </c>
      <c r="H120" s="265" t="inlineStr">
        <is>
          <t>Все строки реестра содержат корректно назначенную роль из ROLES_LIST.</t>
        </is>
      </c>
      <c r="I120" s="265" t="inlineStr">
        <is>
          <t>Выбрать роль в столбце K таблицы Настройки!J10:L100.</t>
        </is>
      </c>
    </row>
    <row r="121">
      <c r="A121" s="261" t="inlineStr">
        <is>
          <t>T-115</t>
        </is>
      </c>
      <c r="B121" s="265" t="inlineStr">
        <is>
          <t>RBAC Users Map</t>
        </is>
      </c>
      <c r="C121" s="265" t="inlineStr">
        <is>
          <t>Полнота дашбордов: каждому пользователю сопоставлен Landing</t>
        </is>
      </c>
      <c r="D121" s="265">
        <f>AND(COUNTA('⚙️ Настройки'!$L$10:$L$100)&gt;=7, COUNTIF('⚙️ Настройки'!$L$10:$L$100,"*")=COUNTA('⚙️ Настройки'!$J$10:$J$100))</f>
        <v/>
      </c>
      <c r="E121" s="265" t="b">
        <v>1</v>
      </c>
      <c r="F121" s="265">
        <f>D121</f>
        <v/>
      </c>
      <c r="G121" s="261">
        <f>IF(D121=E121, "🟢 PASS", "🔴 FAIL")</f>
        <v/>
      </c>
      <c r="H121" s="265" t="inlineStr">
        <is>
          <t>Каждый сотрудник имеет персональный целевой дашборд при входе в систему.</t>
        </is>
      </c>
      <c r="I121" s="265" t="inlineStr">
        <is>
          <t>Указать имя целевой витрины в столбце L таблицы Настройки!J10:L100.</t>
        </is>
      </c>
    </row>
    <row r="122">
      <c r="A122" s="261" t="inlineStr">
        <is>
          <t>T-116</t>
        </is>
      </c>
      <c r="B122" s="265" t="inlineStr">
        <is>
          <t>Session</t>
        </is>
      </c>
      <c r="C122" s="265" t="inlineStr">
        <is>
          <t>Статус сессии H9 содержит «Свободна» или «Сессия:»</t>
        </is>
      </c>
      <c r="D122" s="265">
        <f>OR(ISNUMBER(SEARCH("Свободна",'⚙️ Настройки'!$H$9)),ISNUMBER(SEARCH("Сессия",'⚙️ Настройки'!$H$9)))</f>
        <v/>
      </c>
      <c r="E122" s="265" t="b">
        <v>1</v>
      </c>
      <c r="F122" s="265">
        <f>D122</f>
        <v/>
      </c>
      <c r="G122" s="261">
        <f>IF(D122=E122, "🟢 PASS", "🔴 FAIL")</f>
        <v/>
      </c>
      <c r="H122" s="265" t="inlineStr">
        <is>
          <t>Ячейка статуса сессии планирования находится в валидном состоянии.</t>
        </is>
      </c>
      <c r="I122" s="265" t="inlineStr">
        <is>
          <t xml:space="preserve">Сбросить сессию через Навигатор или записать «🟢 Готова к работе (Свободна)». </t>
        </is>
      </c>
    </row>
    <row r="123">
      <c r="A123" s="261" t="inlineStr">
        <is>
          <t>T-117</t>
        </is>
      </c>
      <c r="B123" s="265" t="inlineStr">
        <is>
          <t>RBAC Landing</t>
        </is>
      </c>
      <c r="C123" s="265" t="inlineStr">
        <is>
          <t>Landing-дашборд CEO зарегистрирован в книге (A2:A46)</t>
        </is>
      </c>
      <c r="D123" s="265">
        <f>ISNUMBER(MATCH('⚙️ Настройки'!$L$10,'🔐 RBAC_Matrix'!$A$2:$A$46,0))</f>
        <v/>
      </c>
      <c r="E123" s="265" t="b">
        <v>1</v>
      </c>
      <c r="F123" s="265">
        <f>D123</f>
        <v/>
      </c>
      <c r="G123" s="261">
        <f>IF(D123=E123, "🟢 PASS", "🔴 FAIL")</f>
        <v/>
      </c>
      <c r="H123" s="265" t="inlineStr">
        <is>
          <t>Посадочный дашборд первой строки (CEO) физически существует в книге.</t>
        </is>
      </c>
      <c r="I123" s="265" t="inlineStr">
        <is>
          <t>Проверить имя листа в ячейке Настройки!L10.</t>
        </is>
      </c>
    </row>
    <row r="124">
      <c r="A124" s="261" t="inlineStr">
        <is>
          <t>T-118</t>
        </is>
      </c>
      <c r="B124" s="265" t="inlineStr">
        <is>
          <t>RBAC Landing</t>
        </is>
      </c>
      <c r="C124" s="265" t="inlineStr">
        <is>
          <t>Landing-дашборд Admin зарегистрирован в книге (A2:A46)</t>
        </is>
      </c>
      <c r="D124" s="265">
        <f>ISNUMBER(MATCH('⚙️ Настройки'!$L$16,'🔐 RBAC_Matrix'!$A$2:$A$46,0))</f>
        <v/>
      </c>
      <c r="E124" s="265" t="b">
        <v>1</v>
      </c>
      <c r="F124" s="265">
        <f>D124</f>
        <v/>
      </c>
      <c r="G124" s="261">
        <f>IF(D124=E124, "🟢 PASS", "🔴 FAIL")</f>
        <v/>
      </c>
      <c r="H124" s="265" t="inlineStr">
        <is>
          <t>Посадочный дашборд Администратора физически существует в книге.</t>
        </is>
      </c>
      <c r="I124" s="265" t="inlineStr">
        <is>
          <t>Проверить имя листа в ячейке Настройки!L16.</t>
        </is>
      </c>
    </row>
    <row r="125">
      <c r="A125" s="261" t="n"/>
      <c r="B125" s="265" t="n"/>
      <c r="C125" s="265" t="n"/>
      <c r="D125" s="265" t="n"/>
      <c r="E125" s="265" t="n"/>
      <c r="F125" s="265" t="n"/>
      <c r="G125" s="261" t="n"/>
      <c r="H125" s="265" t="n"/>
      <c r="I125" s="265" t="n"/>
    </row>
    <row r="126"/>
    <row r="127">
      <c r="A127" s="0" t="inlineStr">
        <is>
          <t>WATCHDOG_ROW_CAPACITY</t>
        </is>
      </c>
      <c r="B127" s="0" t="inlineStr">
        <is>
          <t>Контроль емкости строк (50 000)</t>
        </is>
      </c>
      <c r="D127" s="0">
        <f>IF(OR(COUNTA(raw_deals!$A$2:$A$50000)&gt;48000, COUNTA(raw_calls!$A$2:$A$50000)&gt;48000), "🚨 ВНИМАНИЕ: Заполнено 96% емкости (48 000+). Создайте архивный срез.", "🟢 Лимит в норме (до 50 000 строк)")</f>
        <v/>
      </c>
      <c r="E127" s="0" t="b">
        <v>1</v>
      </c>
      <c r="F127" s="0">
        <f>D127</f>
        <v/>
      </c>
    </row>
    <row r="129">
      <c r="A129" t="inlineStr">
        <is>
          <t>WATCHDOG_ROW_CAPACITY</t>
        </is>
      </c>
      <c r="B129" t="inlineStr">
        <is>
          <t>Контроль емкости строк (50 000)</t>
        </is>
      </c>
      <c r="D129">
        <f>IF(OR(COUNTA(raw_deals!$A$2:$A$50000)&gt;48000, COUNTA(raw_calls!$A$2:$A$50000)&gt;48000), "🚨 ВНИМАНИЕ: Заполнено 96% емкости (48 000+). Создайте архивный срез.", "🟢 Лимит в норме (до 50 000 строк)")</f>
        <v/>
      </c>
      <c r="E129" t="b">
        <v>1</v>
      </c>
      <c r="F129">
        <f>D129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FF14A56B"/>
    <outlinePr summaryBelow="0" summaryRight="0"/>
    <pageSetUpPr/>
  </sheetPr>
  <dimension ref="A1:I24"/>
  <sheetViews>
    <sheetView workbookViewId="0">
      <selection activeCell="A1" sqref="A1"/>
    </sheetView>
  </sheetViews>
  <sheetFormatPr baseColWidth="8" defaultColWidth="12.63" defaultRowHeight="15.75" customHeight="1"/>
  <cols>
    <col width="82.88" customWidth="1" style="461" min="1" max="1"/>
    <col width="19.13" customWidth="1" style="461" min="2" max="3"/>
    <col width="18.88" customWidth="1" style="461" min="4" max="4"/>
    <col width="48.38" customWidth="1" style="461" min="5" max="5"/>
    <col width="83" customWidth="1" style="461" min="6" max="6"/>
    <col width="18.38" customWidth="1" style="461" min="7" max="7"/>
    <col width="26.63" customWidth="1" style="461" min="8" max="8"/>
    <col width="24.25" customWidth="1" style="461" min="9" max="9"/>
  </cols>
  <sheetData>
    <row r="1" ht="36" customHeight="1" s="461">
      <c r="A1" s="230" t="inlineStr">
        <is>
          <t>💳 ФИНАНСОВЫЙ КОНТУР, REVERSE ETL И АГЕНТНЫЙ AI-ДОЖИМ (V17.6 BLOCK I)</t>
        </is>
      </c>
    </row>
    <row r="2" ht="24" customHeight="1" s="461">
      <c r="A2" s="496">
        <f>HYPERLINK("#'📄 Executive_OnePager'!A1", "📄 1. One-Pager")</f>
        <v/>
      </c>
      <c r="B2" s="496">
        <f>HYPERLINK("#'⚡ Пульс_Компании'!A1", "⚡ 2. Пульс компании")</f>
        <v/>
      </c>
      <c r="C2" s="496">
        <f>HYPERLINK("#'📋 Пульт_РОПа_15_Минут'!A1", "📋 3. Пульт РОПа")</f>
        <v/>
      </c>
      <c r="D2" s="496">
        <f>HYPERLINK("#'💸 Диагностика_Утечек_ОП'!A1", "💸 4. 7 Грехов ОП")</f>
        <v/>
      </c>
      <c r="E2" s="496">
        <f>HYPERLINK("#'🎯 Action_Center'!A1", "🎯 5. Action Center")</f>
        <v/>
      </c>
      <c r="F2" s="496">
        <f>HYPERLINK("#'🎙️ ИИ_Аудит'!A1", "🎙️ 6. ИИ-Аудит")</f>
        <v/>
      </c>
      <c r="G2" s="496">
        <f>HYPERLINK("#'⚡ Экспресс_Калькулятор_3_Цифры'!A1", "⚡ 7. Экспресс 3 цифры")</f>
        <v/>
      </c>
      <c r="H2" s="496">
        <f>HYPERLINK("#'🧪 QA_Suite'!A1", "🧪 8. QA Suite")</f>
        <v/>
      </c>
      <c r="I2" s="496">
        <f>HYPERLINK("#'⚙️ Настройки'!A1", "⚙️ 9. Настройки")</f>
        <v/>
      </c>
    </row>
    <row r="3" ht="25.5" customHeight="1" s="461">
      <c r="A3" s="266" t="inlineStr">
        <is>
          <t>Фактический Cash-In</t>
        </is>
      </c>
      <c r="B3" s="266" t="inlineStr">
        <is>
          <t>Ожидаемый Cash-In (30д)</t>
        </is>
      </c>
      <c r="C3" s="266" t="inlineStr">
        <is>
          <t>Дебиторка (Pending AR)</t>
        </is>
      </c>
      <c r="D3" s="266" t="inlineStr">
        <is>
          <t>Просрочено (Overdue)</t>
        </is>
      </c>
      <c r="E3" s="266" t="inlineStr">
        <is>
          <t>DSO (Срок оплаты)</t>
        </is>
      </c>
      <c r="F3" s="266" t="inlineStr">
        <is>
          <t>Потенциал AI-дожима</t>
        </is>
      </c>
    </row>
    <row r="4" ht="24" customHeight="1" s="461">
      <c r="A4" s="278">
        <f>calc_engine!B144</f>
        <v/>
      </c>
      <c r="B4" s="278">
        <f>calc_engine!B147</f>
        <v/>
      </c>
      <c r="C4" s="278">
        <f>calc_engine!B145</f>
        <v/>
      </c>
      <c r="D4" s="278">
        <f>calc_engine!B146</f>
        <v/>
      </c>
      <c r="E4" s="267">
        <f>calc_engine!B148 &amp; " дн."</f>
        <v/>
      </c>
      <c r="F4" s="278">
        <f>calc_engine!B154</f>
        <v/>
      </c>
    </row>
    <row r="5" ht="24" customHeight="1" s="461"/>
    <row r="6" ht="24" customHeight="1" s="461">
      <c r="A6" s="235" t="inlineStr">
        <is>
          <t>📅 1. ПЛАТЕЖНЫЙ КАЛЕНДАРЬ И КОНТРОЛЬ ДЕБИТОРСКОЙ ЗАДОЛЖЕННОСТИ (CASH FLOW 30–60 ДНЕЙ)</t>
        </is>
      </c>
    </row>
    <row r="7" ht="24" customHeight="1" s="461">
      <c r="A7" s="236" t="inlineStr">
        <is>
          <t>№ Счета</t>
        </is>
      </c>
      <c r="B7" s="236" t="inlineStr">
        <is>
          <t>Сделка</t>
        </is>
      </c>
      <c r="C7" s="236" t="inlineStr">
        <is>
          <t>Контрагент</t>
        </is>
      </c>
      <c r="D7" s="236" t="inlineStr">
        <is>
          <t>Срок оплаты</t>
        </is>
      </c>
      <c r="E7" s="236" t="inlineStr">
        <is>
          <t>Сумма, ₽</t>
        </is>
      </c>
      <c r="F7" s="236" t="inlineStr">
        <is>
          <t>Статус инвойса</t>
        </is>
      </c>
      <c r="G7" s="236" t="inlineStr">
        <is>
          <t>Просрочка, дн</t>
        </is>
      </c>
      <c r="H7" s="236" t="inlineStr">
        <is>
          <t>Финансовый риск</t>
        </is>
      </c>
      <c r="I7" s="236" t="inlineStr">
        <is>
          <t>Регламент финотдела</t>
        </is>
      </c>
    </row>
    <row r="8" ht="24" customHeight="1" s="461">
      <c r="A8" s="218">
        <f>raw_invoices!A2</f>
        <v/>
      </c>
      <c r="B8" s="218">
        <f>raw_invoices!B2</f>
        <v/>
      </c>
      <c r="C8" s="218">
        <f>raw_invoices!D2</f>
        <v/>
      </c>
      <c r="D8" s="246">
        <f>raw_invoices!F2</f>
        <v/>
      </c>
      <c r="E8" s="346">
        <f>raw_invoices!G2</f>
        <v/>
      </c>
      <c r="F8" s="218">
        <f>raw_invoices!H2</f>
        <v/>
      </c>
      <c r="G8" s="197">
        <f>raw_invoices!J2</f>
        <v/>
      </c>
      <c r="H8" s="218">
        <f>IF(raw_invoices!H2="overdue", "🔴 ВЫСОКИЙ РИСК (ПРОСРОЧКА)", IF(raw_invoices!H2="forecast", "🟡 В ПЛАНЕ (FORECAST)", IF(raw_invoices!H2="paid", "🟢 ОПЛАЧЕНО", "⚪ ИНФО")))</f>
        <v/>
      </c>
      <c r="I8" s="218">
        <f>IF(F8="overdue", "Претензия + автозвонок РОПа", IF(F8="pending", "Контроль оплаты бухгалтерией", "Поступление зафиксировано"))</f>
        <v/>
      </c>
    </row>
    <row r="9" ht="16.5" customHeight="1" s="461">
      <c r="A9" s="218">
        <f>raw_invoices!A3</f>
        <v/>
      </c>
      <c r="B9" s="218">
        <f>raw_invoices!B3</f>
        <v/>
      </c>
      <c r="C9" s="218">
        <f>raw_invoices!D3</f>
        <v/>
      </c>
      <c r="D9" s="246">
        <f>raw_invoices!F3</f>
        <v/>
      </c>
      <c r="E9" s="346">
        <f>raw_invoices!G3</f>
        <v/>
      </c>
      <c r="F9" s="218">
        <f>raw_invoices!H3</f>
        <v/>
      </c>
      <c r="G9" s="197">
        <f>raw_invoices!J3</f>
        <v/>
      </c>
      <c r="H9" s="218">
        <f>IF(raw_invoices!H3="overdue", "🔴 ВЫСОКИЙ РИСК (ПРОСРОЧКА)", IF(raw_invoices!H3="forecast", "🟡 В ПЛАНЕ (FORECAST)", IF(raw_invoices!H3="paid", "🟢 ОПЛАЧЕНО", "⚪ ИНФО")))</f>
        <v/>
      </c>
      <c r="I9" s="218">
        <f>IF(F9="overdue", "Претензия + автозвонок РОПа", IF(F9="pending", "Контроль оплаты бухгалтерией", "Поступление зафиксировано"))</f>
        <v/>
      </c>
    </row>
    <row r="10" ht="16.5" customHeight="1" s="461">
      <c r="A10" s="218">
        <f>raw_invoices!A4</f>
        <v/>
      </c>
      <c r="B10" s="218">
        <f>raw_invoices!B4</f>
        <v/>
      </c>
      <c r="C10" s="218">
        <f>raw_invoices!D4</f>
        <v/>
      </c>
      <c r="D10" s="246">
        <f>raw_invoices!F4</f>
        <v/>
      </c>
      <c r="E10" s="346">
        <f>raw_invoices!G4</f>
        <v/>
      </c>
      <c r="F10" s="218">
        <f>raw_invoices!H4</f>
        <v/>
      </c>
      <c r="G10" s="197">
        <f>raw_invoices!J4</f>
        <v/>
      </c>
      <c r="H10" s="218">
        <f>IF(raw_invoices!H4="overdue", "🔴 ВЫСОКИЙ РИСК (ПРОСРОЧКА)", IF(raw_invoices!H4="forecast", "🟡 В ПЛАНЕ (FORECAST)", IF(raw_invoices!H4="paid", "🟢 ОПЛАЧЕНО", "⚪ ИНФО")))</f>
        <v/>
      </c>
      <c r="I10" s="218">
        <f>IF(F10="overdue", "Претензия + автозвонок РОПа", IF(F10="pending", "Контроль оплаты бухгалтерией", "Поступление зафиксировано"))</f>
        <v/>
      </c>
    </row>
    <row r="11" ht="16.5" customHeight="1" s="461">
      <c r="A11" s="218">
        <f>raw_invoices!A5</f>
        <v/>
      </c>
      <c r="B11" s="218">
        <f>raw_invoices!B5</f>
        <v/>
      </c>
      <c r="C11" s="218">
        <f>raw_invoices!D5</f>
        <v/>
      </c>
      <c r="D11" s="246">
        <f>raw_invoices!F5</f>
        <v/>
      </c>
      <c r="E11" s="346">
        <f>raw_invoices!G5</f>
        <v/>
      </c>
      <c r="F11" s="218">
        <f>raw_invoices!H5</f>
        <v/>
      </c>
      <c r="G11" s="197">
        <f>raw_invoices!J5</f>
        <v/>
      </c>
      <c r="H11" s="218">
        <f>IF(raw_invoices!H5="overdue", "🔴 ВЫСОКИЙ РИСК (ПРОСРОЧКА)", IF(raw_invoices!H5="forecast", "🟡 В ПЛАНЕ (FORECAST)", IF(raw_invoices!H5="paid", "🟢 ОПЛАЧЕНО", "⚪ ИНФО")))</f>
        <v/>
      </c>
      <c r="I11" s="218">
        <f>IF(F11="overdue", "Претензия + автозвонок РОПа", IF(F11="pending", "Контроль оплаты бухгалтерией", "Поступление зафиксировано"))</f>
        <v/>
      </c>
    </row>
    <row r="12" ht="16.5" customHeight="1" s="461">
      <c r="A12" s="218">
        <f>raw_invoices!A6</f>
        <v/>
      </c>
      <c r="B12" s="218">
        <f>raw_invoices!B6</f>
        <v/>
      </c>
      <c r="C12" s="218">
        <f>raw_invoices!D6</f>
        <v/>
      </c>
      <c r="D12" s="246">
        <f>raw_invoices!F6</f>
        <v/>
      </c>
      <c r="E12" s="346">
        <f>raw_invoices!G6</f>
        <v/>
      </c>
      <c r="F12" s="218">
        <f>raw_invoices!H6</f>
        <v/>
      </c>
      <c r="G12" s="197">
        <f>raw_invoices!J6</f>
        <v/>
      </c>
      <c r="H12" s="218">
        <f>IF(raw_invoices!H6="overdue", "🔴 ВЫСОКИЙ РИСК (ПРОСРОЧКА)", IF(raw_invoices!H6="forecast", "🟡 В ПЛАНЕ (FORECAST)", IF(raw_invoices!H6="paid", "🟢 ОПЛАЧЕНО", "⚪ ИНФО")))</f>
        <v/>
      </c>
      <c r="I12" s="218">
        <f>IF(F12="overdue", "Претензия + автозвонок РОПа", IF(F12="pending", "Контроль оплаты бухгалтерией", "Поступление зафиксировано"))</f>
        <v/>
      </c>
    </row>
    <row r="13" ht="16.5" customHeight="1" s="461">
      <c r="A13" s="218">
        <f>raw_invoices!A7</f>
        <v/>
      </c>
      <c r="B13" s="218">
        <f>raw_invoices!B7</f>
        <v/>
      </c>
      <c r="C13" s="218">
        <f>raw_invoices!D7</f>
        <v/>
      </c>
      <c r="D13" s="246">
        <f>raw_invoices!F7</f>
        <v/>
      </c>
      <c r="E13" s="346">
        <f>raw_invoices!G7</f>
        <v/>
      </c>
      <c r="F13" s="218">
        <f>raw_invoices!H7</f>
        <v/>
      </c>
      <c r="G13" s="197">
        <f>raw_invoices!J7</f>
        <v/>
      </c>
      <c r="H13" s="218">
        <f>IF(raw_invoices!H7="overdue", "🔴 ВЫСОКИЙ РИСК (ПРОСРОЧКА)", IF(raw_invoices!H7="forecast", "🟡 В ПЛАНЕ (FORECAST)", IF(raw_invoices!H7="paid", "🟢 ОПЛАЧЕНО", "⚪ ИНФО")))</f>
        <v/>
      </c>
      <c r="I13" s="218">
        <f>IF(F13="overdue", "Претензия + автозвонок РОПа", IF(F13="pending", "Контроль оплаты бухгалтерией", "Поступление зафиксировано"))</f>
        <v/>
      </c>
    </row>
    <row r="14">
      <c r="A14" s="218">
        <f>raw_invoices!A8</f>
        <v/>
      </c>
      <c r="B14" s="218">
        <f>raw_invoices!B8</f>
        <v/>
      </c>
      <c r="C14" s="218">
        <f>raw_invoices!D8</f>
        <v/>
      </c>
      <c r="D14" s="246">
        <f>raw_invoices!F8</f>
        <v/>
      </c>
      <c r="E14" s="346">
        <f>raw_invoices!G8</f>
        <v/>
      </c>
      <c r="F14" s="218">
        <f>raw_invoices!H8</f>
        <v/>
      </c>
      <c r="G14" s="197">
        <f>raw_invoices!J8</f>
        <v/>
      </c>
      <c r="H14" s="218">
        <f>IF(raw_invoices!H8="overdue", "🔴 ВЫСОКИЙ РИСК (ПРОСРОЧКА)", IF(raw_invoices!H8="forecast", "🟡 В ПЛАНЕ (FORECAST)", IF(raw_invoices!H8="paid", "🟢 ОПЛАЧЕНО", "⚪ ИНФО")))</f>
        <v/>
      </c>
    </row>
    <row r="15" ht="19.5" customHeight="1" s="461">
      <c r="A15" s="268">
        <f>raw_invoices!A9</f>
        <v/>
      </c>
    </row>
    <row r="16" ht="18" customHeight="1" s="461">
      <c r="A16" s="269" t="inlineStr">
        <is>
          <t>ID Сделки</t>
        </is>
      </c>
      <c r="B16" s="269" t="inlineStr">
        <is>
          <t>Клиент</t>
        </is>
      </c>
      <c r="C16" s="269" t="inlineStr">
        <is>
          <t>Пайплайн, ₽</t>
        </is>
      </c>
      <c r="D16" s="269" t="inlineStr">
        <is>
          <t>Текущий куратор</t>
        </is>
      </c>
      <c r="E16" s="269" t="inlineStr">
        <is>
          <t>Действие Reverse ETL</t>
        </is>
      </c>
      <c r="F16" s="269" t="inlineStr">
        <is>
          <t>Новый исполнитель CRM</t>
        </is>
      </c>
      <c r="G16" s="269" t="inlineStr">
        <is>
          <t>Статус синхронизации</t>
        </is>
      </c>
      <c r="H16" s="269" t="inlineStr">
        <is>
          <t>API Payload</t>
        </is>
      </c>
      <c r="I16" s="269" t="inlineStr">
        <is>
          <t>Команда оператора</t>
        </is>
      </c>
    </row>
    <row r="17" ht="16.5" customHeight="1" s="461">
      <c r="A17" s="324" t="inlineStr">
        <is>
          <t>D-105</t>
        </is>
      </c>
      <c r="B17" s="218" t="inlineStr">
        <is>
          <t>ООО "Глобал Инвест"</t>
        </is>
      </c>
      <c r="C17" s="346" t="n">
        <v>3000000</v>
      </c>
      <c r="D17" s="218" t="inlineStr">
        <is>
          <t>Иванов Дмитрий (РОП)</t>
        </is>
      </c>
      <c r="E17" s="218" t="inlineStr">
        <is>
          <t>Снятие перегруза РОПа (P0)</t>
        </is>
      </c>
      <c r="F17" s="218" t="inlineStr">
        <is>
          <t>Петров Александр (КАМ)</t>
        </is>
      </c>
      <c r="G17" s="324" t="inlineStr">
        <is>
          <t>⚡ ГОТОВО К ПУШУ</t>
        </is>
      </c>
      <c r="H17" s="218" t="inlineStr">
        <is>
          <t>{"deal_id":"D-105","manager_id":102}</t>
        </is>
      </c>
      <c r="I17" s="271" t="inlineStr">
        <is>
          <t>Отправить в CRM</t>
        </is>
      </c>
    </row>
    <row r="18" ht="16.5" customHeight="1" s="461">
      <c r="A18" s="324" t="inlineStr">
        <is>
          <t>D-104</t>
        </is>
      </c>
      <c r="B18" s="218" t="inlineStr">
        <is>
          <t>ООО "Вектор Плюс"</t>
        </is>
      </c>
      <c r="C18" s="346" t="n">
        <v>850000</v>
      </c>
      <c r="D18" s="218" t="inlineStr">
        <is>
          <t>Иванов Дмитрий (РОП)</t>
        </is>
      </c>
      <c r="E18" s="218" t="inlineStr">
        <is>
          <t>Сохранение VIP-кураторства</t>
        </is>
      </c>
      <c r="F18" s="218" t="inlineStr">
        <is>
          <t>Иванов Дмитрий (РОП)</t>
        </is>
      </c>
      <c r="G18" s="324" t="inlineStr">
        <is>
          <t>✅ В СИНХРОНЕ</t>
        </is>
      </c>
      <c r="H18" s="218" t="inlineStr">
        <is>
          <t>{"deal_id":"D-104","manager_id":101}</t>
        </is>
      </c>
      <c r="I18" s="271" t="inlineStr">
        <is>
          <t>Синхронизировано</t>
        </is>
      </c>
    </row>
    <row r="19" ht="16.5" customHeight="1" s="461">
      <c r="A19" s="324" t="inlineStr">
        <is>
          <t>D-103</t>
        </is>
      </c>
      <c r="B19" s="218" t="inlineStr">
        <is>
          <t>ИП Смирнов О.В.</t>
        </is>
      </c>
      <c r="C19" s="346" t="n">
        <v>150000</v>
      </c>
      <c r="D19" s="218" t="inlineStr">
        <is>
          <t>Сидоров Роман (SDR)</t>
        </is>
      </c>
      <c r="E19" s="218" t="inlineStr">
        <is>
          <t>Дожим оплаты инвойса</t>
        </is>
      </c>
      <c r="F19" s="218" t="inlineStr">
        <is>
          <t>Сидоров Роман (SDR)</t>
        </is>
      </c>
      <c r="G19" s="324" t="inlineStr">
        <is>
          <t>✅ В СИНХРОНЕ</t>
        </is>
      </c>
      <c r="H19" s="218" t="inlineStr">
        <is>
          <t>{"deal_id":"D-103","stage_id":5}</t>
        </is>
      </c>
      <c r="I19" s="271" t="inlineStr">
        <is>
          <t>Синхронизировано</t>
        </is>
      </c>
    </row>
    <row r="20"/>
    <row r="21" ht="19.5" customHeight="1" s="461">
      <c r="A21" s="244" t="inlineStr">
        <is>
          <t>🤖 3. АГЕНТНЫЙ AI-ДОЖИМ ОТКАЗНИКОВ (AGENTIC LOSS RECOVERY &amp; TRANSCRIPT SYNTHESIS)</t>
        </is>
      </c>
    </row>
    <row r="22" ht="18" customHeight="1" s="461">
      <c r="A22" s="245" t="inlineStr">
        <is>
          <t>ID Сделки</t>
        </is>
      </c>
      <c r="B22" s="245" t="inlineStr">
        <is>
          <t>Отказник</t>
        </is>
      </c>
      <c r="C22" s="245" t="inlineStr">
        <is>
          <t>Потерянный чек</t>
        </is>
      </c>
      <c r="D22" s="245" t="inlineStr">
        <is>
          <t>Код срыва</t>
        </is>
      </c>
      <c r="E22" s="245" t="inlineStr">
        <is>
          <t>Суть ошибки по транскрипту LLM</t>
        </is>
      </c>
      <c r="F22" s="245" t="inlineStr">
        <is>
          <t>Персонализированный AI-оффер дожима</t>
        </is>
      </c>
      <c r="G22" s="245" t="inlineStr">
        <is>
          <t>Канал касания</t>
        </is>
      </c>
      <c r="H22" s="245" t="inlineStr">
        <is>
          <t>Шанс возврата</t>
        </is>
      </c>
      <c r="I22" s="245" t="inlineStr">
        <is>
          <t>Статус AI Агента</t>
        </is>
      </c>
    </row>
    <row r="23" ht="19.5" customHeight="1" s="461">
      <c r="A23" s="324" t="inlineStr">
        <is>
          <t>D-109</t>
        </is>
      </c>
      <c r="B23" s="218" t="inlineStr">
        <is>
          <t>ООО "ПромКомплект"</t>
        </is>
      </c>
      <c r="C23" s="346" t="n">
        <v>600000</v>
      </c>
      <c r="D23" s="272" t="inlineStr">
        <is>
          <t>L1 (Дорого)</t>
        </is>
      </c>
      <c r="E23" s="218" t="inlineStr">
        <is>
          <t>Срыв контакта в звонке C-505 (2 балла): прямой спор по цене</t>
        </is>
      </c>
      <c r="F23" s="218" t="inlineStr">
        <is>
          <t>Оффер "Enterprise Lite": разбивка платежа на 3 транша по 200 000 ₽ + аудит процессов в подарок</t>
        </is>
      </c>
      <c r="G23" s="218" t="inlineStr">
        <is>
          <t>WhatsApp Business API</t>
        </is>
      </c>
      <c r="H23" s="273" t="n">
        <v>0.5</v>
      </c>
      <c r="I23" s="274" t="inlineStr">
        <is>
          <t>🚀 В ОЧЕРЕДИ ОТПРАВКИ</t>
        </is>
      </c>
    </row>
    <row r="24" ht="19.5" customHeight="1" s="461">
      <c r="A24" s="324" t="inlineStr">
        <is>
          <t>D-110</t>
        </is>
      </c>
      <c r="B24" s="218" t="inlineStr">
        <is>
          <t>ЗАО "ТехноМаш"</t>
        </is>
      </c>
      <c r="C24" s="346" t="n">
        <v>400000</v>
      </c>
      <c r="D24" s="272" t="inlineStr">
        <is>
          <t>L2 (Конкурент)</t>
        </is>
      </c>
      <c r="E24" s="218" t="inlineStr">
        <is>
          <t>Не сформирована ценность интеграции, уход к альтернативе</t>
        </is>
      </c>
      <c r="F24" s="218" t="inlineStr">
        <is>
          <t>Кейс-сравнение с конкурентом: окупаемость за 1.0 мес + персональная сессия с техническим директором</t>
        </is>
      </c>
      <c r="G24" s="218" t="inlineStr">
        <is>
          <t>Email + звонок РОПа</t>
        </is>
      </c>
      <c r="H24" s="273" t="n">
        <v>0.35</v>
      </c>
      <c r="I24" s="274" t="inlineStr">
        <is>
          <t>⚡ ТРЕБУЕТ АППРУВА РОПА</t>
        </is>
      </c>
    </row>
  </sheetData>
  <mergeCells count="4">
    <mergeCell ref="A1:I1"/>
    <mergeCell ref="A21:I21"/>
    <mergeCell ref="A6:I6"/>
    <mergeCell ref="A15:I1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FF383F49"/>
    <outlinePr summaryBelow="0" summaryRight="0"/>
    <pageSetUpPr/>
  </sheetPr>
  <dimension ref="A1:AC1000"/>
  <sheetViews>
    <sheetView workbookViewId="0">
      <selection activeCell="A1" sqref="A1"/>
    </sheetView>
  </sheetViews>
  <sheetFormatPr baseColWidth="8" defaultColWidth="12.63" defaultRowHeight="15.75" customHeight="1"/>
  <cols>
    <col width="13.88" customWidth="1" style="461" min="1" max="2"/>
    <col width="16.38" customWidth="1" style="461" min="3" max="3"/>
    <col width="31.38" customWidth="1" style="461" min="4" max="4"/>
    <col width="17.63" customWidth="1" style="461" min="5" max="5"/>
    <col width="22.63" customWidth="1" style="461" min="6" max="7"/>
    <col width="17.63" customWidth="1" style="461" min="8" max="9"/>
    <col width="14.5" customWidth="1" style="461" min="10" max="11"/>
    <col width="21.38" customWidth="1" style="461" min="26" max="26"/>
    <col width="16.38" customWidth="1" style="461" min="27" max="29"/>
  </cols>
  <sheetData>
    <row r="1" ht="21" customHeight="1" s="461">
      <c r="A1" s="215" t="inlineStr">
        <is>
          <t>invoice_id</t>
        </is>
      </c>
      <c r="B1" s="215" t="inlineStr">
        <is>
          <t>deal_id</t>
        </is>
      </c>
      <c r="C1" s="215" t="inlineStr">
        <is>
          <t>client_id</t>
        </is>
      </c>
      <c r="D1" s="215" t="inlineStr">
        <is>
          <t>client_name</t>
        </is>
      </c>
      <c r="E1" s="215" t="inlineStr">
        <is>
          <t>issue_date</t>
        </is>
      </c>
      <c r="F1" s="215" t="inlineStr">
        <is>
          <t>due_date</t>
        </is>
      </c>
      <c r="G1" s="215" t="inlineStr">
        <is>
          <t>amount</t>
        </is>
      </c>
      <c r="H1" s="215" t="inlineStr">
        <is>
          <t>status</t>
        </is>
      </c>
      <c r="I1" s="215" t="inlineStr">
        <is>
          <t>paid_date</t>
        </is>
      </c>
      <c r="J1" s="215" t="inlineStr">
        <is>
          <t>overdue_days</t>
        </is>
      </c>
      <c r="K1" s="215" t="inlineStr">
        <is>
          <t>synced_at</t>
        </is>
      </c>
      <c r="Z1" s="218" t="inlineStr">
        <is>
          <t>data_snapshot_date</t>
        </is>
      </c>
      <c r="AA1" s="218" t="inlineStr">
        <is>
          <t>data_version</t>
        </is>
      </c>
      <c r="AB1" s="218" t="inlineStr">
        <is>
          <t>uploaded_by</t>
        </is>
      </c>
      <c r="AC1" s="218" t="inlineStr">
        <is>
          <t>upload_hash</t>
        </is>
      </c>
    </row>
    <row r="2" ht="16.5" customHeight="1" s="461">
      <c r="A2" s="218" t="inlineStr">
        <is>
          <t>INV-201</t>
        </is>
      </c>
      <c r="B2" s="218" t="inlineStr">
        <is>
          <t>D-101</t>
        </is>
      </c>
      <c r="C2" s="218" t="inlineStr">
        <is>
          <t>ga_11</t>
        </is>
      </c>
      <c r="D2" s="218" t="inlineStr">
        <is>
          <t>ООО "Альфа Трейд"</t>
        </is>
      </c>
      <c r="E2" s="246" t="n">
        <v>46267</v>
      </c>
      <c r="F2" s="246" t="n">
        <v>46277</v>
      </c>
      <c r="G2" s="346" t="n">
        <v>450000</v>
      </c>
      <c r="H2" s="218" t="inlineStr">
        <is>
          <t>paid</t>
        </is>
      </c>
      <c r="I2" s="246" t="n">
        <v>46277</v>
      </c>
      <c r="J2" s="197">
        <f>IF(A2="","", IF(AND(H2&lt;&gt;"", H2="paid"), 0, IF(ISBLANK(F2), 0, IF(calc_engine!$B$1&gt;IF(ISNUMBER(F2), F2, DATEVALUE(F2)), calc_engine!$B$1-IF(ISNUMBER(F2), F2, DATEVALUE(F2)), 0))))</f>
        <v/>
      </c>
      <c r="K2" s="246" t="n">
        <v>46286</v>
      </c>
    </row>
    <row r="3" ht="16.5" customHeight="1" s="461">
      <c r="A3" s="218" t="inlineStr">
        <is>
          <t>INV-202</t>
        </is>
      </c>
      <c r="B3" s="218" t="inlineStr">
        <is>
          <t>D-102</t>
        </is>
      </c>
      <c r="C3" s="218" t="inlineStr">
        <is>
          <t>ga_12</t>
        </is>
      </c>
      <c r="D3" s="218" t="inlineStr">
        <is>
          <t>АО "Северсталь Ресурс"</t>
        </is>
      </c>
      <c r="E3" s="246" t="n">
        <v>46269</v>
      </c>
      <c r="F3" s="246" t="n">
        <v>46281</v>
      </c>
      <c r="G3" s="346" t="n">
        <v>1200000</v>
      </c>
      <c r="H3" s="218" t="inlineStr">
        <is>
          <t>paid</t>
        </is>
      </c>
      <c r="I3" s="246" t="n">
        <v>46281</v>
      </c>
      <c r="J3" s="197">
        <f>IF(A3="","", IF(AND(H3&lt;&gt;"", H3="paid"), 0, IF(ISBLANK(F3), 0, IF(calc_engine!$B$1&gt;IF(ISNUMBER(F3), F3, DATEVALUE(F3)), calc_engine!$B$1-IF(ISNUMBER(F3), F3, DATEVALUE(F3)), 0))))</f>
        <v/>
      </c>
      <c r="K3" s="246" t="n">
        <v>46286</v>
      </c>
    </row>
    <row r="4" ht="16.5" customHeight="1" s="461">
      <c r="A4" s="218" t="inlineStr">
        <is>
          <t>INV-203</t>
        </is>
      </c>
      <c r="B4" s="218" t="inlineStr">
        <is>
          <t>D-103</t>
        </is>
      </c>
      <c r="C4" s="218" t="inlineStr">
        <is>
          <t>ga_13</t>
        </is>
      </c>
      <c r="D4" s="218" t="inlineStr">
        <is>
          <t>ИП Смирнов О.В.</t>
        </is>
      </c>
      <c r="E4" s="246" t="n">
        <v>46275</v>
      </c>
      <c r="F4" s="246" t="n">
        <v>46285</v>
      </c>
      <c r="G4" s="346" t="n">
        <v>150000</v>
      </c>
      <c r="H4" s="218" t="inlineStr">
        <is>
          <t>overdue</t>
        </is>
      </c>
      <c r="J4" s="197">
        <f>IF(A4="","", IF(AND(H4&lt;&gt;"", H4="paid"), 0, IF(ISBLANK(F4), 0, IF(calc_engine!$B$1&gt;IF(ISNUMBER(F4), F4, DATEVALUE(F4)), calc_engine!$B$1-IF(ISNUMBER(F4), F4, DATEVALUE(F4)), 0))))</f>
        <v/>
      </c>
      <c r="K4" s="246" t="n">
        <v>46286</v>
      </c>
    </row>
    <row r="5" ht="16.5" customHeight="1" s="461">
      <c r="A5" s="218" t="inlineStr">
        <is>
          <t>INV-204</t>
        </is>
      </c>
      <c r="B5" s="218" t="inlineStr">
        <is>
          <t>D-104</t>
        </is>
      </c>
      <c r="C5" s="218" t="inlineStr">
        <is>
          <t>ga_14</t>
        </is>
      </c>
      <c r="D5" s="218" t="inlineStr">
        <is>
          <t>ООО "Вектор Плюс"</t>
        </is>
      </c>
      <c r="E5" s="246" t="n">
        <v>46283</v>
      </c>
      <c r="F5" s="246" t="n">
        <v>46293</v>
      </c>
      <c r="G5" s="346" t="n">
        <v>850000</v>
      </c>
      <c r="H5" s="218" t="inlineStr">
        <is>
          <t>forecast</t>
        </is>
      </c>
      <c r="J5" s="197">
        <f>IF(A5="","", IF(AND(H5&lt;&gt;"", H5="paid"), 0, IF(ISBLANK(F5), 0, IF(calc_engine!$B$1&gt;IF(ISNUMBER(F5), F5, DATEVALUE(F5)), calc_engine!$B$1-IF(ISNUMBER(F5), F5, DATEVALUE(F5)), 0))))</f>
        <v/>
      </c>
      <c r="K5" s="246" t="n">
        <v>46286</v>
      </c>
    </row>
    <row r="6" ht="16.5" customHeight="1" s="461">
      <c r="A6" s="218" t="inlineStr">
        <is>
          <t>INV-205</t>
        </is>
      </c>
      <c r="B6" s="218" t="inlineStr">
        <is>
          <t>D-105</t>
        </is>
      </c>
      <c r="C6" s="218" t="inlineStr">
        <is>
          <t>ga_15</t>
        </is>
      </c>
      <c r="D6" s="218" t="inlineStr">
        <is>
          <t>ООО "Глобал Инвест"</t>
        </is>
      </c>
      <c r="E6" s="246" t="n">
        <v>46285</v>
      </c>
      <c r="F6" s="246" t="n">
        <v>46300</v>
      </c>
      <c r="G6" s="346" t="n">
        <v>3000000</v>
      </c>
      <c r="H6" s="218" t="inlineStr">
        <is>
          <t>forecast</t>
        </is>
      </c>
      <c r="J6" s="197">
        <f>IF(A6="","", IF(AND(H6&lt;&gt;"", H6="paid"), 0, IF(ISBLANK(F6), 0, IF(calc_engine!$B$1&gt;IF(ISNUMBER(F6), F6, DATEVALUE(F6)), calc_engine!$B$1-IF(ISNUMBER(F6), F6, DATEVALUE(F6)), 0))))</f>
        <v/>
      </c>
      <c r="K6" s="246" t="n">
        <v>46286</v>
      </c>
    </row>
    <row r="7" ht="16.5" customHeight="1" s="461">
      <c r="A7" s="218" t="inlineStr">
        <is>
          <t>INV-206</t>
        </is>
      </c>
      <c r="B7" s="218" t="inlineStr">
        <is>
          <t>D-101</t>
        </is>
      </c>
      <c r="C7" s="218" t="inlineStr">
        <is>
          <t>ga_11</t>
        </is>
      </c>
      <c r="D7" s="218" t="inlineStr">
        <is>
          <t>ООО "Альфа Трейд"</t>
        </is>
      </c>
      <c r="E7" s="246" t="n">
        <v>46290</v>
      </c>
      <c r="F7" s="246" t="n">
        <v>46307</v>
      </c>
      <c r="G7" s="346" t="n">
        <v>75000</v>
      </c>
      <c r="H7" s="218" t="inlineStr">
        <is>
          <t>forecast</t>
        </is>
      </c>
      <c r="J7" s="197">
        <f>IF(A7="","", IF(AND(H7&lt;&gt;"", H7="paid"), 0, IF(ISBLANK(F7), 0, IF(calc_engine!$B$1&gt;IF(ISNUMBER(F7), F7, DATEVALUE(F7)), calc_engine!$B$1-IF(ISNUMBER(F7), F7, DATEVALUE(F7)), 0))))</f>
        <v/>
      </c>
      <c r="K7" s="246" t="n">
        <v>46286</v>
      </c>
    </row>
    <row r="8" ht="16.5" customHeight="1" s="461">
      <c r="A8" s="218" t="inlineStr">
        <is>
          <t>INV-207</t>
        </is>
      </c>
      <c r="B8" s="218" t="inlineStr">
        <is>
          <t>D-102</t>
        </is>
      </c>
      <c r="C8" s="218" t="inlineStr">
        <is>
          <t>ga_12</t>
        </is>
      </c>
      <c r="D8" s="218" t="inlineStr">
        <is>
          <t>АО "Северсталь Ресурс"</t>
        </is>
      </c>
      <c r="E8" s="246" t="n">
        <v>46290</v>
      </c>
      <c r="F8" s="246" t="n">
        <v>46311</v>
      </c>
      <c r="G8" s="346" t="n">
        <v>150000</v>
      </c>
      <c r="H8" s="218" t="inlineStr">
        <is>
          <t>forecast</t>
        </is>
      </c>
      <c r="J8" s="197">
        <f>IF(A8="","", IF(AND(H8&lt;&gt;"", H8="paid"), 0, IF(ISBLANK(F8), 0, IF(calc_engine!$B$1&gt;IF(ISNUMBER(F8), F8, DATEVALUE(F8)), calc_engine!$B$1-IF(ISNUMBER(F8), F8, DATEVALUE(F8)), 0))))</f>
        <v/>
      </c>
      <c r="K8" s="246" t="n">
        <v>46286</v>
      </c>
    </row>
    <row r="9" ht="16.5" customHeight="1" s="461">
      <c r="A9" s="218" t="inlineStr">
        <is>
          <t>INV-208</t>
        </is>
      </c>
      <c r="B9" s="218" t="inlineStr">
        <is>
          <t>D-099</t>
        </is>
      </c>
      <c r="C9" s="218" t="inlineStr">
        <is>
          <t>ga_08</t>
        </is>
      </c>
      <c r="D9" s="218" t="inlineStr">
        <is>
          <t>ООО "ПромСбыт"</t>
        </is>
      </c>
      <c r="E9" s="246" t="n">
        <v>46244</v>
      </c>
      <c r="F9" s="246" t="n">
        <v>46259</v>
      </c>
      <c r="G9" s="346" t="n">
        <v>180000</v>
      </c>
      <c r="H9" s="218" t="inlineStr">
        <is>
          <t>overdue</t>
        </is>
      </c>
      <c r="J9" s="197">
        <f>IF(A9="","", IF(AND(H9&lt;&gt;"", H9="paid"), 0, IF(ISBLANK(F9), 0, IF(calc_engine!$B$1&gt;IF(ISNUMBER(F9), F9, DATEVALUE(F9)), calc_engine!$B$1-IF(ISNUMBER(F9), F9, DATEVALUE(F9)), 0))))</f>
        <v/>
      </c>
      <c r="K9" s="246" t="n">
        <v>46286</v>
      </c>
    </row>
    <row r="10">
      <c r="G10" s="346" t="n"/>
      <c r="H10" s="218" t="n"/>
      <c r="J10" s="197" t="n"/>
    </row>
    <row r="11">
      <c r="H11" s="218" t="n"/>
    </row>
    <row r="12">
      <c r="H12" s="218" t="n"/>
    </row>
    <row r="13">
      <c r="H13" s="218" t="n"/>
    </row>
    <row r="14">
      <c r="H14" s="218" t="n"/>
    </row>
    <row r="15">
      <c r="H15" s="218" t="n"/>
    </row>
    <row r="16">
      <c r="H16" s="218" t="n"/>
    </row>
    <row r="17">
      <c r="H17" s="218" t="n"/>
    </row>
    <row r="18">
      <c r="H18" s="218" t="n"/>
    </row>
    <row r="19">
      <c r="H19" s="218" t="n"/>
    </row>
    <row r="20">
      <c r="H20" s="218" t="n"/>
    </row>
    <row r="21">
      <c r="H21" s="218" t="n"/>
    </row>
    <row r="22">
      <c r="H22" s="218" t="n"/>
    </row>
    <row r="23">
      <c r="H23" s="218" t="n"/>
    </row>
    <row r="24">
      <c r="H24" s="218" t="n"/>
    </row>
    <row r="25">
      <c r="H25" s="218" t="n"/>
    </row>
    <row r="26">
      <c r="H26" s="218" t="n"/>
    </row>
    <row r="27">
      <c r="H27" s="218" t="n"/>
    </row>
    <row r="28">
      <c r="H28" s="218" t="n"/>
    </row>
    <row r="29">
      <c r="H29" s="218" t="n"/>
    </row>
    <row r="30">
      <c r="H30" s="218" t="n"/>
    </row>
    <row r="31">
      <c r="H31" s="218" t="n"/>
    </row>
    <row r="32">
      <c r="H32" s="218" t="n"/>
    </row>
    <row r="33">
      <c r="H33" s="218" t="n"/>
    </row>
    <row r="34">
      <c r="H34" s="218" t="n"/>
    </row>
    <row r="35">
      <c r="H35" s="218" t="n"/>
    </row>
    <row r="36">
      <c r="H36" s="218" t="n"/>
    </row>
    <row r="37">
      <c r="H37" s="218" t="n"/>
    </row>
    <row r="38">
      <c r="H38" s="218" t="n"/>
    </row>
    <row r="39">
      <c r="H39" s="218" t="n"/>
    </row>
    <row r="40">
      <c r="H40" s="218" t="n"/>
    </row>
    <row r="41">
      <c r="H41" s="218" t="n"/>
    </row>
    <row r="42">
      <c r="H42" s="218" t="n"/>
    </row>
    <row r="43">
      <c r="H43" s="218" t="n"/>
    </row>
    <row r="44">
      <c r="H44" s="218" t="n"/>
    </row>
    <row r="45">
      <c r="H45" s="218" t="n"/>
    </row>
    <row r="46">
      <c r="H46" s="218" t="n"/>
    </row>
    <row r="47">
      <c r="H47" s="218" t="n"/>
    </row>
    <row r="48">
      <c r="H48" s="218" t="n"/>
    </row>
    <row r="49">
      <c r="H49" s="218" t="n"/>
    </row>
    <row r="50">
      <c r="H50" s="218" t="n"/>
    </row>
    <row r="51">
      <c r="H51" s="218" t="n"/>
    </row>
    <row r="52">
      <c r="H52" s="218" t="n"/>
    </row>
    <row r="53">
      <c r="H53" s="218" t="n"/>
    </row>
    <row r="54">
      <c r="H54" s="218" t="n"/>
    </row>
    <row r="55">
      <c r="H55" s="218" t="n"/>
    </row>
    <row r="56">
      <c r="H56" s="218" t="n"/>
    </row>
    <row r="57">
      <c r="H57" s="218" t="n"/>
    </row>
    <row r="58">
      <c r="H58" s="218" t="n"/>
    </row>
    <row r="59">
      <c r="H59" s="218" t="n"/>
    </row>
    <row r="60">
      <c r="H60" s="218" t="n"/>
    </row>
    <row r="61">
      <c r="H61" s="218" t="n"/>
    </row>
    <row r="62">
      <c r="H62" s="218" t="n"/>
    </row>
    <row r="63">
      <c r="H63" s="218" t="n"/>
    </row>
    <row r="64">
      <c r="H64" s="218" t="n"/>
    </row>
    <row r="65">
      <c r="H65" s="218" t="n"/>
    </row>
    <row r="66">
      <c r="H66" s="218" t="n"/>
    </row>
    <row r="67">
      <c r="H67" s="218" t="n"/>
    </row>
    <row r="68">
      <c r="H68" s="218" t="n"/>
    </row>
    <row r="69">
      <c r="H69" s="218" t="n"/>
    </row>
    <row r="70">
      <c r="H70" s="218" t="n"/>
    </row>
    <row r="71">
      <c r="H71" s="218" t="n"/>
    </row>
    <row r="72">
      <c r="H72" s="218" t="n"/>
    </row>
    <row r="73">
      <c r="H73" s="218" t="n"/>
    </row>
    <row r="74">
      <c r="H74" s="218" t="n"/>
    </row>
    <row r="75">
      <c r="H75" s="218" t="n"/>
    </row>
    <row r="76">
      <c r="H76" s="218" t="n"/>
    </row>
    <row r="77">
      <c r="H77" s="218" t="n"/>
    </row>
    <row r="78">
      <c r="H78" s="218" t="n"/>
    </row>
    <row r="79">
      <c r="H79" s="218" t="n"/>
    </row>
    <row r="80">
      <c r="H80" s="218" t="n"/>
    </row>
    <row r="81">
      <c r="H81" s="218" t="n"/>
    </row>
    <row r="82">
      <c r="H82" s="218" t="n"/>
    </row>
    <row r="83">
      <c r="H83" s="218" t="n"/>
    </row>
    <row r="84">
      <c r="H84" s="218" t="n"/>
    </row>
    <row r="85">
      <c r="H85" s="218" t="n"/>
    </row>
    <row r="86">
      <c r="H86" s="218" t="n"/>
    </row>
    <row r="87">
      <c r="H87" s="218" t="n"/>
    </row>
    <row r="88">
      <c r="H88" s="218" t="n"/>
    </row>
    <row r="89">
      <c r="H89" s="218" t="n"/>
    </row>
    <row r="90">
      <c r="H90" s="218" t="n"/>
    </row>
    <row r="91">
      <c r="H91" s="218" t="n"/>
    </row>
    <row r="92">
      <c r="H92" s="218" t="n"/>
    </row>
    <row r="93">
      <c r="H93" s="218" t="n"/>
    </row>
    <row r="94">
      <c r="H94" s="218" t="n"/>
    </row>
    <row r="95">
      <c r="H95" s="218" t="n"/>
    </row>
    <row r="96">
      <c r="H96" s="218" t="n"/>
    </row>
    <row r="97">
      <c r="H97" s="218" t="n"/>
    </row>
    <row r="98">
      <c r="H98" s="218" t="n"/>
    </row>
    <row r="99">
      <c r="H99" s="218" t="n"/>
    </row>
    <row r="100">
      <c r="H100" s="218" t="n"/>
    </row>
    <row r="101">
      <c r="H101" s="218" t="n"/>
    </row>
    <row r="102">
      <c r="H102" s="218" t="n"/>
    </row>
    <row r="103">
      <c r="H103" s="218" t="n"/>
    </row>
    <row r="104">
      <c r="H104" s="218" t="n"/>
    </row>
    <row r="105">
      <c r="H105" s="218" t="n"/>
    </row>
    <row r="106">
      <c r="H106" s="218" t="n"/>
    </row>
    <row r="107">
      <c r="H107" s="218" t="n"/>
    </row>
    <row r="108">
      <c r="H108" s="218" t="n"/>
    </row>
    <row r="109">
      <c r="H109" s="218" t="n"/>
    </row>
    <row r="110">
      <c r="H110" s="218" t="n"/>
    </row>
    <row r="111">
      <c r="H111" s="218" t="n"/>
    </row>
    <row r="112">
      <c r="H112" s="218" t="n"/>
    </row>
    <row r="113">
      <c r="H113" s="218" t="n"/>
    </row>
    <row r="114">
      <c r="H114" s="218" t="n"/>
    </row>
    <row r="115">
      <c r="H115" s="218" t="n"/>
    </row>
    <row r="116">
      <c r="H116" s="218" t="n"/>
    </row>
    <row r="117">
      <c r="H117" s="218" t="n"/>
    </row>
    <row r="118">
      <c r="H118" s="218" t="n"/>
    </row>
    <row r="119">
      <c r="H119" s="218" t="n"/>
    </row>
    <row r="120">
      <c r="H120" s="218" t="n"/>
    </row>
    <row r="121">
      <c r="H121" s="218" t="n"/>
    </row>
    <row r="122">
      <c r="H122" s="218" t="n"/>
    </row>
    <row r="123">
      <c r="H123" s="218" t="n"/>
    </row>
    <row r="124">
      <c r="H124" s="218" t="n"/>
    </row>
    <row r="125">
      <c r="H125" s="218" t="n"/>
    </row>
    <row r="126">
      <c r="H126" s="218" t="n"/>
    </row>
    <row r="127">
      <c r="H127" s="218" t="n"/>
    </row>
    <row r="128">
      <c r="H128" s="218" t="n"/>
    </row>
    <row r="129">
      <c r="H129" s="218" t="n"/>
    </row>
    <row r="130">
      <c r="H130" s="218" t="n"/>
    </row>
    <row r="131">
      <c r="H131" s="218" t="n"/>
    </row>
    <row r="132">
      <c r="H132" s="218" t="n"/>
    </row>
    <row r="133">
      <c r="H133" s="218" t="n"/>
    </row>
    <row r="134">
      <c r="H134" s="218" t="n"/>
    </row>
    <row r="135">
      <c r="H135" s="218" t="n"/>
    </row>
    <row r="136">
      <c r="H136" s="218" t="n"/>
    </row>
    <row r="137">
      <c r="H137" s="218" t="n"/>
    </row>
    <row r="138">
      <c r="H138" s="218" t="n"/>
    </row>
    <row r="139">
      <c r="H139" s="218" t="n"/>
    </row>
    <row r="140">
      <c r="H140" s="218" t="n"/>
    </row>
    <row r="141">
      <c r="H141" s="218" t="n"/>
    </row>
    <row r="142">
      <c r="H142" s="218" t="n"/>
    </row>
    <row r="143">
      <c r="H143" s="218" t="n"/>
    </row>
    <row r="144">
      <c r="H144" s="218" t="n"/>
    </row>
    <row r="145">
      <c r="H145" s="218" t="n"/>
    </row>
    <row r="146">
      <c r="H146" s="218" t="n"/>
    </row>
    <row r="147">
      <c r="H147" s="218" t="n"/>
    </row>
    <row r="148">
      <c r="H148" s="218" t="n"/>
    </row>
    <row r="149">
      <c r="H149" s="218" t="n"/>
    </row>
    <row r="150">
      <c r="H150" s="218" t="n"/>
    </row>
    <row r="151">
      <c r="H151" s="218" t="n"/>
    </row>
    <row r="152">
      <c r="H152" s="218" t="n"/>
    </row>
    <row r="153">
      <c r="H153" s="218" t="n"/>
    </row>
    <row r="154">
      <c r="H154" s="218" t="n"/>
    </row>
    <row r="155">
      <c r="H155" s="218" t="n"/>
    </row>
    <row r="156">
      <c r="H156" s="218" t="n"/>
    </row>
    <row r="157">
      <c r="H157" s="218" t="n"/>
    </row>
    <row r="158">
      <c r="H158" s="218" t="n"/>
    </row>
    <row r="159">
      <c r="H159" s="218" t="n"/>
    </row>
    <row r="160">
      <c r="H160" s="218" t="n"/>
    </row>
    <row r="161">
      <c r="H161" s="218" t="n"/>
    </row>
    <row r="162">
      <c r="H162" s="218" t="n"/>
    </row>
    <row r="163">
      <c r="H163" s="218" t="n"/>
    </row>
    <row r="164">
      <c r="H164" s="218" t="n"/>
    </row>
    <row r="165">
      <c r="H165" s="218" t="n"/>
    </row>
    <row r="166">
      <c r="H166" s="218" t="n"/>
    </row>
    <row r="167">
      <c r="H167" s="218" t="n"/>
    </row>
    <row r="168">
      <c r="H168" s="218" t="n"/>
    </row>
    <row r="169">
      <c r="H169" s="218" t="n"/>
    </row>
    <row r="170">
      <c r="H170" s="218" t="n"/>
    </row>
    <row r="171">
      <c r="H171" s="218" t="n"/>
    </row>
    <row r="172">
      <c r="H172" s="218" t="n"/>
    </row>
    <row r="173">
      <c r="H173" s="218" t="n"/>
    </row>
    <row r="174">
      <c r="H174" s="218" t="n"/>
    </row>
    <row r="175">
      <c r="H175" s="218" t="n"/>
    </row>
    <row r="176">
      <c r="H176" s="218" t="n"/>
    </row>
    <row r="177">
      <c r="H177" s="218" t="n"/>
    </row>
    <row r="178">
      <c r="H178" s="218" t="n"/>
    </row>
    <row r="179">
      <c r="H179" s="218" t="n"/>
    </row>
    <row r="180">
      <c r="H180" s="218" t="n"/>
    </row>
    <row r="181">
      <c r="H181" s="218" t="n"/>
    </row>
    <row r="182">
      <c r="H182" s="218" t="n"/>
    </row>
    <row r="183">
      <c r="H183" s="218" t="n"/>
    </row>
    <row r="184">
      <c r="H184" s="218" t="n"/>
    </row>
    <row r="185">
      <c r="H185" s="218" t="n"/>
    </row>
    <row r="186">
      <c r="H186" s="218" t="n"/>
    </row>
    <row r="187">
      <c r="H187" s="218" t="n"/>
    </row>
    <row r="188">
      <c r="H188" s="218" t="n"/>
    </row>
    <row r="189">
      <c r="H189" s="218" t="n"/>
    </row>
    <row r="190">
      <c r="H190" s="218" t="n"/>
    </row>
    <row r="191">
      <c r="H191" s="218" t="n"/>
    </row>
    <row r="192">
      <c r="H192" s="218" t="n"/>
    </row>
    <row r="193">
      <c r="H193" s="218" t="n"/>
    </row>
    <row r="194">
      <c r="H194" s="218" t="n"/>
    </row>
    <row r="195">
      <c r="H195" s="218" t="n"/>
    </row>
    <row r="196">
      <c r="H196" s="218" t="n"/>
    </row>
    <row r="197">
      <c r="H197" s="218" t="n"/>
    </row>
    <row r="198">
      <c r="H198" s="218" t="n"/>
    </row>
    <row r="199">
      <c r="H199" s="218" t="n"/>
    </row>
    <row r="200">
      <c r="H200" s="218" t="n"/>
    </row>
    <row r="201">
      <c r="H201" s="218" t="n"/>
    </row>
    <row r="202">
      <c r="H202" s="218" t="n"/>
    </row>
    <row r="203">
      <c r="H203" s="218" t="n"/>
    </row>
    <row r="204">
      <c r="H204" s="218" t="n"/>
    </row>
    <row r="205">
      <c r="H205" s="218" t="n"/>
    </row>
    <row r="206">
      <c r="H206" s="218" t="n"/>
    </row>
    <row r="207">
      <c r="H207" s="218" t="n"/>
    </row>
    <row r="208">
      <c r="H208" s="218" t="n"/>
    </row>
    <row r="209">
      <c r="H209" s="218" t="n"/>
    </row>
    <row r="210">
      <c r="H210" s="218" t="n"/>
    </row>
    <row r="211">
      <c r="H211" s="218" t="n"/>
    </row>
    <row r="212">
      <c r="H212" s="218" t="n"/>
    </row>
    <row r="213">
      <c r="H213" s="218" t="n"/>
    </row>
    <row r="214">
      <c r="H214" s="218" t="n"/>
    </row>
    <row r="215">
      <c r="H215" s="218" t="n"/>
    </row>
    <row r="216">
      <c r="H216" s="218" t="n"/>
    </row>
    <row r="217">
      <c r="H217" s="218" t="n"/>
    </row>
    <row r="218">
      <c r="H218" s="218" t="n"/>
    </row>
    <row r="219">
      <c r="H219" s="218" t="n"/>
    </row>
    <row r="220">
      <c r="H220" s="218" t="n"/>
    </row>
    <row r="221">
      <c r="H221" s="218" t="n"/>
    </row>
    <row r="222">
      <c r="H222" s="218" t="n"/>
    </row>
    <row r="223">
      <c r="H223" s="218" t="n"/>
    </row>
    <row r="224">
      <c r="H224" s="218" t="n"/>
    </row>
    <row r="225">
      <c r="H225" s="218" t="n"/>
    </row>
    <row r="226">
      <c r="H226" s="218" t="n"/>
    </row>
    <row r="227">
      <c r="H227" s="218" t="n"/>
    </row>
    <row r="228">
      <c r="H228" s="218" t="n"/>
    </row>
    <row r="229">
      <c r="H229" s="218" t="n"/>
    </row>
    <row r="230">
      <c r="H230" s="218" t="n"/>
    </row>
    <row r="231">
      <c r="H231" s="218" t="n"/>
    </row>
    <row r="232">
      <c r="H232" s="218" t="n"/>
    </row>
    <row r="233">
      <c r="H233" s="218" t="n"/>
    </row>
    <row r="234">
      <c r="H234" s="218" t="n"/>
    </row>
    <row r="235">
      <c r="H235" s="218" t="n"/>
    </row>
    <row r="236">
      <c r="H236" s="218" t="n"/>
    </row>
    <row r="237">
      <c r="H237" s="218" t="n"/>
    </row>
    <row r="238">
      <c r="H238" s="218" t="n"/>
    </row>
    <row r="239">
      <c r="H239" s="218" t="n"/>
    </row>
    <row r="240">
      <c r="H240" s="218" t="n"/>
    </row>
    <row r="241">
      <c r="H241" s="218" t="n"/>
    </row>
    <row r="242">
      <c r="H242" s="218" t="n"/>
    </row>
    <row r="243">
      <c r="H243" s="218" t="n"/>
    </row>
    <row r="244">
      <c r="H244" s="218" t="n"/>
    </row>
    <row r="245">
      <c r="H245" s="218" t="n"/>
    </row>
    <row r="246">
      <c r="H246" s="218" t="n"/>
    </row>
    <row r="247">
      <c r="H247" s="218" t="n"/>
    </row>
    <row r="248">
      <c r="H248" s="218" t="n"/>
    </row>
    <row r="249">
      <c r="H249" s="218" t="n"/>
    </row>
    <row r="250">
      <c r="H250" s="218" t="n"/>
    </row>
    <row r="251">
      <c r="H251" s="218" t="n"/>
    </row>
    <row r="252">
      <c r="H252" s="218" t="n"/>
    </row>
    <row r="253">
      <c r="H253" s="218" t="n"/>
    </row>
    <row r="254">
      <c r="H254" s="218" t="n"/>
    </row>
    <row r="255">
      <c r="H255" s="218" t="n"/>
    </row>
    <row r="256">
      <c r="H256" s="218" t="n"/>
    </row>
    <row r="257">
      <c r="H257" s="218" t="n"/>
    </row>
    <row r="258">
      <c r="H258" s="218" t="n"/>
    </row>
    <row r="259">
      <c r="H259" s="218" t="n"/>
    </row>
    <row r="260">
      <c r="H260" s="218" t="n"/>
    </row>
    <row r="261">
      <c r="H261" s="218" t="n"/>
    </row>
    <row r="262">
      <c r="H262" s="218" t="n"/>
    </row>
    <row r="263">
      <c r="H263" s="218" t="n"/>
    </row>
    <row r="264">
      <c r="H264" s="218" t="n"/>
    </row>
    <row r="265">
      <c r="H265" s="218" t="n"/>
    </row>
    <row r="266">
      <c r="H266" s="218" t="n"/>
    </row>
    <row r="267">
      <c r="H267" s="218" t="n"/>
    </row>
    <row r="268">
      <c r="H268" s="218" t="n"/>
    </row>
    <row r="269">
      <c r="H269" s="218" t="n"/>
    </row>
    <row r="270">
      <c r="H270" s="218" t="n"/>
    </row>
    <row r="271">
      <c r="H271" s="218" t="n"/>
    </row>
    <row r="272">
      <c r="H272" s="218" t="n"/>
    </row>
    <row r="273">
      <c r="H273" s="218" t="n"/>
    </row>
    <row r="274">
      <c r="H274" s="218" t="n"/>
    </row>
    <row r="275">
      <c r="H275" s="218" t="n"/>
    </row>
    <row r="276">
      <c r="H276" s="218" t="n"/>
    </row>
    <row r="277">
      <c r="H277" s="218" t="n"/>
    </row>
    <row r="278">
      <c r="H278" s="218" t="n"/>
    </row>
    <row r="279">
      <c r="H279" s="218" t="n"/>
    </row>
    <row r="280">
      <c r="H280" s="218" t="n"/>
    </row>
    <row r="281">
      <c r="H281" s="218" t="n"/>
    </row>
    <row r="282">
      <c r="H282" s="218" t="n"/>
    </row>
    <row r="283">
      <c r="H283" s="218" t="n"/>
    </row>
    <row r="284">
      <c r="H284" s="218" t="n"/>
    </row>
    <row r="285">
      <c r="H285" s="218" t="n"/>
    </row>
    <row r="286">
      <c r="H286" s="218" t="n"/>
    </row>
    <row r="287">
      <c r="H287" s="218" t="n"/>
    </row>
    <row r="288">
      <c r="H288" s="218" t="n"/>
    </row>
    <row r="289">
      <c r="H289" s="218" t="n"/>
    </row>
    <row r="290">
      <c r="H290" s="218" t="n"/>
    </row>
    <row r="291">
      <c r="H291" s="218" t="n"/>
    </row>
    <row r="292">
      <c r="H292" s="218" t="n"/>
    </row>
    <row r="293">
      <c r="H293" s="218" t="n"/>
    </row>
    <row r="294">
      <c r="H294" s="218" t="n"/>
    </row>
    <row r="295">
      <c r="H295" s="218" t="n"/>
    </row>
    <row r="296">
      <c r="H296" s="218" t="n"/>
    </row>
    <row r="297">
      <c r="H297" s="218" t="n"/>
    </row>
    <row r="298">
      <c r="H298" s="218" t="n"/>
    </row>
    <row r="299">
      <c r="H299" s="218" t="n"/>
    </row>
    <row r="300">
      <c r="H300" s="218" t="n"/>
    </row>
    <row r="301">
      <c r="H301" s="218" t="n"/>
    </row>
    <row r="302">
      <c r="H302" s="218" t="n"/>
    </row>
    <row r="303">
      <c r="H303" s="218" t="n"/>
    </row>
    <row r="304">
      <c r="H304" s="218" t="n"/>
    </row>
    <row r="305">
      <c r="H305" s="218" t="n"/>
    </row>
    <row r="306">
      <c r="H306" s="218" t="n"/>
    </row>
    <row r="307">
      <c r="H307" s="218" t="n"/>
    </row>
    <row r="308">
      <c r="H308" s="218" t="n"/>
    </row>
    <row r="309">
      <c r="H309" s="218" t="n"/>
    </row>
    <row r="310">
      <c r="H310" s="218" t="n"/>
    </row>
    <row r="311">
      <c r="H311" s="218" t="n"/>
    </row>
    <row r="312">
      <c r="H312" s="218" t="n"/>
    </row>
    <row r="313">
      <c r="H313" s="218" t="n"/>
    </row>
    <row r="314">
      <c r="H314" s="218" t="n"/>
    </row>
    <row r="315">
      <c r="H315" s="218" t="n"/>
    </row>
    <row r="316">
      <c r="H316" s="218" t="n"/>
    </row>
    <row r="317">
      <c r="H317" s="218" t="n"/>
    </row>
    <row r="318">
      <c r="H318" s="218" t="n"/>
    </row>
    <row r="319">
      <c r="H319" s="218" t="n"/>
    </row>
    <row r="320">
      <c r="H320" s="218" t="n"/>
    </row>
    <row r="321">
      <c r="H321" s="218" t="n"/>
    </row>
    <row r="322">
      <c r="H322" s="218" t="n"/>
    </row>
    <row r="323">
      <c r="H323" s="218" t="n"/>
    </row>
    <row r="324">
      <c r="H324" s="218" t="n"/>
    </row>
    <row r="325">
      <c r="H325" s="218" t="n"/>
    </row>
    <row r="326">
      <c r="H326" s="218" t="n"/>
    </row>
    <row r="327">
      <c r="H327" s="218" t="n"/>
    </row>
    <row r="328">
      <c r="H328" s="218" t="n"/>
    </row>
    <row r="329">
      <c r="H329" s="218" t="n"/>
    </row>
    <row r="330">
      <c r="H330" s="218" t="n"/>
    </row>
    <row r="331">
      <c r="H331" s="218" t="n"/>
    </row>
    <row r="332">
      <c r="H332" s="218" t="n"/>
    </row>
    <row r="333">
      <c r="H333" s="218" t="n"/>
    </row>
    <row r="334">
      <c r="H334" s="218" t="n"/>
    </row>
    <row r="335">
      <c r="H335" s="218" t="n"/>
    </row>
    <row r="336">
      <c r="H336" s="218" t="n"/>
    </row>
    <row r="337">
      <c r="H337" s="218" t="n"/>
    </row>
    <row r="338">
      <c r="H338" s="218" t="n"/>
    </row>
    <row r="339">
      <c r="H339" s="218" t="n"/>
    </row>
    <row r="340">
      <c r="H340" s="218" t="n"/>
    </row>
    <row r="341">
      <c r="H341" s="218" t="n"/>
    </row>
    <row r="342">
      <c r="H342" s="218" t="n"/>
    </row>
    <row r="343">
      <c r="H343" s="218" t="n"/>
    </row>
    <row r="344">
      <c r="H344" s="218" t="n"/>
    </row>
    <row r="345">
      <c r="H345" s="218" t="n"/>
    </row>
    <row r="346">
      <c r="H346" s="218" t="n"/>
    </row>
    <row r="347">
      <c r="H347" s="218" t="n"/>
    </row>
    <row r="348">
      <c r="H348" s="218" t="n"/>
    </row>
    <row r="349">
      <c r="H349" s="218" t="n"/>
    </row>
    <row r="350">
      <c r="H350" s="218" t="n"/>
    </row>
    <row r="351">
      <c r="H351" s="218" t="n"/>
    </row>
    <row r="352">
      <c r="H352" s="218" t="n"/>
    </row>
    <row r="353">
      <c r="H353" s="218" t="n"/>
    </row>
    <row r="354">
      <c r="H354" s="218" t="n"/>
    </row>
    <row r="355">
      <c r="H355" s="218" t="n"/>
    </row>
    <row r="356">
      <c r="H356" s="218" t="n"/>
    </row>
    <row r="357">
      <c r="H357" s="218" t="n"/>
    </row>
    <row r="358">
      <c r="H358" s="218" t="n"/>
    </row>
    <row r="359">
      <c r="H359" s="218" t="n"/>
    </row>
    <row r="360">
      <c r="H360" s="218" t="n"/>
    </row>
    <row r="361">
      <c r="H361" s="218" t="n"/>
    </row>
    <row r="362">
      <c r="H362" s="218" t="n"/>
    </row>
    <row r="363">
      <c r="H363" s="218" t="n"/>
    </row>
    <row r="364">
      <c r="H364" s="218" t="n"/>
    </row>
    <row r="365">
      <c r="H365" s="218" t="n"/>
    </row>
    <row r="366">
      <c r="H366" s="218" t="n"/>
    </row>
    <row r="367">
      <c r="H367" s="218" t="n"/>
    </row>
    <row r="368">
      <c r="H368" s="218" t="n"/>
    </row>
    <row r="369">
      <c r="H369" s="218" t="n"/>
    </row>
    <row r="370">
      <c r="H370" s="218" t="n"/>
    </row>
    <row r="371">
      <c r="H371" s="218" t="n"/>
    </row>
    <row r="372">
      <c r="H372" s="218" t="n"/>
    </row>
    <row r="373">
      <c r="H373" s="218" t="n"/>
    </row>
    <row r="374">
      <c r="H374" s="218" t="n"/>
    </row>
    <row r="375">
      <c r="H375" s="218" t="n"/>
    </row>
    <row r="376">
      <c r="H376" s="218" t="n"/>
    </row>
    <row r="377">
      <c r="H377" s="218" t="n"/>
    </row>
    <row r="378">
      <c r="H378" s="218" t="n"/>
    </row>
    <row r="379">
      <c r="H379" s="218" t="n"/>
    </row>
    <row r="380">
      <c r="H380" s="218" t="n"/>
    </row>
    <row r="381">
      <c r="H381" s="218" t="n"/>
    </row>
    <row r="382">
      <c r="H382" s="218" t="n"/>
    </row>
    <row r="383">
      <c r="H383" s="218" t="n"/>
    </row>
    <row r="384">
      <c r="H384" s="218" t="n"/>
    </row>
    <row r="385">
      <c r="H385" s="218" t="n"/>
    </row>
    <row r="386">
      <c r="H386" s="218" t="n"/>
    </row>
    <row r="387">
      <c r="H387" s="218" t="n"/>
    </row>
    <row r="388">
      <c r="H388" s="218" t="n"/>
    </row>
    <row r="389">
      <c r="H389" s="218" t="n"/>
    </row>
    <row r="390">
      <c r="H390" s="218" t="n"/>
    </row>
    <row r="391">
      <c r="H391" s="218" t="n"/>
    </row>
    <row r="392">
      <c r="H392" s="218" t="n"/>
    </row>
    <row r="393">
      <c r="H393" s="218" t="n"/>
    </row>
    <row r="394">
      <c r="H394" s="218" t="n"/>
    </row>
    <row r="395">
      <c r="H395" s="218" t="n"/>
    </row>
    <row r="396">
      <c r="H396" s="218" t="n"/>
    </row>
    <row r="397">
      <c r="H397" s="218" t="n"/>
    </row>
    <row r="398">
      <c r="H398" s="218" t="n"/>
    </row>
    <row r="399">
      <c r="H399" s="218" t="n"/>
    </row>
    <row r="400">
      <c r="H400" s="218" t="n"/>
    </row>
    <row r="401">
      <c r="H401" s="218" t="n"/>
    </row>
    <row r="402">
      <c r="H402" s="218" t="n"/>
    </row>
    <row r="403">
      <c r="H403" s="218" t="n"/>
    </row>
    <row r="404">
      <c r="H404" s="218" t="n"/>
    </row>
    <row r="405">
      <c r="H405" s="218" t="n"/>
    </row>
    <row r="406">
      <c r="H406" s="218" t="n"/>
    </row>
    <row r="407">
      <c r="H407" s="218" t="n"/>
    </row>
    <row r="408">
      <c r="H408" s="218" t="n"/>
    </row>
    <row r="409">
      <c r="H409" s="218" t="n"/>
    </row>
    <row r="410">
      <c r="H410" s="218" t="n"/>
    </row>
    <row r="411">
      <c r="H411" s="218" t="n"/>
    </row>
    <row r="412">
      <c r="H412" s="218" t="n"/>
    </row>
    <row r="413">
      <c r="H413" s="218" t="n"/>
    </row>
    <row r="414">
      <c r="H414" s="218" t="n"/>
    </row>
    <row r="415">
      <c r="H415" s="218" t="n"/>
    </row>
    <row r="416">
      <c r="H416" s="218" t="n"/>
    </row>
    <row r="417">
      <c r="H417" s="218" t="n"/>
    </row>
    <row r="418">
      <c r="H418" s="218" t="n"/>
    </row>
    <row r="419">
      <c r="H419" s="218" t="n"/>
    </row>
    <row r="420">
      <c r="H420" s="218" t="n"/>
    </row>
    <row r="421">
      <c r="H421" s="218" t="n"/>
    </row>
    <row r="422">
      <c r="H422" s="218" t="n"/>
    </row>
    <row r="423">
      <c r="H423" s="218" t="n"/>
    </row>
    <row r="424">
      <c r="H424" s="218" t="n"/>
    </row>
    <row r="425">
      <c r="H425" s="218" t="n"/>
    </row>
    <row r="426">
      <c r="H426" s="218" t="n"/>
    </row>
    <row r="427">
      <c r="H427" s="218" t="n"/>
    </row>
    <row r="428">
      <c r="H428" s="218" t="n"/>
    </row>
    <row r="429">
      <c r="H429" s="218" t="n"/>
    </row>
    <row r="430">
      <c r="H430" s="218" t="n"/>
    </row>
    <row r="431">
      <c r="H431" s="218" t="n"/>
    </row>
    <row r="432">
      <c r="H432" s="218" t="n"/>
    </row>
    <row r="433">
      <c r="H433" s="218" t="n"/>
    </row>
    <row r="434">
      <c r="H434" s="218" t="n"/>
    </row>
    <row r="435">
      <c r="H435" s="218" t="n"/>
    </row>
    <row r="436">
      <c r="H436" s="218" t="n"/>
    </row>
    <row r="437">
      <c r="H437" s="218" t="n"/>
    </row>
    <row r="438">
      <c r="H438" s="218" t="n"/>
    </row>
    <row r="439">
      <c r="H439" s="218" t="n"/>
    </row>
    <row r="440">
      <c r="H440" s="218" t="n"/>
    </row>
    <row r="441">
      <c r="H441" s="218" t="n"/>
    </row>
    <row r="442">
      <c r="H442" s="218" t="n"/>
    </row>
    <row r="443">
      <c r="H443" s="218" t="n"/>
    </row>
    <row r="444">
      <c r="H444" s="218" t="n"/>
    </row>
    <row r="445">
      <c r="H445" s="218" t="n"/>
    </row>
    <row r="446">
      <c r="H446" s="218" t="n"/>
    </row>
    <row r="447">
      <c r="H447" s="218" t="n"/>
    </row>
    <row r="448">
      <c r="H448" s="218" t="n"/>
    </row>
    <row r="449">
      <c r="H449" s="218" t="n"/>
    </row>
    <row r="450">
      <c r="H450" s="218" t="n"/>
    </row>
    <row r="451">
      <c r="H451" s="218" t="n"/>
    </row>
    <row r="452">
      <c r="H452" s="218" t="n"/>
    </row>
    <row r="453">
      <c r="H453" s="218" t="n"/>
    </row>
    <row r="454">
      <c r="H454" s="218" t="n"/>
    </row>
    <row r="455">
      <c r="H455" s="218" t="n"/>
    </row>
    <row r="456">
      <c r="H456" s="218" t="n"/>
    </row>
    <row r="457">
      <c r="H457" s="218" t="n"/>
    </row>
    <row r="458">
      <c r="H458" s="218" t="n"/>
    </row>
    <row r="459">
      <c r="H459" s="218" t="n"/>
    </row>
    <row r="460">
      <c r="H460" s="218" t="n"/>
    </row>
    <row r="461">
      <c r="H461" s="218" t="n"/>
    </row>
    <row r="462">
      <c r="H462" s="218" t="n"/>
    </row>
    <row r="463">
      <c r="H463" s="218" t="n"/>
    </row>
    <row r="464">
      <c r="H464" s="218" t="n"/>
    </row>
    <row r="465">
      <c r="H465" s="218" t="n"/>
    </row>
    <row r="466">
      <c r="H466" s="218" t="n"/>
    </row>
    <row r="467">
      <c r="H467" s="218" t="n"/>
    </row>
    <row r="468">
      <c r="H468" s="218" t="n"/>
    </row>
    <row r="469">
      <c r="H469" s="218" t="n"/>
    </row>
    <row r="470">
      <c r="H470" s="218" t="n"/>
    </row>
    <row r="471">
      <c r="H471" s="218" t="n"/>
    </row>
    <row r="472">
      <c r="H472" s="218" t="n"/>
    </row>
    <row r="473">
      <c r="H473" s="218" t="n"/>
    </row>
    <row r="474">
      <c r="H474" s="218" t="n"/>
    </row>
    <row r="475">
      <c r="H475" s="218" t="n"/>
    </row>
    <row r="476">
      <c r="H476" s="218" t="n"/>
    </row>
    <row r="477">
      <c r="H477" s="218" t="n"/>
    </row>
    <row r="478">
      <c r="H478" s="218" t="n"/>
    </row>
    <row r="479">
      <c r="H479" s="218" t="n"/>
    </row>
    <row r="480">
      <c r="H480" s="218" t="n"/>
    </row>
    <row r="481">
      <c r="H481" s="218" t="n"/>
    </row>
    <row r="482">
      <c r="H482" s="218" t="n"/>
    </row>
    <row r="483">
      <c r="H483" s="218" t="n"/>
    </row>
    <row r="484">
      <c r="H484" s="218" t="n"/>
    </row>
    <row r="485">
      <c r="H485" s="218" t="n"/>
    </row>
    <row r="486">
      <c r="H486" s="218" t="n"/>
    </row>
    <row r="487">
      <c r="H487" s="218" t="n"/>
    </row>
    <row r="488">
      <c r="H488" s="218" t="n"/>
    </row>
    <row r="489">
      <c r="H489" s="218" t="n"/>
    </row>
    <row r="490">
      <c r="H490" s="218" t="n"/>
    </row>
    <row r="491">
      <c r="H491" s="218" t="n"/>
    </row>
    <row r="492">
      <c r="H492" s="218" t="n"/>
    </row>
    <row r="493">
      <c r="H493" s="218" t="n"/>
    </row>
    <row r="494">
      <c r="H494" s="218" t="n"/>
    </row>
    <row r="495">
      <c r="H495" s="218" t="n"/>
    </row>
    <row r="496">
      <c r="H496" s="218" t="n"/>
    </row>
    <row r="497">
      <c r="H497" s="218" t="n"/>
    </row>
    <row r="498">
      <c r="H498" s="218" t="n"/>
    </row>
    <row r="499">
      <c r="H499" s="218" t="n"/>
    </row>
    <row r="500">
      <c r="H500" s="218" t="n"/>
    </row>
    <row r="501">
      <c r="H501" s="218" t="n"/>
    </row>
    <row r="502">
      <c r="H502" s="218" t="n"/>
    </row>
    <row r="503">
      <c r="H503" s="218" t="n"/>
    </row>
    <row r="504">
      <c r="H504" s="218" t="n"/>
    </row>
    <row r="505">
      <c r="H505" s="218" t="n"/>
    </row>
    <row r="506">
      <c r="H506" s="218" t="n"/>
    </row>
    <row r="507">
      <c r="H507" s="218" t="n"/>
    </row>
    <row r="508">
      <c r="H508" s="218" t="n"/>
    </row>
    <row r="509">
      <c r="H509" s="218" t="n"/>
    </row>
    <row r="510">
      <c r="H510" s="218" t="n"/>
    </row>
    <row r="511">
      <c r="H511" s="218" t="n"/>
    </row>
    <row r="512">
      <c r="H512" s="218" t="n"/>
    </row>
    <row r="513">
      <c r="H513" s="218" t="n"/>
    </row>
    <row r="514">
      <c r="H514" s="218" t="n"/>
    </row>
    <row r="515">
      <c r="H515" s="218" t="n"/>
    </row>
    <row r="516">
      <c r="H516" s="218" t="n"/>
    </row>
    <row r="517">
      <c r="H517" s="218" t="n"/>
    </row>
    <row r="518">
      <c r="H518" s="218" t="n"/>
    </row>
    <row r="519">
      <c r="H519" s="218" t="n"/>
    </row>
    <row r="520">
      <c r="H520" s="218" t="n"/>
    </row>
    <row r="521">
      <c r="H521" s="218" t="n"/>
    </row>
    <row r="522">
      <c r="H522" s="218" t="n"/>
    </row>
    <row r="523">
      <c r="H523" s="218" t="n"/>
    </row>
    <row r="524">
      <c r="H524" s="218" t="n"/>
    </row>
    <row r="525">
      <c r="H525" s="218" t="n"/>
    </row>
    <row r="526">
      <c r="H526" s="218" t="n"/>
    </row>
    <row r="527">
      <c r="H527" s="218" t="n"/>
    </row>
    <row r="528">
      <c r="H528" s="218" t="n"/>
    </row>
    <row r="529">
      <c r="H529" s="218" t="n"/>
    </row>
    <row r="530">
      <c r="H530" s="218" t="n"/>
    </row>
    <row r="531">
      <c r="H531" s="218" t="n"/>
    </row>
    <row r="532">
      <c r="H532" s="218" t="n"/>
    </row>
    <row r="533">
      <c r="H533" s="218" t="n"/>
    </row>
    <row r="534">
      <c r="H534" s="218" t="n"/>
    </row>
    <row r="535">
      <c r="H535" s="218" t="n"/>
    </row>
    <row r="536">
      <c r="H536" s="218" t="n"/>
    </row>
    <row r="537">
      <c r="H537" s="218" t="n"/>
    </row>
    <row r="538">
      <c r="H538" s="218" t="n"/>
    </row>
    <row r="539">
      <c r="H539" s="218" t="n"/>
    </row>
    <row r="540">
      <c r="H540" s="218" t="n"/>
    </row>
    <row r="541">
      <c r="H541" s="218" t="n"/>
    </row>
    <row r="542">
      <c r="H542" s="218" t="n"/>
    </row>
    <row r="543">
      <c r="H543" s="218" t="n"/>
    </row>
    <row r="544">
      <c r="H544" s="218" t="n"/>
    </row>
    <row r="545">
      <c r="H545" s="218" t="n"/>
    </row>
    <row r="546">
      <c r="H546" s="218" t="n"/>
    </row>
    <row r="547">
      <c r="H547" s="218" t="n"/>
    </row>
    <row r="548">
      <c r="H548" s="218" t="n"/>
    </row>
    <row r="549">
      <c r="H549" s="218" t="n"/>
    </row>
    <row r="550">
      <c r="H550" s="218" t="n"/>
    </row>
    <row r="551">
      <c r="H551" s="218" t="n"/>
    </row>
    <row r="552">
      <c r="H552" s="218" t="n"/>
    </row>
    <row r="553">
      <c r="H553" s="218" t="n"/>
    </row>
    <row r="554">
      <c r="H554" s="218" t="n"/>
    </row>
    <row r="555">
      <c r="H555" s="218" t="n"/>
    </row>
    <row r="556">
      <c r="H556" s="218" t="n"/>
    </row>
    <row r="557">
      <c r="H557" s="218" t="n"/>
    </row>
    <row r="558">
      <c r="H558" s="218" t="n"/>
    </row>
    <row r="559">
      <c r="H559" s="218" t="n"/>
    </row>
    <row r="560">
      <c r="H560" s="218" t="n"/>
    </row>
    <row r="561">
      <c r="H561" s="218" t="n"/>
    </row>
    <row r="562">
      <c r="H562" s="218" t="n"/>
    </row>
    <row r="563">
      <c r="H563" s="218" t="n"/>
    </row>
    <row r="564">
      <c r="H564" s="218" t="n"/>
    </row>
    <row r="565">
      <c r="H565" s="218" t="n"/>
    </row>
    <row r="566">
      <c r="H566" s="218" t="n"/>
    </row>
    <row r="567">
      <c r="H567" s="218" t="n"/>
    </row>
    <row r="568">
      <c r="H568" s="218" t="n"/>
    </row>
    <row r="569">
      <c r="H569" s="218" t="n"/>
    </row>
    <row r="570">
      <c r="H570" s="218" t="n"/>
    </row>
    <row r="571">
      <c r="H571" s="218" t="n"/>
    </row>
    <row r="572">
      <c r="H572" s="218" t="n"/>
    </row>
    <row r="573">
      <c r="H573" s="218" t="n"/>
    </row>
    <row r="574">
      <c r="H574" s="218" t="n"/>
    </row>
    <row r="575">
      <c r="H575" s="218" t="n"/>
    </row>
    <row r="576">
      <c r="H576" s="218" t="n"/>
    </row>
    <row r="577">
      <c r="H577" s="218" t="n"/>
    </row>
    <row r="578">
      <c r="H578" s="218" t="n"/>
    </row>
    <row r="579">
      <c r="H579" s="218" t="n"/>
    </row>
    <row r="580">
      <c r="H580" s="218" t="n"/>
    </row>
    <row r="581">
      <c r="H581" s="218" t="n"/>
    </row>
    <row r="582">
      <c r="H582" s="218" t="n"/>
    </row>
    <row r="583">
      <c r="H583" s="218" t="n"/>
    </row>
    <row r="584">
      <c r="H584" s="218" t="n"/>
    </row>
    <row r="585">
      <c r="H585" s="218" t="n"/>
    </row>
    <row r="586">
      <c r="H586" s="218" t="n"/>
    </row>
    <row r="587">
      <c r="H587" s="218" t="n"/>
    </row>
    <row r="588">
      <c r="H588" s="218" t="n"/>
    </row>
    <row r="589">
      <c r="H589" s="218" t="n"/>
    </row>
    <row r="590">
      <c r="H590" s="218" t="n"/>
    </row>
    <row r="591">
      <c r="H591" s="218" t="n"/>
    </row>
    <row r="592">
      <c r="H592" s="218" t="n"/>
    </row>
    <row r="593">
      <c r="H593" s="218" t="n"/>
    </row>
    <row r="594">
      <c r="H594" s="218" t="n"/>
    </row>
    <row r="595">
      <c r="H595" s="218" t="n"/>
    </row>
    <row r="596">
      <c r="H596" s="218" t="n"/>
    </row>
    <row r="597">
      <c r="H597" s="218" t="n"/>
    </row>
    <row r="598">
      <c r="H598" s="218" t="n"/>
    </row>
    <row r="599">
      <c r="H599" s="218" t="n"/>
    </row>
    <row r="600">
      <c r="H600" s="218" t="n"/>
    </row>
    <row r="601">
      <c r="H601" s="218" t="n"/>
    </row>
    <row r="602">
      <c r="H602" s="218" t="n"/>
    </row>
    <row r="603">
      <c r="H603" s="218" t="n"/>
    </row>
    <row r="604">
      <c r="H604" s="218" t="n"/>
    </row>
    <row r="605">
      <c r="H605" s="218" t="n"/>
    </row>
    <row r="606">
      <c r="H606" s="218" t="n"/>
    </row>
    <row r="607">
      <c r="H607" s="218" t="n"/>
    </row>
    <row r="608">
      <c r="H608" s="218" t="n"/>
    </row>
    <row r="609">
      <c r="H609" s="218" t="n"/>
    </row>
    <row r="610">
      <c r="H610" s="218" t="n"/>
    </row>
    <row r="611">
      <c r="H611" s="218" t="n"/>
    </row>
    <row r="612">
      <c r="H612" s="218" t="n"/>
    </row>
    <row r="613">
      <c r="H613" s="218" t="n"/>
    </row>
    <row r="614">
      <c r="H614" s="218" t="n"/>
    </row>
    <row r="615">
      <c r="H615" s="218" t="n"/>
    </row>
    <row r="616">
      <c r="H616" s="218" t="n"/>
    </row>
    <row r="617">
      <c r="H617" s="218" t="n"/>
    </row>
    <row r="618">
      <c r="H618" s="218" t="n"/>
    </row>
    <row r="619">
      <c r="H619" s="218" t="n"/>
    </row>
    <row r="620">
      <c r="H620" s="218" t="n"/>
    </row>
    <row r="621">
      <c r="H621" s="218" t="n"/>
    </row>
    <row r="622">
      <c r="H622" s="218" t="n"/>
    </row>
    <row r="623">
      <c r="H623" s="218" t="n"/>
    </row>
    <row r="624">
      <c r="H624" s="218" t="n"/>
    </row>
    <row r="625">
      <c r="H625" s="218" t="n"/>
    </row>
    <row r="626">
      <c r="H626" s="218" t="n"/>
    </row>
    <row r="627">
      <c r="H627" s="218" t="n"/>
    </row>
    <row r="628">
      <c r="H628" s="218" t="n"/>
    </row>
    <row r="629">
      <c r="H629" s="218" t="n"/>
    </row>
    <row r="630">
      <c r="H630" s="218" t="n"/>
    </row>
    <row r="631">
      <c r="H631" s="218" t="n"/>
    </row>
    <row r="632">
      <c r="H632" s="218" t="n"/>
    </row>
    <row r="633">
      <c r="H633" s="218" t="n"/>
    </row>
    <row r="634">
      <c r="H634" s="218" t="n"/>
    </row>
    <row r="635">
      <c r="H635" s="218" t="n"/>
    </row>
    <row r="636">
      <c r="H636" s="218" t="n"/>
    </row>
    <row r="637">
      <c r="H637" s="218" t="n"/>
    </row>
    <row r="638">
      <c r="H638" s="218" t="n"/>
    </row>
    <row r="639">
      <c r="H639" s="218" t="n"/>
    </row>
    <row r="640">
      <c r="H640" s="218" t="n"/>
    </row>
    <row r="641">
      <c r="H641" s="218" t="n"/>
    </row>
    <row r="642">
      <c r="H642" s="218" t="n"/>
    </row>
    <row r="643">
      <c r="H643" s="218" t="n"/>
    </row>
    <row r="644">
      <c r="H644" s="218" t="n"/>
    </row>
    <row r="645">
      <c r="H645" s="218" t="n"/>
    </row>
    <row r="646">
      <c r="H646" s="218" t="n"/>
    </row>
    <row r="647">
      <c r="H647" s="218" t="n"/>
    </row>
    <row r="648">
      <c r="H648" s="218" t="n"/>
    </row>
    <row r="649">
      <c r="H649" s="218" t="n"/>
    </row>
    <row r="650">
      <c r="H650" s="218" t="n"/>
    </row>
    <row r="651">
      <c r="H651" s="218" t="n"/>
    </row>
    <row r="652">
      <c r="H652" s="218" t="n"/>
    </row>
    <row r="653">
      <c r="H653" s="218" t="n"/>
    </row>
    <row r="654">
      <c r="H654" s="218" t="n"/>
    </row>
    <row r="655">
      <c r="H655" s="218" t="n"/>
    </row>
    <row r="656">
      <c r="H656" s="218" t="n"/>
    </row>
    <row r="657">
      <c r="H657" s="218" t="n"/>
    </row>
    <row r="658">
      <c r="H658" s="218" t="n"/>
    </row>
    <row r="659">
      <c r="H659" s="218" t="n"/>
    </row>
    <row r="660">
      <c r="H660" s="218" t="n"/>
    </row>
    <row r="661">
      <c r="H661" s="218" t="n"/>
    </row>
    <row r="662">
      <c r="H662" s="218" t="n"/>
    </row>
    <row r="663">
      <c r="H663" s="218" t="n"/>
    </row>
    <row r="664">
      <c r="H664" s="218" t="n"/>
    </row>
    <row r="665">
      <c r="H665" s="218" t="n"/>
    </row>
    <row r="666">
      <c r="H666" s="218" t="n"/>
    </row>
    <row r="667">
      <c r="H667" s="218" t="n"/>
    </row>
    <row r="668">
      <c r="H668" s="218" t="n"/>
    </row>
    <row r="669">
      <c r="H669" s="218" t="n"/>
    </row>
    <row r="670">
      <c r="H670" s="218" t="n"/>
    </row>
    <row r="671">
      <c r="H671" s="218" t="n"/>
    </row>
    <row r="672">
      <c r="H672" s="218" t="n"/>
    </row>
    <row r="673">
      <c r="H673" s="218" t="n"/>
    </row>
    <row r="674">
      <c r="H674" s="218" t="n"/>
    </row>
    <row r="675">
      <c r="H675" s="218" t="n"/>
    </row>
    <row r="676">
      <c r="H676" s="218" t="n"/>
    </row>
    <row r="677">
      <c r="H677" s="218" t="n"/>
    </row>
    <row r="678">
      <c r="H678" s="218" t="n"/>
    </row>
    <row r="679">
      <c r="H679" s="218" t="n"/>
    </row>
    <row r="680">
      <c r="H680" s="218" t="n"/>
    </row>
    <row r="681">
      <c r="H681" s="218" t="n"/>
    </row>
    <row r="682">
      <c r="H682" s="218" t="n"/>
    </row>
    <row r="683">
      <c r="H683" s="218" t="n"/>
    </row>
    <row r="684">
      <c r="H684" s="218" t="n"/>
    </row>
    <row r="685">
      <c r="H685" s="218" t="n"/>
    </row>
    <row r="686">
      <c r="H686" s="218" t="n"/>
    </row>
    <row r="687">
      <c r="H687" s="218" t="n"/>
    </row>
    <row r="688">
      <c r="H688" s="218" t="n"/>
    </row>
    <row r="689">
      <c r="H689" s="218" t="n"/>
    </row>
    <row r="690">
      <c r="H690" s="218" t="n"/>
    </row>
    <row r="691">
      <c r="H691" s="218" t="n"/>
    </row>
    <row r="692">
      <c r="H692" s="218" t="n"/>
    </row>
    <row r="693">
      <c r="H693" s="218" t="n"/>
    </row>
    <row r="694">
      <c r="H694" s="218" t="n"/>
    </row>
    <row r="695">
      <c r="H695" s="218" t="n"/>
    </row>
    <row r="696">
      <c r="H696" s="218" t="n"/>
    </row>
    <row r="697">
      <c r="H697" s="218" t="n"/>
    </row>
    <row r="698">
      <c r="H698" s="218" t="n"/>
    </row>
    <row r="699">
      <c r="H699" s="218" t="n"/>
    </row>
    <row r="700">
      <c r="H700" s="218" t="n"/>
    </row>
    <row r="701">
      <c r="H701" s="218" t="n"/>
    </row>
    <row r="702">
      <c r="H702" s="218" t="n"/>
    </row>
    <row r="703">
      <c r="H703" s="218" t="n"/>
    </row>
    <row r="704">
      <c r="H704" s="218" t="n"/>
    </row>
    <row r="705">
      <c r="H705" s="218" t="n"/>
    </row>
    <row r="706">
      <c r="H706" s="218" t="n"/>
    </row>
    <row r="707">
      <c r="H707" s="218" t="n"/>
    </row>
    <row r="708">
      <c r="H708" s="218" t="n"/>
    </row>
    <row r="709">
      <c r="H709" s="218" t="n"/>
    </row>
    <row r="710">
      <c r="H710" s="218" t="n"/>
    </row>
    <row r="711">
      <c r="H711" s="218" t="n"/>
    </row>
    <row r="712">
      <c r="H712" s="218" t="n"/>
    </row>
    <row r="713">
      <c r="H713" s="218" t="n"/>
    </row>
    <row r="714">
      <c r="H714" s="218" t="n"/>
    </row>
    <row r="715">
      <c r="H715" s="218" t="n"/>
    </row>
    <row r="716">
      <c r="H716" s="218" t="n"/>
    </row>
    <row r="717">
      <c r="H717" s="218" t="n"/>
    </row>
    <row r="718">
      <c r="H718" s="218" t="n"/>
    </row>
    <row r="719">
      <c r="H719" s="218" t="n"/>
    </row>
    <row r="720">
      <c r="H720" s="218" t="n"/>
    </row>
    <row r="721">
      <c r="H721" s="218" t="n"/>
    </row>
    <row r="722">
      <c r="H722" s="218" t="n"/>
    </row>
    <row r="723">
      <c r="H723" s="218" t="n"/>
    </row>
    <row r="724">
      <c r="H724" s="218" t="n"/>
    </row>
    <row r="725">
      <c r="H725" s="218" t="n"/>
    </row>
    <row r="726">
      <c r="H726" s="218" t="n"/>
    </row>
    <row r="727">
      <c r="H727" s="218" t="n"/>
    </row>
    <row r="728">
      <c r="H728" s="218" t="n"/>
    </row>
    <row r="729">
      <c r="H729" s="218" t="n"/>
    </row>
    <row r="730">
      <c r="H730" s="218" t="n"/>
    </row>
    <row r="731">
      <c r="H731" s="218" t="n"/>
    </row>
    <row r="732">
      <c r="H732" s="218" t="n"/>
    </row>
    <row r="733">
      <c r="H733" s="218" t="n"/>
    </row>
    <row r="734">
      <c r="H734" s="218" t="n"/>
    </row>
    <row r="735">
      <c r="H735" s="218" t="n"/>
    </row>
    <row r="736">
      <c r="H736" s="218" t="n"/>
    </row>
    <row r="737">
      <c r="H737" s="218" t="n"/>
    </row>
    <row r="738">
      <c r="H738" s="218" t="n"/>
    </row>
    <row r="739">
      <c r="H739" s="218" t="n"/>
    </row>
    <row r="740">
      <c r="H740" s="218" t="n"/>
    </row>
    <row r="741">
      <c r="H741" s="218" t="n"/>
    </row>
    <row r="742">
      <c r="H742" s="218" t="n"/>
    </row>
    <row r="743">
      <c r="H743" s="218" t="n"/>
    </row>
    <row r="744">
      <c r="H744" s="218" t="n"/>
    </row>
    <row r="745">
      <c r="H745" s="218" t="n"/>
    </row>
    <row r="746">
      <c r="H746" s="218" t="n"/>
    </row>
    <row r="747">
      <c r="H747" s="218" t="n"/>
    </row>
    <row r="748">
      <c r="H748" s="218" t="n"/>
    </row>
    <row r="749">
      <c r="H749" s="218" t="n"/>
    </row>
    <row r="750">
      <c r="H750" s="218" t="n"/>
    </row>
    <row r="751">
      <c r="H751" s="218" t="n"/>
    </row>
    <row r="752">
      <c r="H752" s="218" t="n"/>
    </row>
    <row r="753">
      <c r="H753" s="218" t="n"/>
    </row>
    <row r="754">
      <c r="H754" s="218" t="n"/>
    </row>
    <row r="755">
      <c r="H755" s="218" t="n"/>
    </row>
    <row r="756">
      <c r="H756" s="218" t="n"/>
    </row>
    <row r="757">
      <c r="H757" s="218" t="n"/>
    </row>
    <row r="758">
      <c r="H758" s="218" t="n"/>
    </row>
    <row r="759">
      <c r="H759" s="218" t="n"/>
    </row>
    <row r="760">
      <c r="H760" s="218" t="n"/>
    </row>
    <row r="761">
      <c r="H761" s="218" t="n"/>
    </row>
    <row r="762">
      <c r="H762" s="218" t="n"/>
    </row>
    <row r="763">
      <c r="H763" s="218" t="n"/>
    </row>
    <row r="764">
      <c r="H764" s="218" t="n"/>
    </row>
    <row r="765">
      <c r="H765" s="218" t="n"/>
    </row>
    <row r="766">
      <c r="H766" s="218" t="n"/>
    </row>
    <row r="767">
      <c r="H767" s="218" t="n"/>
    </row>
    <row r="768">
      <c r="H768" s="218" t="n"/>
    </row>
    <row r="769">
      <c r="H769" s="218" t="n"/>
    </row>
    <row r="770">
      <c r="H770" s="218" t="n"/>
    </row>
    <row r="771">
      <c r="H771" s="218" t="n"/>
    </row>
    <row r="772">
      <c r="H772" s="218" t="n"/>
    </row>
    <row r="773">
      <c r="H773" s="218" t="n"/>
    </row>
    <row r="774">
      <c r="H774" s="218" t="n"/>
    </row>
    <row r="775">
      <c r="H775" s="218" t="n"/>
    </row>
    <row r="776">
      <c r="H776" s="218" t="n"/>
    </row>
    <row r="777">
      <c r="H777" s="218" t="n"/>
    </row>
    <row r="778">
      <c r="H778" s="218" t="n"/>
    </row>
    <row r="779">
      <c r="H779" s="218" t="n"/>
    </row>
    <row r="780">
      <c r="H780" s="218" t="n"/>
    </row>
    <row r="781">
      <c r="H781" s="218" t="n"/>
    </row>
    <row r="782">
      <c r="H782" s="218" t="n"/>
    </row>
    <row r="783">
      <c r="H783" s="218" t="n"/>
    </row>
    <row r="784">
      <c r="H784" s="218" t="n"/>
    </row>
    <row r="785">
      <c r="H785" s="218" t="n"/>
    </row>
    <row r="786">
      <c r="H786" s="218" t="n"/>
    </row>
    <row r="787">
      <c r="H787" s="218" t="n"/>
    </row>
    <row r="788">
      <c r="H788" s="218" t="n"/>
    </row>
    <row r="789">
      <c r="H789" s="218" t="n"/>
    </row>
    <row r="790">
      <c r="H790" s="218" t="n"/>
    </row>
    <row r="791">
      <c r="H791" s="218" t="n"/>
    </row>
    <row r="792">
      <c r="H792" s="218" t="n"/>
    </row>
    <row r="793">
      <c r="H793" s="218" t="n"/>
    </row>
    <row r="794">
      <c r="H794" s="218" t="n"/>
    </row>
    <row r="795">
      <c r="H795" s="218" t="n"/>
    </row>
    <row r="796">
      <c r="H796" s="218" t="n"/>
    </row>
    <row r="797">
      <c r="H797" s="218" t="n"/>
    </row>
    <row r="798">
      <c r="H798" s="218" t="n"/>
    </row>
    <row r="799">
      <c r="H799" s="218" t="n"/>
    </row>
    <row r="800">
      <c r="H800" s="218" t="n"/>
    </row>
    <row r="801">
      <c r="H801" s="218" t="n"/>
    </row>
    <row r="802">
      <c r="H802" s="218" t="n"/>
    </row>
    <row r="803">
      <c r="H803" s="218" t="n"/>
    </row>
    <row r="804">
      <c r="H804" s="218" t="n"/>
    </row>
    <row r="805">
      <c r="H805" s="218" t="n"/>
    </row>
    <row r="806">
      <c r="H806" s="218" t="n"/>
    </row>
    <row r="807">
      <c r="H807" s="218" t="n"/>
    </row>
    <row r="808">
      <c r="H808" s="218" t="n"/>
    </row>
    <row r="809">
      <c r="H809" s="218" t="n"/>
    </row>
    <row r="810">
      <c r="H810" s="218" t="n"/>
    </row>
    <row r="811">
      <c r="H811" s="218" t="n"/>
    </row>
    <row r="812">
      <c r="H812" s="218" t="n"/>
    </row>
    <row r="813">
      <c r="H813" s="218" t="n"/>
    </row>
    <row r="814">
      <c r="H814" s="218" t="n"/>
    </row>
    <row r="815">
      <c r="H815" s="218" t="n"/>
    </row>
    <row r="816">
      <c r="H816" s="218" t="n"/>
    </row>
    <row r="817">
      <c r="H817" s="218" t="n"/>
    </row>
    <row r="818">
      <c r="H818" s="218" t="n"/>
    </row>
    <row r="819">
      <c r="H819" s="218" t="n"/>
    </row>
    <row r="820">
      <c r="H820" s="218" t="n"/>
    </row>
    <row r="821">
      <c r="H821" s="218" t="n"/>
    </row>
    <row r="822">
      <c r="H822" s="218" t="n"/>
    </row>
    <row r="823">
      <c r="H823" s="218" t="n"/>
    </row>
    <row r="824">
      <c r="H824" s="218" t="n"/>
    </row>
    <row r="825">
      <c r="H825" s="218" t="n"/>
    </row>
    <row r="826">
      <c r="H826" s="218" t="n"/>
    </row>
    <row r="827">
      <c r="H827" s="218" t="n"/>
    </row>
    <row r="828">
      <c r="H828" s="218" t="n"/>
    </row>
    <row r="829">
      <c r="H829" s="218" t="n"/>
    </row>
    <row r="830">
      <c r="H830" s="218" t="n"/>
    </row>
    <row r="831">
      <c r="H831" s="218" t="n"/>
    </row>
    <row r="832">
      <c r="H832" s="218" t="n"/>
    </row>
    <row r="833">
      <c r="H833" s="218" t="n"/>
    </row>
    <row r="834">
      <c r="H834" s="218" t="n"/>
    </row>
    <row r="835">
      <c r="H835" s="218" t="n"/>
    </row>
    <row r="836">
      <c r="H836" s="218" t="n"/>
    </row>
    <row r="837">
      <c r="H837" s="218" t="n"/>
    </row>
    <row r="838">
      <c r="H838" s="218" t="n"/>
    </row>
    <row r="839">
      <c r="H839" s="218" t="n"/>
    </row>
    <row r="840">
      <c r="H840" s="218" t="n"/>
    </row>
    <row r="841">
      <c r="H841" s="218" t="n"/>
    </row>
    <row r="842">
      <c r="H842" s="218" t="n"/>
    </row>
    <row r="843">
      <c r="H843" s="218" t="n"/>
    </row>
    <row r="844">
      <c r="H844" s="218" t="n"/>
    </row>
    <row r="845">
      <c r="H845" s="218" t="n"/>
    </row>
    <row r="846">
      <c r="H846" s="218" t="n"/>
    </row>
    <row r="847">
      <c r="H847" s="218" t="n"/>
    </row>
    <row r="848">
      <c r="H848" s="218" t="n"/>
    </row>
    <row r="849">
      <c r="H849" s="218" t="n"/>
    </row>
    <row r="850">
      <c r="H850" s="218" t="n"/>
    </row>
    <row r="851">
      <c r="H851" s="218" t="n"/>
    </row>
    <row r="852">
      <c r="H852" s="218" t="n"/>
    </row>
    <row r="853">
      <c r="H853" s="218" t="n"/>
    </row>
    <row r="854">
      <c r="H854" s="218" t="n"/>
    </row>
    <row r="855">
      <c r="H855" s="218" t="n"/>
    </row>
    <row r="856">
      <c r="H856" s="218" t="n"/>
    </row>
    <row r="857">
      <c r="H857" s="218" t="n"/>
    </row>
    <row r="858">
      <c r="H858" s="218" t="n"/>
    </row>
    <row r="859">
      <c r="H859" s="218" t="n"/>
    </row>
    <row r="860">
      <c r="H860" s="218" t="n"/>
    </row>
    <row r="861">
      <c r="H861" s="218" t="n"/>
    </row>
    <row r="862">
      <c r="H862" s="218" t="n"/>
    </row>
    <row r="863">
      <c r="H863" s="218" t="n"/>
    </row>
    <row r="864">
      <c r="H864" s="218" t="n"/>
    </row>
    <row r="865">
      <c r="H865" s="218" t="n"/>
    </row>
    <row r="866">
      <c r="H866" s="218" t="n"/>
    </row>
    <row r="867">
      <c r="H867" s="218" t="n"/>
    </row>
    <row r="868">
      <c r="H868" s="218" t="n"/>
    </row>
    <row r="869">
      <c r="H869" s="218" t="n"/>
    </row>
    <row r="870">
      <c r="H870" s="218" t="n"/>
    </row>
    <row r="871">
      <c r="H871" s="218" t="n"/>
    </row>
    <row r="872">
      <c r="H872" s="218" t="n"/>
    </row>
    <row r="873">
      <c r="H873" s="218" t="n"/>
    </row>
    <row r="874">
      <c r="H874" s="218" t="n"/>
    </row>
    <row r="875">
      <c r="H875" s="218" t="n"/>
    </row>
    <row r="876">
      <c r="H876" s="218" t="n"/>
    </row>
    <row r="877">
      <c r="H877" s="218" t="n"/>
    </row>
    <row r="878">
      <c r="H878" s="218" t="n"/>
    </row>
    <row r="879">
      <c r="H879" s="218" t="n"/>
    </row>
    <row r="880">
      <c r="H880" s="218" t="n"/>
    </row>
    <row r="881">
      <c r="H881" s="218" t="n"/>
    </row>
    <row r="882">
      <c r="H882" s="218" t="n"/>
    </row>
    <row r="883">
      <c r="H883" s="218" t="n"/>
    </row>
    <row r="884">
      <c r="H884" s="218" t="n"/>
    </row>
    <row r="885">
      <c r="H885" s="218" t="n"/>
    </row>
    <row r="886">
      <c r="H886" s="218" t="n"/>
    </row>
    <row r="887">
      <c r="H887" s="218" t="n"/>
    </row>
    <row r="888">
      <c r="H888" s="218" t="n"/>
    </row>
    <row r="889">
      <c r="H889" s="218" t="n"/>
    </row>
    <row r="890">
      <c r="H890" s="218" t="n"/>
    </row>
    <row r="891">
      <c r="H891" s="218" t="n"/>
    </row>
    <row r="892">
      <c r="H892" s="218" t="n"/>
    </row>
    <row r="893">
      <c r="H893" s="218" t="n"/>
    </row>
    <row r="894">
      <c r="H894" s="218" t="n"/>
    </row>
    <row r="895">
      <c r="H895" s="218" t="n"/>
    </row>
    <row r="896">
      <c r="H896" s="218" t="n"/>
    </row>
    <row r="897">
      <c r="H897" s="218" t="n"/>
    </row>
    <row r="898">
      <c r="H898" s="218" t="n"/>
    </row>
    <row r="899">
      <c r="H899" s="218" t="n"/>
    </row>
    <row r="900">
      <c r="H900" s="218" t="n"/>
    </row>
    <row r="901">
      <c r="H901" s="218" t="n"/>
    </row>
    <row r="902">
      <c r="H902" s="218" t="n"/>
    </row>
    <row r="903">
      <c r="H903" s="218" t="n"/>
    </row>
    <row r="904">
      <c r="H904" s="218" t="n"/>
    </row>
    <row r="905">
      <c r="H905" s="218" t="n"/>
    </row>
    <row r="906">
      <c r="H906" s="218" t="n"/>
    </row>
    <row r="907">
      <c r="H907" s="218" t="n"/>
    </row>
    <row r="908">
      <c r="H908" s="218" t="n"/>
    </row>
    <row r="909">
      <c r="H909" s="218" t="n"/>
    </row>
    <row r="910">
      <c r="H910" s="218" t="n"/>
    </row>
    <row r="911">
      <c r="H911" s="218" t="n"/>
    </row>
    <row r="912">
      <c r="H912" s="218" t="n"/>
    </row>
    <row r="913">
      <c r="H913" s="218" t="n"/>
    </row>
    <row r="914">
      <c r="H914" s="218" t="n"/>
    </row>
    <row r="915">
      <c r="H915" s="218" t="n"/>
    </row>
    <row r="916">
      <c r="H916" s="218" t="n"/>
    </row>
    <row r="917">
      <c r="H917" s="218" t="n"/>
    </row>
    <row r="918">
      <c r="H918" s="218" t="n"/>
    </row>
    <row r="919">
      <c r="H919" s="218" t="n"/>
    </row>
    <row r="920">
      <c r="H920" s="218" t="n"/>
    </row>
    <row r="921">
      <c r="H921" s="218" t="n"/>
    </row>
    <row r="922">
      <c r="H922" s="218" t="n"/>
    </row>
    <row r="923">
      <c r="H923" s="218" t="n"/>
    </row>
    <row r="924">
      <c r="H924" s="218" t="n"/>
    </row>
    <row r="925">
      <c r="H925" s="218" t="n"/>
    </row>
    <row r="926">
      <c r="H926" s="218" t="n"/>
    </row>
    <row r="927">
      <c r="H927" s="218" t="n"/>
    </row>
    <row r="928">
      <c r="H928" s="218" t="n"/>
    </row>
    <row r="929">
      <c r="H929" s="218" t="n"/>
    </row>
    <row r="930">
      <c r="H930" s="218" t="n"/>
    </row>
    <row r="931">
      <c r="H931" s="218" t="n"/>
    </row>
    <row r="932">
      <c r="H932" s="218" t="n"/>
    </row>
    <row r="933">
      <c r="H933" s="218" t="n"/>
    </row>
    <row r="934">
      <c r="H934" s="218" t="n"/>
    </row>
    <row r="935">
      <c r="H935" s="218" t="n"/>
    </row>
    <row r="936">
      <c r="H936" s="218" t="n"/>
    </row>
    <row r="937">
      <c r="H937" s="218" t="n"/>
    </row>
    <row r="938">
      <c r="H938" s="218" t="n"/>
    </row>
    <row r="939">
      <c r="H939" s="218" t="n"/>
    </row>
    <row r="940">
      <c r="H940" s="218" t="n"/>
    </row>
    <row r="941">
      <c r="H941" s="218" t="n"/>
    </row>
    <row r="942">
      <c r="H942" s="218" t="n"/>
    </row>
    <row r="943">
      <c r="H943" s="218" t="n"/>
    </row>
    <row r="944">
      <c r="H944" s="218" t="n"/>
    </row>
    <row r="945">
      <c r="H945" s="218" t="n"/>
    </row>
    <row r="946">
      <c r="H946" s="218" t="n"/>
    </row>
    <row r="947">
      <c r="H947" s="218" t="n"/>
    </row>
    <row r="948">
      <c r="H948" s="218" t="n"/>
    </row>
    <row r="949">
      <c r="H949" s="218" t="n"/>
    </row>
    <row r="950">
      <c r="H950" s="218" t="n"/>
    </row>
    <row r="951">
      <c r="H951" s="218" t="n"/>
    </row>
    <row r="952">
      <c r="H952" s="218" t="n"/>
    </row>
    <row r="953">
      <c r="H953" s="218" t="n"/>
    </row>
    <row r="954">
      <c r="H954" s="218" t="n"/>
    </row>
    <row r="955">
      <c r="H955" s="218" t="n"/>
    </row>
    <row r="956">
      <c r="H956" s="218" t="n"/>
    </row>
    <row r="957">
      <c r="H957" s="218" t="n"/>
    </row>
    <row r="958">
      <c r="H958" s="218" t="n"/>
    </row>
    <row r="959">
      <c r="H959" s="218" t="n"/>
    </row>
    <row r="960">
      <c r="H960" s="218" t="n"/>
    </row>
    <row r="961">
      <c r="H961" s="218" t="n"/>
    </row>
    <row r="962">
      <c r="H962" s="218" t="n"/>
    </row>
    <row r="963">
      <c r="H963" s="218" t="n"/>
    </row>
    <row r="964">
      <c r="H964" s="218" t="n"/>
    </row>
    <row r="965">
      <c r="H965" s="218" t="n"/>
    </row>
    <row r="966">
      <c r="H966" s="218" t="n"/>
    </row>
    <row r="967">
      <c r="H967" s="218" t="n"/>
    </row>
    <row r="968">
      <c r="H968" s="218" t="n"/>
    </row>
    <row r="969">
      <c r="H969" s="218" t="n"/>
    </row>
    <row r="970">
      <c r="H970" s="218" t="n"/>
    </row>
    <row r="971">
      <c r="H971" s="218" t="n"/>
    </row>
    <row r="972">
      <c r="H972" s="218" t="n"/>
    </row>
    <row r="973">
      <c r="H973" s="218" t="n"/>
    </row>
    <row r="974">
      <c r="H974" s="218" t="n"/>
    </row>
    <row r="975">
      <c r="H975" s="218" t="n"/>
    </row>
    <row r="976">
      <c r="H976" s="218" t="n"/>
    </row>
    <row r="977">
      <c r="H977" s="218" t="n"/>
    </row>
    <row r="978">
      <c r="H978" s="218" t="n"/>
    </row>
    <row r="979">
      <c r="H979" s="218" t="n"/>
    </row>
    <row r="980">
      <c r="H980" s="218" t="n"/>
    </row>
    <row r="981">
      <c r="H981" s="218" t="n"/>
    </row>
    <row r="982">
      <c r="H982" s="218" t="n"/>
    </row>
    <row r="983">
      <c r="H983" s="218" t="n"/>
    </row>
    <row r="984">
      <c r="H984" s="218" t="n"/>
    </row>
    <row r="985">
      <c r="H985" s="218" t="n"/>
    </row>
    <row r="986">
      <c r="H986" s="218" t="n"/>
    </row>
    <row r="987">
      <c r="H987" s="218" t="n"/>
    </row>
    <row r="988">
      <c r="H988" s="218" t="n"/>
    </row>
    <row r="989">
      <c r="H989" s="218" t="n"/>
    </row>
    <row r="990">
      <c r="H990" s="218" t="n"/>
    </row>
    <row r="991">
      <c r="H991" s="218" t="n"/>
    </row>
    <row r="992">
      <c r="H992" s="218" t="n"/>
    </row>
    <row r="993">
      <c r="H993" s="218" t="n"/>
    </row>
    <row r="994">
      <c r="H994" s="218" t="n"/>
    </row>
    <row r="995">
      <c r="H995" s="218" t="n"/>
    </row>
    <row r="996">
      <c r="H996" s="218" t="n"/>
    </row>
    <row r="997">
      <c r="H997" s="218" t="n"/>
    </row>
    <row r="998">
      <c r="H998" s="218" t="n"/>
    </row>
    <row r="999">
      <c r="H999" s="218" t="n"/>
    </row>
    <row r="1000">
      <c r="H1000" s="218" t="n"/>
    </row>
  </sheetData>
  <dataValidations count="1">
    <dataValidation sqref="H2:H1000" showDropDown="0" showInputMessage="0" showErrorMessage="1" allowBlank="1" type="list">
      <formula1>"paid,overdue,forecast,pending"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FFF2841E"/>
    <outlinePr summaryBelow="0" summaryRight="0"/>
    <pageSetUpPr/>
  </sheetPr>
  <dimension ref="A1:I13"/>
  <sheetViews>
    <sheetView workbookViewId="0">
      <selection activeCell="A1" sqref="A1"/>
    </sheetView>
  </sheetViews>
  <sheetFormatPr baseColWidth="8" defaultColWidth="12.63" defaultRowHeight="15.75" customHeight="1"/>
  <cols>
    <col width="98.88" customWidth="1" style="461" min="1" max="1"/>
    <col width="16.88" customWidth="1" style="461" min="2" max="2"/>
    <col width="22.13" customWidth="1" style="461" min="3" max="3"/>
    <col width="14.75" customWidth="1" style="461" min="4" max="4"/>
    <col width="17.13" customWidth="1" style="461" min="5" max="5"/>
    <col width="22.63" customWidth="1" style="461" min="6" max="6"/>
    <col width="13" customWidth="1" style="461" min="7" max="7"/>
    <col width="12.25" customWidth="1" style="461" min="8" max="8"/>
    <col width="50.75" customWidth="1" style="461" min="9" max="9"/>
  </cols>
  <sheetData>
    <row r="1" ht="36" customHeight="1" s="461">
      <c r="A1" s="230" t="inlineStr">
        <is>
          <t>👥 СИСТЕМА ДИНАМИЧЕСКОЙ МОТИВАЦИИ И PAYROLL ОП (REVOPS V17.6 BLOCK II)</t>
        </is>
      </c>
    </row>
    <row r="2" ht="24" customHeight="1" s="461">
      <c r="A2" s="496">
        <f>HYPERLINK("#'📄 Executive_OnePager'!A1", "📄 1. One-Pager")</f>
        <v/>
      </c>
      <c r="B2" s="496">
        <f>HYPERLINK("#'⚡ Пульс_Компании'!A1", "⚡ 2. Пульс компании")</f>
        <v/>
      </c>
      <c r="C2" s="496">
        <f>HYPERLINK("#'📋 Пульт_РОПа_15_Минут'!A1", "📋 3. Пульт РОПа")</f>
        <v/>
      </c>
      <c r="D2" s="496">
        <f>HYPERLINK("#'💸 Диагностика_Утечек_ОП'!A1", "💸 4. 7 Грехов ОП")</f>
        <v/>
      </c>
      <c r="E2" s="496">
        <f>HYPERLINK("#'🎯 Action_Center'!A1", "🎯 5. Action Center")</f>
        <v/>
      </c>
      <c r="F2" s="496">
        <f>HYPERLINK("#'🎙️ ИИ_Аудит'!A1", "🎙️ 6. ИИ-Аудит")</f>
        <v/>
      </c>
      <c r="G2" s="496">
        <f>HYPERLINK("#'⚡ Экспресс_Калькулятор_3_Цифры'!A1", "⚡ 7. Экспресс 3 цифры")</f>
        <v/>
      </c>
      <c r="H2" s="496">
        <f>HYPERLINK("#'🧪 QA_Suite'!A1", "🧪 8. QA Suite")</f>
        <v/>
      </c>
      <c r="I2" s="496">
        <f>HYPERLINK("#'⚙️ Настройки'!A1", "⚙️ 9. Настройки")</f>
        <v/>
      </c>
    </row>
    <row r="3" ht="24" customHeight="1" s="461">
      <c r="A3" s="266" t="inlineStr">
        <is>
          <t>Общий фонд оплаты труда (ФОТ)</t>
        </is>
      </c>
      <c r="B3" s="266" t="inlineStr">
        <is>
          <t>Окладная часть</t>
        </is>
      </c>
      <c r="C3" s="266" t="inlineStr">
        <is>
          <t>Бонусная часть (Commissions)</t>
        </is>
      </c>
      <c r="D3" s="266" t="inlineStr">
        <is>
          <t>Средний чек бонуса</t>
        </is>
      </c>
      <c r="E3" s="266" t="inlineStr">
        <is>
          <t>Удержано за брак речи</t>
        </is>
      </c>
      <c r="F3" s="266" t="inlineStr">
        <is>
          <t>Доля ФОТ в выручке компании</t>
        </is>
      </c>
    </row>
    <row r="4" ht="27" customHeight="1" s="461">
      <c r="A4" s="278">
        <f>SUM(calc_engine!$H$172:$H$174)</f>
        <v/>
      </c>
      <c r="B4" s="278">
        <f>SUM(calc_engine!$C$172:$C$174)</f>
        <v/>
      </c>
      <c r="C4" s="278">
        <f>A4 - B4</f>
        <v/>
      </c>
      <c r="D4" s="278">
        <f>C4 / MAX(COUNTA(calc_engine!$B$172:$B$174), 1)</f>
        <v/>
      </c>
      <c r="E4" s="278">
        <f>calc_engine!D173 * calc_engine!E173 * (1 - calc_engine!G173)</f>
        <v/>
      </c>
      <c r="F4" s="279">
        <f>A4 / calc_engine!$B$19</f>
        <v/>
      </c>
    </row>
    <row r="5" ht="24" customHeight="1" s="461"/>
    <row r="6" ht="24" customHeight="1" s="461">
      <c r="A6" s="235" t="inlineStr">
        <is>
          <t>📋 РАСЧЕТНАЯ ВЕДОМОСТЬ НАЧИСЛЕНИЯ ПРЕМИЙ С ПРИВЯЗКОЙ К SLA И КАЧЕСТВУ ДИАЛОГОВ</t>
        </is>
      </c>
    </row>
    <row r="7" ht="24" customHeight="1" s="461">
      <c r="A7" s="236" t="inlineStr">
        <is>
          <t>Сотрудник</t>
        </is>
      </c>
      <c r="B7" s="236" t="inlineStr">
        <is>
          <t>Роль</t>
        </is>
      </c>
      <c r="C7" s="236" t="inlineStr">
        <is>
          <t>Оклад, ₽</t>
        </is>
      </c>
      <c r="D7" s="236" t="inlineStr">
        <is>
          <t>Закрыто Won, ₽</t>
        </is>
      </c>
      <c r="E7" s="236" t="inlineStr">
        <is>
          <t>Базовый %</t>
        </is>
      </c>
      <c r="F7" s="236" t="inlineStr">
        <is>
          <t>Коэфф. SLA</t>
        </is>
      </c>
      <c r="G7" s="236" t="inlineStr">
        <is>
          <t>Коэфф. речи (ИИ)</t>
        </is>
      </c>
      <c r="H7" s="236" t="inlineStr">
        <is>
          <t>Итого на руки, ₽</t>
        </is>
      </c>
      <c r="I7" s="236" t="inlineStr">
        <is>
          <t>Статус начисления / Корректировки</t>
        </is>
      </c>
    </row>
    <row r="8" ht="24" customHeight="1" s="461">
      <c r="A8" s="218">
        <f>calc_engine!B172</f>
        <v/>
      </c>
      <c r="B8" s="218" t="inlineStr">
        <is>
          <t>РОП / Team Lead</t>
        </is>
      </c>
      <c r="C8" s="346">
        <f>calc_engine!C172</f>
        <v/>
      </c>
      <c r="D8" s="346">
        <f>calc_engine!D172</f>
        <v/>
      </c>
      <c r="E8" s="439">
        <f>calc_engine!E172</f>
        <v/>
      </c>
      <c r="F8" s="412">
        <f>calc_engine!F172</f>
        <v/>
      </c>
      <c r="G8" s="412">
        <f>calc_engine!G172</f>
        <v/>
      </c>
      <c r="H8" s="281">
        <f>calc_engine!H172</f>
        <v/>
      </c>
      <c r="I8" s="218" t="inlineStr">
        <is>
          <t>🟢 Бонус за личные закрытия + надбавка речи (+5%)</t>
        </is>
      </c>
    </row>
    <row r="9" ht="24" customHeight="1" s="461">
      <c r="A9" s="218">
        <f>calc_engine!B173</f>
        <v/>
      </c>
      <c r="B9" s="218" t="inlineStr">
        <is>
          <t>КАМ (Enterprise)</t>
        </is>
      </c>
      <c r="C9" s="346">
        <f>calc_engine!C173</f>
        <v/>
      </c>
      <c r="D9" s="346">
        <f>calc_engine!D173</f>
        <v/>
      </c>
      <c r="E9" s="439">
        <f>calc_engine!E173</f>
        <v/>
      </c>
      <c r="F9" s="412">
        <f>calc_engine!F173</f>
        <v/>
      </c>
      <c r="G9" s="412">
        <f>calc_engine!G173</f>
        <v/>
      </c>
      <c r="H9" s="281">
        <f>calc_engine!H173</f>
        <v/>
      </c>
      <c r="I9" s="218" t="inlineStr">
        <is>
          <t>🔴 ДЕПРЕМИРОВАНИЕ (-30% бонуса за срыв звонков C-503/C-505)</t>
        </is>
      </c>
    </row>
    <row r="10" ht="18" customHeight="1" s="461">
      <c r="A10" s="218">
        <f>calc_engine!B174</f>
        <v/>
      </c>
      <c r="B10" s="218" t="inlineStr">
        <is>
          <t>SDR (Квалификация)</t>
        </is>
      </c>
      <c r="C10" s="346">
        <f>calc_engine!C174</f>
        <v/>
      </c>
      <c r="D10" s="346">
        <f>calc_engine!D174</f>
        <v/>
      </c>
      <c r="E10" s="439">
        <f>calc_engine!E174</f>
        <v/>
      </c>
      <c r="F10" s="412">
        <f>calc_engine!F174</f>
        <v/>
      </c>
      <c r="G10" s="412">
        <f>calc_engine!G174</f>
        <v/>
      </c>
      <c r="H10" s="281">
        <f>calc_engine!H174</f>
        <v/>
      </c>
      <c r="I10" s="218" t="inlineStr">
        <is>
          <t>🟢 Премия за квалификацию + надбавка речи (+10%)</t>
        </is>
      </c>
    </row>
    <row r="11">
      <c r="A11" s="282" t="inlineStr">
        <is>
          <t>ИТОГО ФОТ:</t>
        </is>
      </c>
      <c r="B11" s="283" t="n"/>
      <c r="C11" s="284">
        <f>SUM(C8:C10)</f>
        <v/>
      </c>
      <c r="D11" s="284">
        <f>SUM(D8:D10)</f>
        <v/>
      </c>
      <c r="E11" s="283" t="n"/>
      <c r="F11" s="283" t="n"/>
      <c r="G11" s="283" t="n"/>
      <c r="H11" s="284">
        <f>SUM(H8:H10)</f>
        <v/>
      </c>
      <c r="I11" s="283" t="n"/>
    </row>
    <row r="12"/>
    <row r="13">
      <c r="A13" s="285" t="inlineStr">
        <is>
          <t>💡 ПРАВИЛО РЕВОПС: При среднем балле звонков менеджера ниже 9.0 из 13 (лист «🎙️ ИИ_Аудит»), переменная часть бонуса автоматически дисконтируется на 30%.</t>
        </is>
      </c>
    </row>
  </sheetData>
  <mergeCells count="3">
    <mergeCell ref="A1:I1"/>
    <mergeCell ref="A13:I13"/>
    <mergeCell ref="A6:I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FF2D72D8"/>
    <outlinePr summaryBelow="0" summaryRight="0"/>
    <pageSetUpPr/>
  </sheetPr>
  <dimension ref="A1:J30"/>
  <sheetViews>
    <sheetView workbookViewId="0">
      <selection activeCell="A1" sqref="A1"/>
    </sheetView>
  </sheetViews>
  <sheetFormatPr baseColWidth="8" defaultColWidth="12.63" defaultRowHeight="15.75" customHeight="1"/>
  <cols>
    <col width="163.5" customWidth="1" style="461" min="1" max="1"/>
    <col width="21.13" customWidth="1" style="461" min="2" max="2"/>
    <col width="36.5" customWidth="1" style="461" min="3" max="3"/>
    <col width="22.75" customWidth="1" style="461" min="4" max="4"/>
    <col width="22" customWidth="1" style="461" min="5" max="5"/>
    <col width="59.13" customWidth="1" style="461" min="6" max="6"/>
    <col width="16.38" customWidth="1" style="461" min="7" max="7"/>
    <col width="21.75" customWidth="1" style="461" min="8" max="8"/>
    <col width="27.63" customWidth="1" style="461" min="9" max="9"/>
  </cols>
  <sheetData>
    <row r="1" ht="42" customHeight="1" s="461">
      <c r="A1" s="8" t="inlineStr">
        <is>
          <t>🔮 СЦЕНАРНЫЙ СИМУЛЯТОР ВЫРУЧКИ И МАСШТАБИРОВАНИЯ (WHAT-IF REVENUE SANDBOX V17.6)</t>
        </is>
      </c>
      <c r="J1" s="199" t="n"/>
    </row>
    <row r="2" ht="24" customHeight="1" s="461">
      <c r="A2" s="496">
        <f>HYPERLINK("#'📄 Executive_OnePager'!A1", "📄 1. One-Pager")</f>
        <v/>
      </c>
      <c r="B2" s="496">
        <f>HYPERLINK("#'⚡ Пульс_Компании'!A1", "⚡ 2. Пульс компании")</f>
        <v/>
      </c>
      <c r="C2" s="496">
        <f>HYPERLINK("#'📋 Пульт_РОПа_15_Минут'!A1", "📋 3. Пульт РОПа")</f>
        <v/>
      </c>
      <c r="D2" s="496">
        <f>HYPERLINK("#'💸 Диагностика_Утечек_ОП'!A1", "💸 4. 7 Грехов ОП")</f>
        <v/>
      </c>
      <c r="E2" s="496">
        <f>HYPERLINK("#'🎯 Action_Center'!A1", "🎯 5. Action Center")</f>
        <v/>
      </c>
      <c r="F2" s="496">
        <f>HYPERLINK("#'🎙️ ИИ_Аудит'!A1", "🎙️ 6. ИИ-Аудит")</f>
        <v/>
      </c>
      <c r="G2" s="496">
        <f>HYPERLINK("#'⚡ Экспресс_Калькулятор_3_Цифры'!A1", "⚡ 7. Экспресс 3 цифры")</f>
        <v/>
      </c>
      <c r="H2" s="496">
        <f>HYPERLINK("#'🧪 QA_Suite'!A1", "🧪 8. QA Suite")</f>
        <v/>
      </c>
      <c r="I2" s="496">
        <f>HYPERLINK("#'⚙️ Настройки'!A1", "⚙️ 9. Настройки")</f>
        <v/>
      </c>
      <c r="J2" s="199" t="n"/>
    </row>
    <row r="3" ht="22.5" customHeight="1" s="461">
      <c r="A3" s="199" t="inlineStr">
        <is>
          <t>🎛️ ВЫБОР ПРЕСЕТА СЦЕНАРИЯ:</t>
        </is>
      </c>
      <c r="B3" s="199" t="n"/>
      <c r="C3" s="199" t="inlineStr">
        <is>
          <t>2. Базовый (+30% бюджет, +3% CR, +1 КАМ)</t>
        </is>
      </c>
      <c r="D3" s="199" t="n"/>
      <c r="E3" s="199" t="n"/>
      <c r="F3" s="199" t="n"/>
      <c r="G3" s="199" t="n"/>
      <c r="H3" s="199" t="n"/>
      <c r="I3" s="199" t="n"/>
      <c r="J3" s="199" t="n"/>
    </row>
    <row r="4" ht="30" customHeight="1" s="461">
      <c r="A4" s="36" t="inlineStr">
        <is>
          <t>🎛️ 1. ВВОД ГИПОТЕЗ РОСТА (РЫЧАГИ МАСШТАБИРОВАНИЯ)</t>
        </is>
      </c>
      <c r="E4" s="36" t="n"/>
      <c r="F4" s="36" t="inlineStr">
        <is>
          <t>📊 2. ФИНАНСОВЫЙ ЭФФЕКТ СЦЕНАРИЯ (TO-BE ПРОГНОЗ)</t>
        </is>
      </c>
      <c r="J4" s="199" t="n"/>
    </row>
    <row r="5" ht="22.5" customHeight="1" s="461">
      <c r="A5" s="287" t="inlineStr">
        <is>
          <t>Параметр гипотезы</t>
        </is>
      </c>
      <c r="B5" s="287" t="inlineStr">
        <is>
          <t>Базовое значение (As-Is)</t>
        </is>
      </c>
      <c r="C5" s="287" t="inlineStr">
        <is>
          <t>Сценарная дельта (Ввод)</t>
        </is>
      </c>
      <c r="D5" s="287" t="inlineStr">
        <is>
          <t>Новый сценарный уровень</t>
        </is>
      </c>
      <c r="E5" s="199" t="n"/>
      <c r="F5" s="288" t="inlineStr">
        <is>
          <t>Финансовая метрика</t>
        </is>
      </c>
      <c r="G5" s="288" t="inlineStr">
        <is>
          <t>Факт сейчас (As-Is)</t>
        </is>
      </c>
      <c r="H5" s="288" t="inlineStr">
        <is>
          <t>Прогноз сценария (To-Be)</t>
        </is>
      </c>
      <c r="I5" s="288" t="inlineStr">
        <is>
          <t>Прирост выручки / Прибыли</t>
        </is>
      </c>
      <c r="J5" s="199" t="n"/>
    </row>
    <row r="6" ht="22.5" customHeight="1" s="461">
      <c r="A6" s="199" t="inlineStr">
        <is>
          <t>Рекламный бюджет в месяц</t>
        </is>
      </c>
      <c r="B6" s="380">
        <f>calc_engine!B62</f>
        <v/>
      </c>
      <c r="C6" s="290">
        <f>IF(ISNUMBER(SEARCH("Консервативный",$C$3)), 0.15, IF(ISNUMBER(SEARCH("Базовый",$C$3)), 0.3, IF(ISNUMBER(SEARCH("Агрессивный",$C$3)), 0.5, 0.5)))</f>
        <v/>
      </c>
      <c r="D6" s="291">
        <f>B6 * (1 + C6)</f>
        <v/>
      </c>
      <c r="E6" s="199" t="n"/>
      <c r="F6" s="199" t="inlineStr">
        <is>
          <t>Входящий поток лидов</t>
        </is>
      </c>
      <c r="G6" s="292">
        <f>calc_engine!E2</f>
        <v/>
      </c>
      <c r="H6" s="292">
        <f>ROUND(G6 * (1 + C6),0)</f>
        <v/>
      </c>
      <c r="I6" s="293">
        <f>H6 - G6</f>
        <v/>
      </c>
      <c r="J6" s="199" t="n"/>
    </row>
    <row r="7" ht="22.5" customHeight="1" s="461">
      <c r="A7" s="199" t="inlineStr">
        <is>
          <t>Конверсия закрытия воронки (CR)</t>
        </is>
      </c>
      <c r="B7" s="294">
        <f>calc_engine!$B$24</f>
        <v/>
      </c>
      <c r="C7" s="290">
        <f>IF(ISNUMBER(SEARCH("Консервативный",$C$3)), 0.02, IF(ISNUMBER(SEARCH("Базовый",$C$3)), 0.03, IF(ISNUMBER(SEARCH("Агрессивный",$C$3)), 0.05, 0.05)))</f>
        <v/>
      </c>
      <c r="D7" s="295">
        <f>B7 + C7</f>
        <v/>
      </c>
      <c r="E7" s="199" t="n"/>
      <c r="F7" s="199" t="inlineStr">
        <is>
          <t>Закрытых сделок за месяц</t>
        </is>
      </c>
      <c r="G7" s="292">
        <f>calc_engine!$B$22</f>
        <v/>
      </c>
      <c r="H7" s="292">
        <f>ROUND(H6 * D7,0)</f>
        <v/>
      </c>
      <c r="I7" s="293">
        <f>H7 - G7</f>
        <v/>
      </c>
      <c r="J7" s="199" t="n"/>
    </row>
    <row r="8" ht="22.5" customHeight="1" s="461">
      <c r="A8" s="199" t="inlineStr">
        <is>
          <t>Расширение штата КАМов (чел)</t>
        </is>
      </c>
      <c r="B8" s="292">
        <f>1</f>
        <v/>
      </c>
      <c r="C8" s="296">
        <f>IF(ISNUMBER(SEARCH("Консервативный",$C$3)), 0, IF(ISNUMBER(SEARCH("Базовый",$C$3)), 1, IF(ISNUMBER(SEARCH("Агрессивный",$C$3)), 2, 1)))</f>
        <v/>
      </c>
      <c r="D8" s="297">
        <f>B8 + C8</f>
        <v/>
      </c>
      <c r="E8" s="199" t="n"/>
      <c r="F8" s="199" t="inlineStr">
        <is>
          <t>Прогнозная выручка месяца</t>
        </is>
      </c>
      <c r="G8" s="380">
        <f>calc_engine!$B$19</f>
        <v/>
      </c>
      <c r="H8" s="380">
        <f>H7 * calc_engine!$B$21</f>
        <v/>
      </c>
      <c r="I8" s="298">
        <f>H8 - G8</f>
        <v/>
      </c>
      <c r="J8" s="199" t="n"/>
    </row>
    <row r="9" ht="22.5" customHeight="1" s="461">
      <c r="A9" s="199" t="inlineStr">
        <is>
          <t>Плановое снижение брака звонков</t>
        </is>
      </c>
      <c r="B9" s="294">
        <f>calc_engine!$B$31</f>
        <v/>
      </c>
      <c r="C9" s="299">
        <f>IF(ISNUMBER(SEARCH("Консервативный",$C$3)), 0.05, IF(ISNUMBER(SEARCH("Базовый",$C$3)), 0.1, IF(ISNUMBER(SEARCH("Агрессивный",$C$3)), 0.15, 0.15)))</f>
        <v/>
      </c>
      <c r="D9" s="295">
        <f>B9 * (1 - C9)</f>
        <v/>
      </c>
      <c r="E9" s="199" t="n"/>
      <c r="F9" s="199" t="inlineStr">
        <is>
          <t>Выполнение плана (от 5 млн ₽)</t>
        </is>
      </c>
      <c r="G9" s="294">
        <f>G8 / '⚙️ Настройки'!$B$9</f>
        <v/>
      </c>
      <c r="H9" s="294">
        <f>H8 / '⚙️ Настройки'!$B$9</f>
        <v/>
      </c>
      <c r="I9" s="300">
        <f>H9 - G9</f>
        <v/>
      </c>
      <c r="J9" s="199" t="n"/>
    </row>
    <row r="10" ht="22.5" customHeight="1" s="461">
      <c r="A10" s="199" t="n"/>
      <c r="B10" s="199" t="n"/>
      <c r="C10" s="199" t="n"/>
      <c r="D10" s="199" t="n"/>
      <c r="E10" s="199" t="n"/>
      <c r="F10" s="199" t="n"/>
      <c r="G10" s="199" t="n"/>
      <c r="H10" s="199" t="n"/>
      <c r="I10" s="199" t="n"/>
      <c r="J10" s="199" t="n"/>
    </row>
    <row r="11" ht="12" customHeight="1" s="461">
      <c r="A11" s="199" t="n"/>
      <c r="B11" s="199" t="n"/>
      <c r="C11" s="199" t="n"/>
      <c r="D11" s="199" t="n"/>
      <c r="E11" s="199" t="n"/>
      <c r="F11" s="199" t="n"/>
      <c r="G11" s="199" t="n"/>
      <c r="H11" s="199" t="n"/>
      <c r="I11" s="199" t="n"/>
      <c r="J11" s="199" t="n"/>
    </row>
    <row r="12" ht="25.5" customHeight="1" s="461">
      <c r="A12" s="301">
        <f>"🎯 ВЕРДИКТ СИМУЛЯТОРА: При изменении маркетинга на " &amp; TEXT(C6, "+0.0%") &amp; " и росте конверсии на " &amp; TEXT(C7, "+0.0%") &amp; ", выручка вырастет с " &amp; TEXT(G8, "#,##0 ₽") &amp; " до " &amp; TEXT(H8, "#,##0 ₽") &amp; " (" &amp; TEXT(I8, "+#,##0 ₽") &amp; " к кассе), обеспечив " &amp; TEXT(H9, "0.0%") &amp; " выполнения месячного плана!"</f>
        <v/>
      </c>
      <c r="J12" s="199" t="n"/>
    </row>
    <row r="13" ht="30" customHeight="1" s="461">
      <c r="A13" s="303" t="inlineStr">
        <is>
          <t>🎲 ПРЕДИКТИВНЫЙ КОРИДОР ВЫРУЧКИ МОНТЕ-КАРЛО (ВЕРОЯТНОСТЬ 95%)</t>
        </is>
      </c>
      <c r="B13" s="303" t="n"/>
      <c r="C13" s="303" t="n"/>
      <c r="D13" s="303" t="n"/>
      <c r="E13" s="303" t="n"/>
      <c r="F13" s="303" t="n"/>
      <c r="G13" s="36" t="n"/>
      <c r="H13" s="36" t="n"/>
      <c r="I13" s="199" t="n"/>
      <c r="J13" s="199" t="n"/>
    </row>
    <row r="14" ht="25.5" customHeight="1" s="461">
      <c r="A14" s="304" t="inlineStr">
        <is>
          <t>Метрика Монте-Карло</t>
        </is>
      </c>
      <c r="B14" s="304" t="inlineStr">
        <is>
          <t>Значение, ₽</t>
        </is>
      </c>
      <c r="C14" s="304" t="inlineStr">
        <is>
          <t>Доверительный интервал</t>
        </is>
      </c>
      <c r="D14" s="304" t="inlineStr">
        <is>
          <t>Вероятность</t>
        </is>
      </c>
      <c r="E14" s="304" t="inlineStr">
        <is>
          <t>Статус выполнения плана</t>
        </is>
      </c>
      <c r="F14" s="304" t="inlineStr">
        <is>
          <t>Рекомендация ИИ</t>
        </is>
      </c>
      <c r="G14" s="199" t="n"/>
      <c r="H14" s="199" t="n"/>
      <c r="I14" s="199" t="n"/>
      <c r="J14" s="199" t="n"/>
    </row>
    <row r="15" ht="27" customHeight="1" s="461">
      <c r="A15" s="399" t="inlineStr">
        <is>
          <t>Пессимистичный порог (P10 - 90% защита):</t>
        </is>
      </c>
      <c r="B15" s="306">
        <f>calc_simulator!B10</f>
        <v/>
      </c>
      <c r="C15" s="404" t="inlineStr">
        <is>
          <t>Коридор уверенности 95%</t>
        </is>
      </c>
      <c r="D15" s="404">
        <f>"90% гарантия (" &amp; TEXT(calc_simulator!B10, "#,##0 ₽") &amp; ")"</f>
        <v/>
      </c>
      <c r="E15" s="314" t="inlineStr">
        <is>
          <t>🟢 Касса защищена</t>
        </is>
      </c>
      <c r="F15" s="309" t="inlineStr">
        <is>
          <t>Базовые обязательства закрыты</t>
        </is>
      </c>
      <c r="G15" s="199" t="n"/>
      <c r="H15" s="199" t="n"/>
      <c r="I15" s="199" t="n"/>
      <c r="J15" s="199" t="n"/>
    </row>
    <row r="16" ht="27" customHeight="1" s="461">
      <c r="A16" s="399" t="inlineStr">
        <is>
          <t>Медианное ожидание кассы (P50):</t>
        </is>
      </c>
      <c r="B16" s="310">
        <f>calc_simulator!B11</f>
        <v/>
      </c>
      <c r="C16" s="404" t="inlineStr">
        <is>
          <t>Наиболее вероятный итог</t>
        </is>
      </c>
      <c r="D16" s="404">
        <f>"50% медиана (" &amp; TEXT(calc_simulator!B11, "#,##0 ₽") &amp; ")"</f>
        <v/>
      </c>
      <c r="E16" s="314" t="inlineStr">
        <is>
          <t>🟡 В шаге от плана</t>
        </is>
      </c>
      <c r="F16" s="309" t="inlineStr">
        <is>
          <t>Требуется дожим 2 сделок из Пульта РОПа</t>
        </is>
      </c>
      <c r="G16" s="199" t="n"/>
      <c r="H16" s="199" t="n"/>
      <c r="I16" s="199" t="n"/>
      <c r="J16" s="199" t="n"/>
    </row>
    <row r="17" ht="27" customHeight="1" s="461">
      <c r="A17" s="399" t="inlineStr">
        <is>
          <t>Оптимистичный таргет (P90 с ИИ-дожимом):</t>
        </is>
      </c>
      <c r="B17" s="311">
        <f>calc_simulator!B12</f>
        <v/>
      </c>
      <c r="C17" s="404" t="inlineStr">
        <is>
          <t>С учетом реанимации базы</t>
        </is>
      </c>
      <c r="D17" s="404">
        <f>"Таргет с ИИ (" &amp; TEXT(calc_simulator!B12, "#,##0 ₽") &amp; ")"</f>
        <v/>
      </c>
      <c r="E17" s="314" t="inlineStr">
        <is>
          <t>🚀 План 5.0M взят!</t>
        </is>
      </c>
      <c r="F17" s="309" t="inlineStr">
        <is>
          <t>Запуск автодожима по отказникам L1-L4</t>
        </is>
      </c>
      <c r="G17" s="199" t="n"/>
      <c r="H17" s="199" t="n"/>
      <c r="I17" s="199" t="n"/>
      <c r="J17" s="199" t="n"/>
    </row>
    <row r="18" ht="27" customHeight="1" s="461">
      <c r="A18" s="312" t="inlineStr">
        <is>
          <t>Вероятность выполнения плана 5 000 000 ₽:</t>
        </is>
      </c>
      <c r="B18" s="313">
        <f>calc_simulator!B13</f>
        <v/>
      </c>
      <c r="C18" s="314" t="inlineStr">
        <is>
          <t>Сводная вероятность</t>
        </is>
      </c>
      <c r="D18" s="314">
        <f>calc_simulator!B14</f>
        <v/>
      </c>
      <c r="E18" s="314" t="inlineStr">
        <is>
          <t>План: 5 000 000 ₽</t>
        </is>
      </c>
      <c r="F18" s="314" t="inlineStr">
        <is>
          <t>Фокус РОПа: перехват сделки D-104</t>
        </is>
      </c>
      <c r="G18" s="199" t="n"/>
      <c r="H18" s="199" t="n"/>
      <c r="I18" s="199" t="n"/>
      <c r="J18" s="199" t="n"/>
    </row>
    <row r="19" ht="15" customHeight="1" s="461">
      <c r="A19" s="199" t="n"/>
      <c r="B19" s="199" t="n"/>
      <c r="C19" s="199" t="n"/>
      <c r="D19" s="199" t="n"/>
      <c r="E19" s="199" t="n"/>
      <c r="F19" s="199" t="n"/>
      <c r="G19" s="199" t="n"/>
      <c r="H19" s="199" t="n"/>
      <c r="I19" s="199" t="n"/>
      <c r="J19" s="199" t="n"/>
    </row>
    <row r="20">
      <c r="A20" s="199" t="n"/>
      <c r="B20" s="199" t="n"/>
      <c r="C20" s="199" t="n"/>
      <c r="D20" s="199" t="n"/>
      <c r="E20" s="199" t="n"/>
      <c r="F20" s="199" t="n"/>
      <c r="G20" s="199" t="n"/>
      <c r="H20" s="199" t="n"/>
      <c r="I20" s="199" t="n"/>
      <c r="J20" s="199" t="n"/>
    </row>
    <row r="21">
      <c r="A21" s="199" t="n"/>
      <c r="B21" s="199" t="n"/>
      <c r="C21" s="199" t="n"/>
      <c r="D21" s="199" t="n"/>
      <c r="E21" s="199" t="n"/>
      <c r="F21" s="199" t="n"/>
      <c r="G21" s="199" t="n"/>
      <c r="H21" s="199" t="n"/>
      <c r="I21" s="199" t="n"/>
      <c r="J21" s="199" t="n"/>
    </row>
    <row r="22">
      <c r="A22" s="199" t="n"/>
      <c r="B22" s="199" t="n"/>
      <c r="C22" s="199" t="n"/>
      <c r="D22" s="199" t="n"/>
      <c r="E22" s="199" t="n"/>
      <c r="F22" s="199" t="n"/>
      <c r="G22" s="199" t="n"/>
      <c r="H22" s="199" t="n"/>
      <c r="I22" s="199" t="n"/>
      <c r="J22" s="199" t="n"/>
    </row>
    <row r="23">
      <c r="A23" s="199" t="n"/>
      <c r="B23" s="199" t="n"/>
      <c r="C23" s="199" t="n"/>
      <c r="D23" s="199" t="n"/>
      <c r="E23" s="199" t="n"/>
      <c r="F23" s="199" t="n"/>
      <c r="G23" s="199" t="n"/>
      <c r="H23" s="199" t="n"/>
      <c r="I23" s="199" t="n"/>
      <c r="J23" s="199" t="n"/>
    </row>
    <row r="24">
      <c r="A24" s="199" t="n"/>
      <c r="B24" s="199" t="n"/>
      <c r="C24" s="199" t="n"/>
      <c r="D24" s="199" t="n"/>
      <c r="E24" s="199" t="n"/>
      <c r="F24" s="199" t="n"/>
      <c r="G24" s="199" t="n"/>
      <c r="H24" s="199" t="n"/>
      <c r="I24" s="199" t="n"/>
      <c r="J24" s="199" t="n"/>
    </row>
    <row r="25">
      <c r="A25" s="199" t="n"/>
      <c r="B25" s="199" t="n"/>
      <c r="C25" s="199" t="n"/>
      <c r="D25" s="199" t="n"/>
      <c r="E25" s="199" t="n"/>
      <c r="F25" s="199" t="n"/>
      <c r="G25" s="199" t="n"/>
      <c r="H25" s="199" t="n"/>
      <c r="I25" s="199" t="n"/>
      <c r="J25" s="199" t="n"/>
    </row>
    <row r="26">
      <c r="A26" s="199" t="n"/>
      <c r="B26" s="199" t="n"/>
      <c r="C26" s="199" t="n"/>
      <c r="D26" s="199" t="n"/>
      <c r="E26" s="199" t="n"/>
      <c r="F26" s="199" t="n"/>
      <c r="G26" s="199" t="n"/>
      <c r="H26" s="199" t="n"/>
      <c r="I26" s="199" t="n"/>
      <c r="J26" s="199" t="n"/>
    </row>
    <row r="27">
      <c r="A27" s="199" t="n"/>
      <c r="B27" s="199" t="n"/>
      <c r="C27" s="199" t="n"/>
      <c r="D27" s="199" t="n"/>
      <c r="E27" s="199" t="n"/>
      <c r="F27" s="199" t="n"/>
      <c r="G27" s="199" t="n"/>
      <c r="H27" s="199" t="n"/>
      <c r="I27" s="199" t="n"/>
      <c r="J27" s="199" t="n"/>
    </row>
    <row r="28">
      <c r="A28" s="199" t="n"/>
      <c r="B28" s="199" t="n"/>
      <c r="C28" s="199" t="n"/>
      <c r="D28" s="199" t="n"/>
      <c r="E28" s="199" t="n"/>
      <c r="F28" s="199" t="n"/>
      <c r="G28" s="199" t="n"/>
      <c r="H28" s="199" t="n"/>
      <c r="I28" s="199" t="n"/>
      <c r="J28" s="199" t="n"/>
    </row>
    <row r="29">
      <c r="A29" s="199" t="n"/>
      <c r="B29" s="199" t="n"/>
      <c r="C29" s="199" t="n"/>
      <c r="D29" s="199" t="n"/>
      <c r="E29" s="199" t="n"/>
      <c r="F29" s="199" t="n"/>
      <c r="G29" s="199" t="n"/>
      <c r="H29" s="199" t="n"/>
      <c r="I29" s="199" t="n"/>
      <c r="J29" s="199" t="n"/>
    </row>
    <row r="30">
      <c r="A30" s="199" t="n"/>
      <c r="B30" s="199" t="n"/>
      <c r="C30" s="199" t="n"/>
      <c r="D30" s="199" t="n"/>
      <c r="E30" s="199" t="n"/>
      <c r="F30" s="199" t="n"/>
      <c r="G30" s="199" t="n"/>
      <c r="H30" s="199" t="n"/>
      <c r="I30" s="199" t="n"/>
      <c r="J30" s="199" t="n"/>
    </row>
  </sheetData>
  <mergeCells count="4">
    <mergeCell ref="A1:I1"/>
    <mergeCell ref="A12:I12"/>
    <mergeCell ref="A4:D4"/>
    <mergeCell ref="F4:I4"/>
  </mergeCells>
  <dataValidations count="1">
    <dataValidation sqref="C3" showDropDown="0" showInputMessage="0" showErrorMessage="0" allowBlank="1" type="list">
      <formula1>"1. Консервативный (+15% бюджет, +2% CR, +0 КАМ),2. Базовый (+30% бюджет, +3% CR, +1 КАМ),3. Агрессивный (+50% бюджет, +5% CR, +2 КАМ),4. Ручной ввод (Custom)"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tabColor rgb="FFE03838"/>
    <outlinePr summaryBelow="0" summaryRight="0"/>
    <pageSetUpPr/>
  </sheetPr>
  <dimension ref="A1:I55"/>
  <sheetViews>
    <sheetView workbookViewId="0">
      <selection activeCell="A1" sqref="A1"/>
    </sheetView>
  </sheetViews>
  <sheetFormatPr baseColWidth="8" defaultColWidth="12.63" defaultRowHeight="15.75" customHeight="1"/>
  <cols>
    <col width="88.63" customWidth="1" style="461" min="1" max="1"/>
    <col width="19.88" customWidth="1" style="461" min="2" max="2"/>
    <col width="28.63" customWidth="1" style="461" min="3" max="3"/>
    <col width="26.13" customWidth="1" style="461" min="4" max="4"/>
    <col width="24.38" customWidth="1" style="461" min="5" max="5"/>
    <col width="34.13" customWidth="1" style="461" min="6" max="6"/>
    <col width="19.75" customWidth="1" style="461" min="7" max="7"/>
    <col width="18.38" customWidth="1" style="461" min="8" max="8"/>
    <col width="15.5" customWidth="1" style="461" min="9" max="9"/>
  </cols>
  <sheetData>
    <row r="1" ht="28.5" customHeight="1" s="461">
      <c r="A1" s="315" t="inlineStr">
        <is>
          <t>🗄️ ENTERPRISE БЕЗОПАСНОСТЬ (RBAC), ЖУРНАЛ АУДИТА И DWH МОСТ (V17.6 MASTER)</t>
        </is>
      </c>
    </row>
    <row r="2" ht="24" customHeight="1" s="461">
      <c r="A2" s="496">
        <f>HYPERLINK("#'📄 Executive_OnePager'!A1", "📄 1. One-Pager")</f>
        <v/>
      </c>
      <c r="B2" s="496">
        <f>HYPERLINK("#'⚡ Пульс_Компании'!A1", "⚡ 2. Пульс компании")</f>
        <v/>
      </c>
      <c r="C2" s="496">
        <f>HYPERLINK("#'📋 Пульт_РОПа_15_Минут'!A1", "📋 3. Пульт РОПа")</f>
        <v/>
      </c>
      <c r="D2" s="496">
        <f>HYPERLINK("#'💸 Диагностика_Утечек_ОП'!A1", "💸 4. 7 Грехов ОП")</f>
        <v/>
      </c>
      <c r="E2" s="496">
        <f>HYPERLINK("#'🎯 Action_Center'!A1", "🎯 5. Action Center")</f>
        <v/>
      </c>
      <c r="F2" s="496">
        <f>HYPERLINK("#'🎙️ ИИ_Аудит'!A1", "🎙️ 6. ИИ-Аудит")</f>
        <v/>
      </c>
      <c r="G2" s="496">
        <f>HYPERLINK("#'⚡ Экспресс_Калькулятор_3_Цифры'!A1", "⚡ 7. Экспресс 3 цифры")</f>
        <v/>
      </c>
      <c r="H2" s="496">
        <f>HYPERLINK("#'🧪 QA_Suite'!A1", "🧪 8. QA Suite")</f>
        <v/>
      </c>
      <c r="I2" s="496">
        <f>HYPERLINK("#'⚙️ Настройки'!A1", "⚙️ 9. Настройки")</f>
        <v/>
      </c>
    </row>
    <row r="3" ht="18" customHeight="1" s="461">
      <c r="A3" s="316" t="inlineStr">
        <is>
          <t>Статус DWH-моста</t>
        </is>
      </c>
      <c r="B3" s="316" t="inlineStr">
        <is>
          <t>Архивировано в ClickHouse</t>
        </is>
      </c>
      <c r="C3" s="316" t="inlineStr">
        <is>
          <t>Сделок в оперативной памяти</t>
        </is>
      </c>
      <c r="D3" s="316" t="inlineStr">
        <is>
          <t>Инцидентов безопасности</t>
        </is>
      </c>
      <c r="E3" s="316" t="inlineStr">
        <is>
          <t>Защита ПДн (PII Masking)</t>
        </is>
      </c>
      <c r="F3" s="316" t="inlineStr">
        <is>
          <t>Статус QA-валидации</t>
        </is>
      </c>
    </row>
    <row r="4" ht="24" customHeight="1" s="461">
      <c r="A4" s="317" t="inlineStr">
        <is>
          <t>🟢 CONNECTED (n8n ⇄ ClickHouse)</t>
        </is>
      </c>
      <c r="B4" s="318" t="n">
        <v>48250</v>
      </c>
      <c r="C4" s="319">
        <f>COUNTIF(raw_deals!$A$2:$A50000, "?*")</f>
        <v/>
      </c>
      <c r="D4" s="317" t="inlineStr">
        <is>
          <t>0 инцидентов</t>
        </is>
      </c>
      <c r="E4" s="317" t="inlineStr">
        <is>
          <t>🛡️ RBAC АКТИВЕН</t>
        </is>
      </c>
      <c r="F4" s="317" t="inlineStr">
        <is>
          <t>✅ PASS 100% (45 листов)</t>
        </is>
      </c>
    </row>
    <row r="5"/>
    <row r="6" ht="19.5" customHeight="1" s="461">
      <c r="A6" s="320" t="inlineStr">
        <is>
          <t>🛡️ 1. МАТРИЦА РОЛЕВОГО ДОСТУПА И ЗАЩИТЫ КОММЕРЧЕСКИХ ДАННЫХ (RBAC PROTOCOL)</t>
        </is>
      </c>
    </row>
    <row r="7" ht="18" customHeight="1" s="461">
      <c r="A7" s="231" t="inlineStr">
        <is>
          <t>Роль пользователя</t>
        </is>
      </c>
      <c r="B7" s="231" t="inlineStr">
        <is>
          <t>Сотрудники</t>
        </is>
      </c>
      <c r="C7" s="231" t="inlineStr">
        <is>
          <t>Доступ к витринам</t>
        </is>
      </c>
      <c r="D7" s="231" t="inlineStr">
        <is>
          <t>Доступ к raw-листам</t>
        </is>
      </c>
      <c r="E7" s="231" t="inlineStr">
        <is>
          <t>Видимость ПДн (Телефоны/ФИО)</t>
        </is>
      </c>
      <c r="F7" s="231" t="inlineStr">
        <is>
          <t>Права на скидки и тарифы</t>
        </is>
      </c>
      <c r="G7" s="231" t="inlineStr">
        <is>
          <t>Доступ к кассе и Cash Flow</t>
        </is>
      </c>
      <c r="H7" s="231" t="inlineStr">
        <is>
          <t>Статус защищенности</t>
        </is>
      </c>
    </row>
    <row r="8" ht="16.5" customHeight="1" s="461">
      <c r="A8" s="335" t="inlineStr">
        <is>
          <t>Суперадмин / CEO</t>
        </is>
      </c>
      <c r="B8" s="218" t="inlineStr">
        <is>
          <t>Руководство компании</t>
        </is>
      </c>
      <c r="C8" s="218" t="inlineStr">
        <is>
          <t>Полный (Все 43 листа)</t>
        </is>
      </c>
      <c r="D8" s="218" t="inlineStr">
        <is>
          <t>Полный (Чтение / Запись)</t>
        </is>
      </c>
      <c r="E8" s="218" t="inlineStr">
        <is>
          <t>100% Открыто</t>
        </is>
      </c>
      <c r="F8" s="218" t="inlineStr">
        <is>
          <t>Утверждение регламентов</t>
        </is>
      </c>
      <c r="G8" s="218" t="inlineStr">
        <is>
          <t>Полный доступ</t>
        </is>
      </c>
      <c r="H8" s="324" t="inlineStr">
        <is>
          <t>🟢 ВЛАДЕЛЕЦ</t>
        </is>
      </c>
    </row>
    <row r="9" ht="16.5" customHeight="1" s="461">
      <c r="A9" s="335" t="inlineStr">
        <is>
          <t>РОП (Head of Sales)</t>
        </is>
      </c>
      <c r="B9" s="218" t="inlineStr">
        <is>
          <t>Иванов Дмитрий</t>
        </is>
      </c>
      <c r="C9" s="218" t="inlineStr">
        <is>
          <t>Дашборды ОП, Аудит, Воронка</t>
        </is>
      </c>
      <c r="D9" s="218" t="inlineStr">
        <is>
          <t>Ограниченный (Только ОП)</t>
        </is>
      </c>
      <c r="E9" s="218" t="inlineStr">
        <is>
          <t>100% Открыто</t>
        </is>
      </c>
      <c r="F9" s="218" t="inlineStr">
        <is>
          <t>Вилка до 15%</t>
        </is>
      </c>
      <c r="G9" s="218" t="inlineStr">
        <is>
          <t>Только факт оплат</t>
        </is>
      </c>
      <c r="H9" s="324" t="inlineStr">
        <is>
          <t>🟢 АВТОРИЗОВАН</t>
        </is>
      </c>
    </row>
    <row r="10" ht="16.5" customHeight="1" s="461">
      <c r="A10" s="335" t="inlineStr">
        <is>
          <t>КАМ / SDR (Sales)</t>
        </is>
      </c>
      <c r="B10" s="218" t="inlineStr">
        <is>
          <t>Петров А., Сидоров Р.</t>
        </is>
      </c>
      <c r="C10" s="218" t="inlineStr">
        <is>
          <t>Личный пайплайн, Задачи</t>
        </is>
      </c>
      <c r="D10" s="218" t="inlineStr">
        <is>
          <t>Запрещен (Только CRM)</t>
        </is>
      </c>
      <c r="E10" s="218" t="inlineStr">
        <is>
          <t>🔒 МАСКИРОВАНО (Хеш)</t>
        </is>
      </c>
      <c r="F10" s="218" t="inlineStr">
        <is>
          <t>Запрещено</t>
        </is>
      </c>
      <c r="G10" s="218" t="inlineStr">
        <is>
          <t>Запрещено</t>
        </is>
      </c>
      <c r="H10" s="324" t="inlineStr">
        <is>
          <t>🛡️ ОГРАНИЧЕН</t>
        </is>
      </c>
    </row>
    <row r="11" ht="16.5" customHeight="1" s="461">
      <c r="A11" s="335" t="inlineStr">
        <is>
          <t>Внешний подрядчик</t>
        </is>
      </c>
      <c r="B11" s="218" t="inlineStr">
        <is>
          <t>Агентство трафика</t>
        </is>
      </c>
      <c r="C11" s="218" t="inlineStr">
        <is>
          <t>Только «Маркетинг &amp; Трафик»</t>
        </is>
      </c>
      <c r="D11" s="218" t="inlineStr">
        <is>
          <t>Только raw_marketing</t>
        </is>
      </c>
      <c r="E11" s="218" t="inlineStr">
        <is>
          <t>🔒 СКРЫТО 100%</t>
        </is>
      </c>
      <c r="F11" s="218" t="inlineStr">
        <is>
          <t>Запрещено</t>
        </is>
      </c>
      <c r="G11" s="218" t="inlineStr">
        <is>
          <t>Запрещено</t>
        </is>
      </c>
      <c r="H11" s="324" t="inlineStr">
        <is>
          <t>🛡️ ИЗОЛИРОВАН</t>
        </is>
      </c>
    </row>
    <row r="12"/>
    <row r="13"/>
    <row r="14" ht="19.5" customHeight="1" s="461">
      <c r="A14" s="235" t="inlineStr">
        <is>
          <t>⚡ 2. АРХИТЕКТУРА ВЫГРУЗКИ В DWH (DATA MARTS &amp; STORAGE TIERING)</t>
        </is>
      </c>
    </row>
    <row r="15" ht="18" customHeight="1" s="461">
      <c r="A15" s="236" t="inlineStr">
        <is>
          <t>Слой данных</t>
        </is>
      </c>
      <c r="B15" s="236" t="inlineStr">
        <is>
          <t>Целевое хранилище</t>
        </is>
      </c>
      <c r="C15" s="236" t="inlineStr">
        <is>
          <t>Объем записей</t>
        </is>
      </c>
      <c r="D15" s="236" t="inlineStr">
        <is>
          <t>Частота репликации</t>
        </is>
      </c>
      <c r="E15" s="236" t="inlineStr">
        <is>
          <t>Задержка (Latency)</t>
        </is>
      </c>
      <c r="F15" s="236" t="inlineStr">
        <is>
          <t>Архитектурная функция</t>
        </is>
      </c>
      <c r="G15" s="236" t="inlineStr">
        <is>
          <t>BI-подключение</t>
        </is>
      </c>
      <c r="H15" s="236" t="inlineStr">
        <is>
          <t>Статус синхронизации</t>
        </is>
      </c>
    </row>
    <row r="16" ht="16.5" customHeight="1" s="461">
      <c r="A16" s="335" t="inlineStr">
        <is>
          <t>Hot Layer (Оперативный)</t>
        </is>
      </c>
      <c r="B16" s="218" t="inlineStr">
        <is>
          <t>Google Sheets SSOT</t>
        </is>
      </c>
      <c r="C16" s="218" t="inlineStr">
        <is>
          <t>До 2 000 строк (90 дней)</t>
        </is>
      </c>
      <c r="D16" s="218" t="inlineStr">
        <is>
          <t>В реальном времени (Webhooks)</t>
        </is>
      </c>
      <c r="E16" s="218" t="inlineStr">
        <is>
          <t>&lt; 1.5 сек</t>
        </is>
      </c>
      <c r="F16" s="218" t="inlineStr">
        <is>
          <t>Интерфейс РОПа и оперативные расчеты</t>
        </is>
      </c>
      <c r="G16" s="218" t="inlineStr">
        <is>
          <t>Google Looker Studio</t>
        </is>
      </c>
      <c r="H16" s="324" t="inlineStr">
        <is>
          <t>🟢 РАБОТАЕТ</t>
        </is>
      </c>
    </row>
    <row r="17" ht="16.5" customHeight="1" s="461">
      <c r="A17" s="335" t="inlineStr">
        <is>
          <t>Warm / Cold (Архив DWH)</t>
        </is>
      </c>
      <c r="B17" s="218" t="inlineStr">
        <is>
          <t>ClickHouse Enterprise</t>
        </is>
      </c>
      <c r="C17" s="218" t="inlineStr">
        <is>
          <t>50 000+ сделок (Архив M0-M36)</t>
        </is>
      </c>
      <c r="D17" s="218" t="inlineStr">
        <is>
          <t>Пакетно каждые 6 часов</t>
        </is>
      </c>
      <c r="E17" s="218" t="inlineStr">
        <is>
          <t>&lt; 5 мин</t>
        </is>
      </c>
      <c r="F17" s="218" t="inlineStr">
        <is>
          <t>Глубокая аналитика LTV и когорт NRR</t>
        </is>
      </c>
      <c r="G17" s="218" t="inlineStr">
        <is>
          <t>Power BI / Superset</t>
        </is>
      </c>
      <c r="H17" s="324" t="inlineStr">
        <is>
          <t>⚡ АКТИВНО (n8n ready)</t>
        </is>
      </c>
    </row>
    <row r="18" ht="16.5" customHeight="1" s="461">
      <c r="A18" s="335" t="inlineStr">
        <is>
          <t>Security Vault (ПДн)</t>
        </is>
      </c>
      <c r="B18" s="218" t="inlineStr">
        <is>
          <t>PostgreSQL Encrypted</t>
        </is>
      </c>
      <c r="C18" s="218" t="inlineStr">
        <is>
          <t>Зашифрованные профили клиентов</t>
        </is>
      </c>
      <c r="D18" s="218" t="inlineStr">
        <is>
          <t>По событию создания лида</t>
        </is>
      </c>
      <c r="E18" s="218" t="inlineStr">
        <is>
          <t>&lt; 2.0 сек</t>
        </is>
      </c>
      <c r="F18" s="218" t="inlineStr">
        <is>
          <t>Хранение персональных данных по 152-ФЗ</t>
        </is>
      </c>
      <c r="G18" s="218" t="inlineStr">
        <is>
          <t>Защищенный бэкенд</t>
        </is>
      </c>
      <c r="H18" s="324" t="inlineStr">
        <is>
          <t>🔒 ЗАШИФРОВАНО</t>
        </is>
      </c>
    </row>
    <row r="19"/>
    <row r="20"/>
    <row r="21" ht="19.5" customHeight="1" s="461">
      <c r="A21" s="244" t="inlineStr">
        <is>
          <t>📋 3. ЖУРНАЛ АУДИТА ОПЕРАЦИЙ (LIVE SECURITY &amp; COMPLIANCE FEED)</t>
        </is>
      </c>
    </row>
    <row r="22" ht="18" customHeight="1" s="461">
      <c r="A22" s="245" t="inlineStr">
        <is>
          <t>ID события</t>
        </is>
      </c>
      <c r="B22" s="245" t="inlineStr">
        <is>
          <t>Время инцидента</t>
        </is>
      </c>
      <c r="C22" s="245" t="inlineStr">
        <is>
          <t>Инициатор (Email)</t>
        </is>
      </c>
      <c r="D22" s="245" t="inlineStr">
        <is>
          <t>Объект изменения</t>
        </is>
      </c>
      <c r="E22" s="245" t="inlineStr">
        <is>
          <t>Тип действия</t>
        </is>
      </c>
      <c r="F22" s="245" t="inlineStr">
        <is>
          <t>Поле</t>
        </is>
      </c>
      <c r="G22" s="245" t="inlineStr">
        <is>
          <t>Было</t>
        </is>
      </c>
      <c r="H22" s="245" t="inlineStr">
        <is>
          <t>Стало</t>
        </is>
      </c>
      <c r="I22" s="245" t="inlineStr">
        <is>
          <t>Статус безопасности</t>
        </is>
      </c>
    </row>
    <row r="23" ht="16.5" customHeight="1" s="461">
      <c r="A23" s="218">
        <f>raw_audit_log!A2</f>
        <v/>
      </c>
      <c r="B23" s="218">
        <f>TEXT(raw_audit_log!B2,"YYYY-MM-DD HH:mm:ss")</f>
        <v/>
      </c>
      <c r="C23" s="218">
        <f>raw_audit_log!C2</f>
        <v/>
      </c>
      <c r="D23" s="218">
        <f>raw_audit_log!D2</f>
        <v/>
      </c>
      <c r="E23" s="218">
        <f>raw_audit_log!E2</f>
        <v/>
      </c>
      <c r="F23" s="218">
        <f>raw_audit_log!G2</f>
        <v/>
      </c>
      <c r="G23" s="218">
        <f>raw_audit_log!H2</f>
        <v/>
      </c>
      <c r="H23" s="218">
        <f>raw_audit_log!I2</f>
        <v/>
      </c>
      <c r="I23" s="324">
        <f>raw_audit_log!K2</f>
        <v/>
      </c>
    </row>
    <row r="24" ht="16.5" customHeight="1" s="461">
      <c r="A24" s="218">
        <f>raw_audit_log!A3</f>
        <v/>
      </c>
      <c r="B24" s="218">
        <f>TEXT(raw_audit_log!B3,"YYYY-MM-DD HH:mm:ss")</f>
        <v/>
      </c>
      <c r="C24" s="218">
        <f>raw_audit_log!C3</f>
        <v/>
      </c>
      <c r="D24" s="218">
        <f>raw_audit_log!D3</f>
        <v/>
      </c>
      <c r="E24" s="218">
        <f>raw_audit_log!E3</f>
        <v/>
      </c>
      <c r="F24" s="218">
        <f>raw_audit_log!G3</f>
        <v/>
      </c>
      <c r="G24" s="218">
        <f>raw_audit_log!H3</f>
        <v/>
      </c>
      <c r="H24" s="218">
        <f>raw_audit_log!I3</f>
        <v/>
      </c>
      <c r="I24" s="324">
        <f>raw_audit_log!K3</f>
        <v/>
      </c>
    </row>
    <row r="25" ht="16.5" customHeight="1" s="461">
      <c r="A25" s="218">
        <f>raw_audit_log!A4</f>
        <v/>
      </c>
      <c r="B25" s="218">
        <f>TEXT(raw_audit_log!B4,"YYYY-MM-DD HH:mm:ss")</f>
        <v/>
      </c>
      <c r="C25" s="218">
        <f>raw_audit_log!C4</f>
        <v/>
      </c>
      <c r="D25" s="218">
        <f>raw_audit_log!D4</f>
        <v/>
      </c>
      <c r="E25" s="218">
        <f>raw_audit_log!E4</f>
        <v/>
      </c>
      <c r="F25" s="218">
        <f>raw_audit_log!G4</f>
        <v/>
      </c>
      <c r="G25" s="218">
        <f>raw_audit_log!H4</f>
        <v/>
      </c>
      <c r="H25" s="218">
        <f>raw_audit_log!I4</f>
        <v/>
      </c>
      <c r="I25" s="324">
        <f>raw_audit_log!K4</f>
        <v/>
      </c>
    </row>
    <row r="26" ht="16.5" customHeight="1" s="461">
      <c r="A26" s="218">
        <f>raw_audit_log!A5</f>
        <v/>
      </c>
      <c r="B26" s="218">
        <f>TEXT(raw_audit_log!B5,"YYYY-MM-DD HH:mm:ss")</f>
        <v/>
      </c>
      <c r="C26" s="218">
        <f>raw_audit_log!C5</f>
        <v/>
      </c>
      <c r="D26" s="218">
        <f>raw_audit_log!D5</f>
        <v/>
      </c>
      <c r="E26" s="218">
        <f>raw_audit_log!E5</f>
        <v/>
      </c>
      <c r="F26" s="218">
        <f>raw_audit_log!G5</f>
        <v/>
      </c>
      <c r="G26" s="218">
        <f>raw_audit_log!H5</f>
        <v/>
      </c>
      <c r="H26" s="218">
        <f>raw_audit_log!I5</f>
        <v/>
      </c>
      <c r="I26" s="324">
        <f>raw_audit_log!K5</f>
        <v/>
      </c>
    </row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>
      <c r="A55" s="218" t="n">
        <v>43</v>
      </c>
      <c r="B55" s="218" t="inlineStr">
        <is>
          <t>📄 Executive_OnePager</t>
        </is>
      </c>
      <c r="C55" s="218" t="inlineStr">
        <is>
          <t>Презентационный</t>
        </is>
      </c>
      <c r="D55" s="218" t="inlineStr">
        <is>
          <t>CEO / Собственник</t>
        </is>
      </c>
      <c r="E55" s="355" t="n">
        <v>1</v>
      </c>
    </row>
  </sheetData>
  <mergeCells count="4">
    <mergeCell ref="A1:I1"/>
    <mergeCell ref="A14:I14"/>
    <mergeCell ref="A21:I21"/>
    <mergeCell ref="A6:I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FFF2841E"/>
    <outlinePr summaryBelow="0" summaryRight="0"/>
    <pageSetUpPr/>
  </sheetPr>
  <dimension ref="A1:L28"/>
  <sheetViews>
    <sheetView workbookViewId="0">
      <selection activeCell="A1" sqref="A1"/>
    </sheetView>
  </sheetViews>
  <sheetFormatPr baseColWidth="8" defaultColWidth="12.63" defaultRowHeight="15.75" customHeight="1"/>
  <cols>
    <col width="100.63" customWidth="1" style="461" min="1" max="1"/>
    <col width="23.38" customWidth="1" style="461" min="2" max="2"/>
    <col width="17.5" customWidth="1" style="461" min="3" max="3"/>
    <col width="20.5" customWidth="1" style="461" min="4" max="4"/>
    <col width="16.5" customWidth="1" style="461" min="5" max="5"/>
    <col width="16.63" customWidth="1" style="461" min="6" max="6"/>
    <col width="49.5" customWidth="1" style="461" min="7" max="7"/>
    <col width="13.38" customWidth="1" style="461" min="8" max="8"/>
    <col width="12.38" customWidth="1" style="461" min="9" max="9"/>
    <col width="13.38" customWidth="1" style="461" min="10" max="10"/>
    <col width="17.13" customWidth="1" style="461" min="11" max="11"/>
  </cols>
  <sheetData>
    <row r="1" ht="28.5" customHeight="1" s="461">
      <c r="A1" s="230" t="inlineStr">
        <is>
          <t>🌐 СКВОЗНАЯ REVOPS-СИСТЕМА: ОТ ПЕРВОГО КЛИКА ДО ПОВТОРНЫХ ПРОДАЖ (LTV)</t>
        </is>
      </c>
    </row>
    <row r="2" ht="24" customHeight="1" s="461">
      <c r="A2" s="496">
        <f>HYPERLINK("#'📄 Executive_OnePager'!A1", "📄 1. One-Pager")</f>
        <v/>
      </c>
      <c r="B2" s="496">
        <f>HYPERLINK("#'⚡ Пульс_Компании'!A1", "⚡ 2. Пульс компании")</f>
        <v/>
      </c>
      <c r="C2" s="496">
        <f>HYPERLINK("#'📋 Пульт_РОПа_15_Минут'!A1", "📋 3. Пульт РОПа")</f>
        <v/>
      </c>
      <c r="D2" s="496">
        <f>HYPERLINK("#'💸 Диагностика_Утечек_ОП'!A1", "💸 4. 7 Грехов ОП")</f>
        <v/>
      </c>
      <c r="E2" s="496">
        <f>HYPERLINK("#'🎯 Action_Center'!A1", "🎯 5. Action Center")</f>
        <v/>
      </c>
      <c r="F2" s="496">
        <f>HYPERLINK("#'🎙️ ИИ_Аудит'!A1", "🎙️ 6. ИИ-Аудит")</f>
        <v/>
      </c>
      <c r="G2" s="496">
        <f>HYPERLINK("#'⚡ Экспресс_Калькулятор_3_Цифры'!A1", "⚡ 7. Экспресс 3 цифры")</f>
        <v/>
      </c>
      <c r="H2" s="496">
        <f>HYPERLINK("#'🧪 QA_Suite'!A1", "🧪 8. QA Suite")</f>
        <v/>
      </c>
      <c r="I2" s="496">
        <f>HYPERLINK("#'⚙️ Настройки'!A1", "⚙️ 9. Настройки")</f>
        <v/>
      </c>
    </row>
    <row r="3">
      <c r="A3" s="266" t="inlineStr">
        <is>
          <t>Сквозной ROMI</t>
        </is>
      </c>
      <c r="B3" s="266" t="inlineStr">
        <is>
          <t>Sales Velocity / мес</t>
        </is>
      </c>
      <c r="C3" s="266" t="inlineStr">
        <is>
          <t>Индекс SLA</t>
        </is>
      </c>
      <c r="D3" s="266" t="inlineStr">
        <is>
          <t>Ср. балл речи</t>
        </is>
      </c>
      <c r="E3" s="266" t="inlineStr">
        <is>
          <t>Next Step %</t>
        </is>
      </c>
      <c r="F3" s="266" t="inlineStr">
        <is>
          <t>Нагрузка на РОПа</t>
        </is>
      </c>
      <c r="G3" s="266" t="inlineStr">
        <is>
          <t>Win Rate</t>
        </is>
      </c>
      <c r="H3" s="266" t="inlineStr">
        <is>
          <t>Честный CAC</t>
        </is>
      </c>
      <c r="I3" s="266" t="inlineStr">
        <is>
          <t>LTV клиента</t>
        </is>
      </c>
    </row>
    <row r="4">
      <c r="A4" s="327">
        <f>IFERROR((calc_engine!B19 - SUM(raw_marketing!$E$2:$E50000))/MAX(SUM(raw_marketing!$E$2:$E50000), 1), 0)</f>
        <v/>
      </c>
      <c r="B4" s="326">
        <f>calc_engine!B28</f>
        <v/>
      </c>
      <c r="C4" s="328">
        <f>calc_engine!B31</f>
        <v/>
      </c>
      <c r="D4" s="330">
        <f>calc_engine!B32</f>
        <v/>
      </c>
      <c r="E4" s="328">
        <f>calc_engine!B33</f>
        <v/>
      </c>
      <c r="F4" s="328">
        <f>calc_engine!B35</f>
        <v/>
      </c>
      <c r="G4" s="328">
        <f>calc_engine!B24</f>
        <v/>
      </c>
      <c r="H4" s="326">
        <f>calc_engine!B37</f>
        <v/>
      </c>
      <c r="I4" s="326">
        <f>calc_engine!B38</f>
        <v/>
      </c>
    </row>
    <row r="5"/>
    <row r="6">
      <c r="A6" s="331" t="inlineStr">
        <is>
          <t>🔄 1. СКВОЗНОЙ ПАЙПЛАЙН: ПРЕВРАЩЕНИЕ ТРАФИКА В ЧИСТУЮ ВЫРУЧКУ</t>
        </is>
      </c>
    </row>
    <row r="7">
      <c r="A7" s="332" t="inlineStr">
        <is>
          <t>Этап сквозного цикла</t>
        </is>
      </c>
      <c r="B7" s="332" t="inlineStr">
        <is>
          <t>Кол-во событий</t>
        </is>
      </c>
      <c r="C7" s="332" t="inlineStr">
        <is>
          <t>Объем капитала</t>
        </is>
      </c>
      <c r="D7" s="332" t="inlineStr">
        <is>
          <t>Конверсия шага (CR)</t>
        </is>
      </c>
      <c r="E7" s="332" t="inlineStr">
        <is>
          <t>Сквозной CR</t>
        </is>
      </c>
      <c r="F7" s="332" t="inlineStr">
        <is>
          <t>Норматив SLA</t>
        </is>
      </c>
      <c r="G7" s="332" t="inlineStr">
        <is>
          <t>Факт SLA</t>
        </is>
      </c>
      <c r="H7" s="332" t="inlineStr">
        <is>
          <t>Статус узла</t>
        </is>
      </c>
    </row>
    <row r="8">
      <c r="A8" s="218" t="inlineStr">
        <is>
          <t>1. Входящий трафик (Лиды)</t>
        </is>
      </c>
      <c r="B8" s="197">
        <f>SUM(raw_marketing!$H$2:$H50000)</f>
        <v/>
      </c>
      <c r="C8" s="346">
        <f>SUM(raw_marketing!$E$2:$E50000)</f>
        <v/>
      </c>
      <c r="D8" s="439" t="n">
        <v>1</v>
      </c>
      <c r="E8" s="439" t="n">
        <v>1</v>
      </c>
      <c r="F8" s="218">
        <f>'🎯 Воронка_и_SLA'!D4</f>
        <v/>
      </c>
      <c r="G8" s="218">
        <f>'🎯 Воронка_и_SLA'!E4</f>
        <v/>
      </c>
      <c r="H8" s="335">
        <f>'🎯 Воронка_и_SLA'!F4</f>
        <v/>
      </c>
    </row>
    <row r="9">
      <c r="A9" s="218" t="inlineStr">
        <is>
          <t>2. Квалификация и звонки</t>
        </is>
      </c>
      <c r="B9" s="197">
        <f>calc_engine!B3</f>
        <v/>
      </c>
      <c r="C9" s="346">
        <f>calc_engine!C3</f>
        <v/>
      </c>
      <c r="D9" s="439">
        <f>IFERROR(B9/MAX(B8,1),0)</f>
        <v/>
      </c>
      <c r="E9" s="439">
        <f>IFERROR(B9/MAX($B$8,1),0)</f>
        <v/>
      </c>
      <c r="F9" s="218">
        <f>'🎯 Воронка_и_SLA'!D5</f>
        <v/>
      </c>
      <c r="G9" s="218">
        <f>'🎯 Воронка_и_SLA'!E5</f>
        <v/>
      </c>
      <c r="H9" s="335">
        <f>'🎯 Воронка_и_SLA'!F5</f>
        <v/>
      </c>
    </row>
    <row r="10">
      <c r="A10" s="218" t="inlineStr">
        <is>
          <t>3. Проведено встреч / Демо</t>
        </is>
      </c>
      <c r="B10" s="197">
        <f>calc_engine!B4</f>
        <v/>
      </c>
      <c r="C10" s="346">
        <f>calc_engine!C4</f>
        <v/>
      </c>
      <c r="D10" s="439">
        <f>IFERROR(B10/MAX(B9,1),0)</f>
        <v/>
      </c>
      <c r="E10" s="439">
        <f>IFERROR(B10/MAX($B$8,1),0)</f>
        <v/>
      </c>
      <c r="F10" s="218">
        <f>'🎯 Воронка_и_SLA'!D6</f>
        <v/>
      </c>
      <c r="G10" s="218">
        <f>'🎯 Воронка_и_SLA'!E6</f>
        <v/>
      </c>
      <c r="H10" s="335">
        <f>'🎯 Воронка_и_SLA'!F6</f>
        <v/>
      </c>
    </row>
    <row r="11">
      <c r="A11" s="218" t="inlineStr">
        <is>
          <t>4. КП и согласование договора</t>
        </is>
      </c>
      <c r="B11" s="197">
        <f>calc_engine!B5</f>
        <v/>
      </c>
      <c r="C11" s="346">
        <f>calc_engine!C5</f>
        <v/>
      </c>
      <c r="D11" s="439">
        <f>IFERROR(B11/MAX(B10,1),0)</f>
        <v/>
      </c>
      <c r="E11" s="439">
        <f>IFERROR(B11/MAX($B$8,1),0)</f>
        <v/>
      </c>
      <c r="F11" s="218">
        <f>'🎯 Воронка_и_SLA'!D7</f>
        <v/>
      </c>
      <c r="G11" s="218">
        <f>'🎯 Воронка_и_SLA'!E7</f>
        <v/>
      </c>
      <c r="H11" s="335">
        <f>'🎯 Воронка_и_SLA'!F7</f>
        <v/>
      </c>
    </row>
    <row r="12">
      <c r="A12" s="218" t="inlineStr">
        <is>
          <t>5. Счета на оплате</t>
        </is>
      </c>
      <c r="B12" s="197">
        <f>calc_engine!B6</f>
        <v/>
      </c>
      <c r="C12" s="346">
        <f>calc_engine!C6</f>
        <v/>
      </c>
      <c r="D12" s="439">
        <f>IFERROR(B12/MAX(B11,1),0)</f>
        <v/>
      </c>
      <c r="E12" s="439">
        <f>IFERROR(B12/MAX($B$8,1),0)</f>
        <v/>
      </c>
      <c r="F12" s="218">
        <f>'🎯 Воронка_и_SLA'!D8</f>
        <v/>
      </c>
      <c r="G12" s="218">
        <f>'🎯 Воронка_и_SLA'!E8</f>
        <v/>
      </c>
      <c r="H12" s="335">
        <f>'🎯 Воронка_и_SLA'!F8</f>
        <v/>
      </c>
    </row>
    <row r="13">
      <c r="A13" s="218" t="inlineStr">
        <is>
          <t>6. Оплачено (Closed-Won)</t>
        </is>
      </c>
      <c r="B13" s="197">
        <f>calc_engine!B22</f>
        <v/>
      </c>
      <c r="C13" s="346">
        <f>calc_engine!B19</f>
        <v/>
      </c>
      <c r="D13" s="439">
        <f>IFERROR(B13/MAX(B12,1),0)</f>
        <v/>
      </c>
      <c r="E13" s="439">
        <f>IFERROR(B13/MAX($B$8,1),0)</f>
        <v/>
      </c>
      <c r="F13" s="218">
        <f>'🎯 Воронка_и_SLA'!D9</f>
        <v/>
      </c>
      <c r="G13" s="218">
        <f>calc_engine!B25 &amp; " дн"</f>
        <v/>
      </c>
      <c r="H13" s="335" t="inlineStr">
        <is>
          <t>🟢 ВЫРУЧКА</t>
        </is>
      </c>
    </row>
    <row r="14"/>
    <row r="15">
      <c r="A15" s="336" t="inlineStr">
        <is>
          <t>👥 2. КОМАНДА: КОРРЕЛЯЦИЯ КАЧЕСТВА ДИАЛОГОВ И ВЫРУЧКИ</t>
        </is>
      </c>
    </row>
    <row r="16">
      <c r="A16" s="337" t="inlineStr">
        <is>
          <t>ID CRM</t>
        </is>
      </c>
      <c r="B16" s="337" t="inlineStr">
        <is>
          <t>Сотрудник</t>
        </is>
      </c>
      <c r="C16" s="337" t="inlineStr">
        <is>
          <t>Роль</t>
        </is>
      </c>
      <c r="D16" s="337" t="inlineStr">
        <is>
          <t>Сделок в работе</t>
        </is>
      </c>
      <c r="E16" s="337" t="inlineStr">
        <is>
          <t>Пайплайн, ₽</t>
        </is>
      </c>
      <c r="F16" s="337" t="inlineStr">
        <is>
          <t>Звонков</t>
        </is>
      </c>
      <c r="G16" s="337" t="inlineStr">
        <is>
          <t>Ср. балл речи</t>
        </is>
      </c>
      <c r="H16" s="337" t="inlineStr">
        <is>
          <t>Next Step %</t>
        </is>
      </c>
      <c r="I16" s="337" t="inlineStr">
        <is>
          <t>Выручка (Факт)</t>
        </is>
      </c>
      <c r="J16" s="337" t="inlineStr">
        <is>
          <t>Загрузка емкости</t>
        </is>
      </c>
      <c r="K16" s="337" t="inlineStr">
        <is>
          <t>Решение РОПа</t>
        </is>
      </c>
    </row>
    <row r="17">
      <c r="A17" s="218" t="n">
        <v>101</v>
      </c>
      <c r="B17" s="218" t="inlineStr">
        <is>
          <t>Иванов Дмитрий (РОП)</t>
        </is>
      </c>
      <c r="C17" s="218" t="inlineStr">
        <is>
          <t>ROP</t>
        </is>
      </c>
      <c r="D17" s="197">
        <f>calc_engine!D43</f>
        <v/>
      </c>
      <c r="E17" s="346">
        <f>calc_engine!E43</f>
        <v/>
      </c>
      <c r="F17" s="197">
        <f>calc_engine!F43</f>
        <v/>
      </c>
      <c r="G17" s="338">
        <f>calc_engine!G43</f>
        <v/>
      </c>
      <c r="H17" s="439">
        <f>calc_engine!H43</f>
        <v/>
      </c>
      <c r="I17" s="346">
        <f>SUMIFS(raw_deals!$C$2:$C50000, raw_deals!$H$2:$H50000, 101, raw_deals!$D$2:$D50000, 6)</f>
        <v/>
      </c>
      <c r="J17" s="439">
        <f>IFERROR(D17/VLOOKUP(A17, '⚙️ Настройки'!$A$21:$D$23, 4, FALSE), 0)</f>
        <v/>
      </c>
      <c r="K17" s="335">
        <f>IF(AND(C17="ROP", J17&gt;0.7), "🔴 ДЕЛЕГИРОВАТЬ НА КАМ", IF(G17&lt;9, "⚠️ ТРЕНИНГ СКРИПТА", IF(J17&gt;1, "🔴 ПЕРЕГРУЗ", "🟢 В НОРМЕ")))</f>
        <v/>
      </c>
    </row>
    <row r="18">
      <c r="A18" s="218" t="n">
        <v>102</v>
      </c>
      <c r="B18" s="218" t="inlineStr">
        <is>
          <t>Петров Александр (КАМ)</t>
        </is>
      </c>
      <c r="C18" s="218" t="inlineStr">
        <is>
          <t>KAM</t>
        </is>
      </c>
      <c r="D18" s="197">
        <f>calc_engine!D44</f>
        <v/>
      </c>
      <c r="E18" s="346">
        <f>calc_engine!E44</f>
        <v/>
      </c>
      <c r="F18" s="197">
        <f>calc_engine!F44</f>
        <v/>
      </c>
      <c r="G18" s="338">
        <f>calc_engine!G44</f>
        <v/>
      </c>
      <c r="H18" s="439">
        <f>calc_engine!H44</f>
        <v/>
      </c>
      <c r="I18" s="346">
        <f>SUMIFS(raw_deals!$C$2:$C50000, raw_deals!$H$2:$H50000, 102, raw_deals!$D$2:$D50000, 6)</f>
        <v/>
      </c>
      <c r="J18" s="439">
        <f>IFERROR(D18/VLOOKUP(A18, '⚙️ Настройки'!$A$21:$D$23, 4, FALSE), 0)</f>
        <v/>
      </c>
      <c r="K18" s="335">
        <f>IF(AND(C18="ROP", J18&gt;0.7), "🔴 ДЕЛЕГИРОВАТЬ НА КАМ", IF(G18&lt;9, "⚠️ ТРЕНИНГ СКРИПТА", IF(J18&gt;1, "🔴 ПЕРЕГРУЗ", "🟢 В НОРМЕ")))</f>
        <v/>
      </c>
    </row>
    <row r="19">
      <c r="A19" s="218" t="n">
        <v>103</v>
      </c>
      <c r="B19" s="218" t="inlineStr">
        <is>
          <t>Сидоров Роман (SDR)</t>
        </is>
      </c>
      <c r="C19" s="218" t="inlineStr">
        <is>
          <t>SDR</t>
        </is>
      </c>
      <c r="D19" s="197">
        <f>calc_engine!D45</f>
        <v/>
      </c>
      <c r="E19" s="346">
        <f>calc_engine!E45</f>
        <v/>
      </c>
      <c r="F19" s="197">
        <f>calc_engine!F45</f>
        <v/>
      </c>
      <c r="G19" s="338">
        <f>calc_engine!G45</f>
        <v/>
      </c>
      <c r="H19" s="439">
        <f>calc_engine!H45</f>
        <v/>
      </c>
      <c r="I19" s="346">
        <f>SUMIFS(raw_deals!$C$2:$C50000, raw_deals!$H$2:$H50000, 103, raw_deals!$D$2:$D50000, 6)</f>
        <v/>
      </c>
      <c r="J19" s="439">
        <f>IFERROR(D19/VLOOKUP(A19, '⚙️ Настройки'!$A$21:$D$23, 4, FALSE), 0)</f>
        <v/>
      </c>
      <c r="K19" s="335">
        <f>IF(AND(C19="ROP", J19&gt;0.7), "🔴 ДЕЛЕГИРОВАТЬ НА КАМ", IF(G19&lt;9, "⚠️ ТРЕНИНГ СКРИПТА", IF(J19&gt;1, "🔴 ПЕРЕГРУЗ", "🟢 В НОРМЕ")))</f>
        <v/>
      </c>
    </row>
    <row r="20"/>
    <row r="21"/>
    <row r="22">
      <c r="A22" s="344" t="inlineStr">
        <is>
          <t>🧲 3. СКВОЗНАЯ МОНЕТИЗАЦИЯ СРЫВОВ И РЕАКТИВАЦИЯ ОТКАЗНИКОВ (L1–L4)</t>
        </is>
      </c>
    </row>
    <row r="23">
      <c r="A23" s="345" t="inlineStr">
        <is>
          <t>Код</t>
        </is>
      </c>
      <c r="B23" s="345" t="inlineStr">
        <is>
          <t>Барьер клиента</t>
        </is>
      </c>
      <c r="C23" s="345" t="inlineStr">
        <is>
          <t>Срывов, шт</t>
        </is>
      </c>
      <c r="D23" s="345" t="inlineStr">
        <is>
          <t>Списано потерь, ₽</t>
        </is>
      </c>
      <c r="E23" s="345" t="inlineStr">
        <is>
          <t>Вероятность возврата</t>
        </is>
      </c>
      <c r="F23" s="345" t="inlineStr">
        <is>
          <t>Потенциал выручки, ₽</t>
        </is>
      </c>
      <c r="G23" s="345" t="inlineStr">
        <is>
          <t>Сценарий дожима</t>
        </is>
      </c>
    </row>
    <row r="24">
      <c r="A24" s="218" t="inlineStr">
        <is>
          <t>L1</t>
        </is>
      </c>
      <c r="B24" s="218">
        <f>VLOOKUP(A24, '⚙️ Настройки'!$A$26:$C$29, 2, FALSE)</f>
        <v/>
      </c>
      <c r="C24" s="197">
        <f>calc_engine!C74</f>
        <v/>
      </c>
      <c r="D24" s="346">
        <f>calc_engine!D74</f>
        <v/>
      </c>
      <c r="E24" s="439">
        <f>VLOOKUP(A24, '⚙️ Настройки'!$A$26:$C$29, 3, FALSE)</f>
        <v/>
      </c>
      <c r="F24" s="281">
        <f>D24*E24</f>
        <v/>
      </c>
      <c r="G24" s="218" t="inlineStr">
        <is>
          <t>📲 Автодожим: спецпредложение Lite + рассрочка</t>
        </is>
      </c>
    </row>
    <row r="25">
      <c r="A25" s="218" t="inlineStr">
        <is>
          <t>L2</t>
        </is>
      </c>
      <c r="B25" s="218">
        <f>VLOOKUP(A25, '⚙️ Настройки'!$A$26:$C$29, 2, FALSE)</f>
        <v/>
      </c>
      <c r="C25" s="197">
        <f>calc_engine!C75</f>
        <v/>
      </c>
      <c r="D25" s="346">
        <f>calc_engine!D75</f>
        <v/>
      </c>
      <c r="E25" s="439">
        <f>VLOOKUP(A25, '⚙️ Настройки'!$A$26:$C$29, 3, FALSE)</f>
        <v/>
      </c>
      <c r="F25" s="281">
        <f>D25*E25</f>
        <v/>
      </c>
      <c r="G25" s="218" t="inlineStr">
        <is>
          <t>📊 Сравнит. матрица преимуществ + звонок РОПа</t>
        </is>
      </c>
    </row>
    <row r="26">
      <c r="A26" s="218" t="inlineStr">
        <is>
          <t>L3</t>
        </is>
      </c>
      <c r="B26" s="218">
        <f>VLOOKUP(A26, '⚙️ Настройки'!$A$26:$C$29, 2, FALSE)</f>
        <v/>
      </c>
      <c r="C26" s="197">
        <f>calc_engine!C76</f>
        <v/>
      </c>
      <c r="D26" s="346">
        <f>calc_engine!D76</f>
        <v/>
      </c>
      <c r="E26" s="439">
        <f>VLOOKUP(A26, '⚙️ Настройки'!$A$26:$C$29, 3, FALSE)</f>
        <v/>
      </c>
      <c r="F26" s="281">
        <f>D26*E26</f>
        <v/>
      </c>
      <c r="G26" s="218" t="inlineStr">
        <is>
          <t>📩 Дайджест кейсов ниши раз в месяц</t>
        </is>
      </c>
    </row>
    <row r="27">
      <c r="A27" s="218" t="inlineStr">
        <is>
          <t>L4</t>
        </is>
      </c>
      <c r="B27" s="218">
        <f>VLOOKUP(A27, '⚙️ Настройки'!$A$26:$C$29, 2, FALSE)</f>
        <v/>
      </c>
      <c r="C27" s="197">
        <f>calc_engine!C77</f>
        <v/>
      </c>
      <c r="D27" s="346">
        <f>calc_engine!D77</f>
        <v/>
      </c>
      <c r="E27" s="439">
        <f>VLOOKUP(A27, '⚙️ Настройки'!$A$26:$C$29, 3, FALSE)</f>
        <v/>
      </c>
      <c r="F27" s="281">
        <f>D27*E27</f>
        <v/>
      </c>
      <c r="G27" s="218" t="inlineStr">
        <is>
          <t>🤖 Автоматический звонок бота + пуш в WhatsApp</t>
        </is>
      </c>
    </row>
    <row r="28">
      <c r="A28" s="335" t="inlineStr">
        <is>
          <t>ИТОГО РЕЗЕРВ:</t>
        </is>
      </c>
      <c r="F28" s="284">
        <f>SUM(F24:F27)</f>
        <v/>
      </c>
      <c r="G28" s="347" t="inlineStr">
        <is>
          <t>🔥 Деньги, возвращаемые в пайплайн без расходов на маркетинг</t>
        </is>
      </c>
    </row>
  </sheetData>
  <mergeCells count="4">
    <mergeCell ref="A1:L1"/>
    <mergeCell ref="A15:K15"/>
    <mergeCell ref="A22:G22"/>
    <mergeCell ref="A6:H6"/>
  </mergeCells>
  <hyperlinks>
    <hyperlink ref="B2" location="'📈 Когорты_LTV'!A1" display="📈 Когорты LTV &amp; Retention"/>
    <hyperlink ref="C2" location="'👥 Ресурсный_План'!A1" display="👥 Ресурсный План ОП"/>
    <hyperlink ref="D2" location="'🌐 Маркетинг_и_Трафик'!A1" display="🌐 Маркетинг &amp; Атрибуция"/>
    <hyperlink ref="E2" location="'🎯 Воронка_и_SLA'!A1" display="🎯 Воронка &amp; SLA"/>
    <hyperlink ref="F2" location="'📊 Юнит_Экономика'!A1" display="📊 Юнит-Экономика"/>
    <hyperlink ref="G2" location="'🎙️ ИИ_Аудит'!A1" display="🎙️ ИИ-Аудит речи"/>
    <hyperlink ref="H2" location="'🚨 Радар_Алертов'!A1" display="🚨 Радар алертов"/>
    <hyperlink ref="I2" location="'📋 Задачи_и_Спринты'!A1" display="📋 Реестр задач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FFF2841E"/>
    <outlinePr summaryBelow="0" summaryRight="0"/>
    <pageSetUpPr/>
  </sheetPr>
  <dimension ref="A1:J26"/>
  <sheetViews>
    <sheetView workbookViewId="0">
      <selection activeCell="A1" sqref="A1"/>
    </sheetView>
  </sheetViews>
  <sheetFormatPr baseColWidth="8" defaultColWidth="12.63" defaultRowHeight="15.75" customHeight="1"/>
  <cols>
    <col width="73.5" customWidth="1" style="461" min="1" max="1"/>
    <col width="14" customWidth="1" style="461" min="2" max="2"/>
    <col width="15.88" customWidth="1" style="461" min="3" max="3"/>
    <col width="13.25" customWidth="1" style="461" min="4" max="4"/>
    <col width="13" customWidth="1" style="461" min="5" max="5"/>
    <col width="12.88" customWidth="1" style="461" min="6" max="6"/>
    <col width="14.5" customWidth="1" style="461" min="7" max="8"/>
    <col width="16.63" customWidth="1" style="461" min="9" max="9"/>
    <col width="38.25" customWidth="1" style="461" min="10" max="10"/>
  </cols>
  <sheetData>
    <row r="1" ht="36" customHeight="1" s="461">
      <c r="A1" s="325" t="inlineStr">
        <is>
          <t>🌐 МАРКЕТИНГ И ТРАФИК: CLOSED-LOOP ATTRIBUTION &amp; КАМПАНИИ</t>
        </is>
      </c>
    </row>
    <row r="2" ht="24" customHeight="1" s="461">
      <c r="A2" s="496">
        <f>HYPERLINK("#'📄 Executive_OnePager'!A1", "📄 1. One-Pager")</f>
        <v/>
      </c>
      <c r="B2" s="496">
        <f>HYPERLINK("#'⚡ Пульс_Компании'!A1", "⚡ 2. Пульс компании")</f>
        <v/>
      </c>
      <c r="C2" s="496">
        <f>HYPERLINK("#'📋 Пульт_РОПа_15_Минут'!A1", "📋 3. Пульт РОПа")</f>
        <v/>
      </c>
      <c r="D2" s="496">
        <f>HYPERLINK("#'💸 Диагностика_Утечек_ОП'!A1", "💸 4. 7 Грехов ОП")</f>
        <v/>
      </c>
      <c r="E2" s="496">
        <f>HYPERLINK("#'🎯 Action_Center'!A1", "🎯 5. Action Center")</f>
        <v/>
      </c>
      <c r="F2" s="496">
        <f>HYPERLINK("#'🎙️ ИИ_Аудит'!A1", "🎙️ 6. ИИ-Аудит")</f>
        <v/>
      </c>
      <c r="G2" s="496">
        <f>HYPERLINK("#'⚡ Экспресс_Калькулятор_3_Цифры'!A1", "⚡ 7. Экспресс 3 цифры")</f>
        <v/>
      </c>
      <c r="H2" s="496">
        <f>HYPERLINK("#'🧪 QA_Suite'!A1", "🧪 8. QA Suite")</f>
        <v/>
      </c>
      <c r="I2" s="496">
        <f>HYPERLINK("#'⚙️ Настройки'!A1", "⚙️ 9. Настройки")</f>
        <v/>
      </c>
    </row>
    <row r="3" ht="12" customHeight="1" s="461">
      <c r="A3" s="231" t="inlineStr">
        <is>
          <t>Маркетинговый бюджет</t>
        </is>
      </c>
      <c r="B3" s="231" t="inlineStr">
        <is>
          <t>Всего лидов (CPL)</t>
        </is>
      </c>
      <c r="C3" s="231" t="inlineStr">
        <is>
          <t>Квалиф. лиды (CPQL)</t>
        </is>
      </c>
      <c r="D3" s="231" t="inlineStr">
        <is>
          <t>Оплачено сделок</t>
        </is>
      </c>
      <c r="E3" s="231" t="inlineStr">
        <is>
          <t>Выручка Won</t>
        </is>
      </c>
      <c r="F3" s="231" t="inlineStr">
        <is>
          <t>Сквозной ROMI</t>
        </is>
      </c>
      <c r="G3" s="231" t="inlineStr">
        <is>
          <t>CAC (Факт)</t>
        </is>
      </c>
    </row>
    <row r="4" ht="25.5" customHeight="1" s="461">
      <c r="A4" s="326">
        <f>SUMIFS(raw_marketing!$E$2:$E50000, raw_marketing!$A$2:$A50000, "&gt;="&amp;'⚙️ Настройки'!$B$6, raw_marketing!$A$2:$A50000, "&lt;="&amp;'⚙️ Настройки'!$B$7)</f>
        <v/>
      </c>
      <c r="B4" s="329">
        <f>SUMIFS(raw_marketing!$H$2:$H50000, raw_marketing!$A$2:$A50000, "&gt;="&amp;'⚙️ Настройки'!$B$6, raw_marketing!$A$2:$A50000, "&lt;="&amp;'⚙️ Настройки'!$B$7)</f>
        <v/>
      </c>
      <c r="C4" s="329">
        <f>COUNTIFS(raw_deals!$D$2:$D50000, "&gt;=2", raw_deals!$D$2:$D50000, "&lt;=6", raw_deals!$G$2:$G50000, "&gt;="&amp;'⚙️ Настройки'!$B$6, raw_deals!$G$2:$G50000, "&lt;="&amp;'⚙️ Настройки'!$B$7)</f>
        <v/>
      </c>
      <c r="D4" s="329">
        <f>COUNTIFS(raw_deals!$O$2:$O50000, TRUE, raw_deals!$G$2:$G50000, "&gt;="&amp;'⚙️ Настройки'!$B$6, raw_deals!$G$2:$G50000, "&lt;="&amp;'⚙️ Настройки'!$B$7)</f>
        <v/>
      </c>
      <c r="E4" s="326">
        <f>SUMIFS(raw_deals!$C$2:$C50000, raw_deals!$O$2:$O50000, TRUE, raw_deals!$G$2:$G50000, "&gt;="&amp;'⚙️ Настройки'!$B$6, raw_deals!$G$2:$G50000, "&lt;="&amp;'⚙️ Настройки'!$B$7)</f>
        <v/>
      </c>
      <c r="F4" s="327">
        <f>IFERROR((E4-A4)/MAX(A4,1), 0)</f>
        <v/>
      </c>
      <c r="G4" s="326">
        <f>IFERROR(A4/MAX(D4,1), 0)</f>
        <v/>
      </c>
    </row>
    <row r="5" ht="24" customHeight="1" s="461"/>
    <row r="6" ht="24" customHeight="1" s="461">
      <c r="A6" s="334" t="inlineStr">
        <is>
          <t>📊 ЭФФЕКТИВНОСТЬ РЕКЛАМНЫХ КАМПАНИЙ И СВЯЗОК</t>
        </is>
      </c>
    </row>
    <row r="7" ht="24" customHeight="1" s="461">
      <c r="A7" s="236" t="inlineStr">
        <is>
          <t>Канал трафика</t>
        </is>
      </c>
      <c r="B7" s="236" t="inlineStr">
        <is>
          <t>Кампания</t>
        </is>
      </c>
      <c r="C7" s="236" t="inlineStr">
        <is>
          <t>Расход, ₽</t>
        </is>
      </c>
      <c r="D7" s="236" t="inlineStr">
        <is>
          <t>Клики</t>
        </is>
      </c>
      <c r="E7" s="236" t="inlineStr">
        <is>
          <t>Лиды</t>
        </is>
      </c>
      <c r="F7" s="236" t="inlineStr">
        <is>
          <t>CPL, ₽</t>
        </is>
      </c>
      <c r="G7" s="236" t="inlineStr">
        <is>
          <t>Оплаты</t>
        </is>
      </c>
      <c r="H7" s="236" t="inlineStr">
        <is>
          <t>Выручка, ₽</t>
        </is>
      </c>
      <c r="I7" s="236" t="inlineStr">
        <is>
          <t>ROMI</t>
        </is>
      </c>
      <c r="J7" s="236" t="inlineStr">
        <is>
          <t>Действие алгоритма</t>
        </is>
      </c>
    </row>
    <row r="8" ht="24" customHeight="1" s="461">
      <c r="A8" s="218" t="inlineStr">
        <is>
          <t>Яндекс Директ</t>
        </is>
      </c>
      <c r="B8" s="218" t="inlineStr">
        <is>
          <t>Контекст B2B</t>
        </is>
      </c>
      <c r="C8" s="346">
        <f>calc_engine!B132</f>
        <v/>
      </c>
      <c r="D8" s="197">
        <f>SUMIFS(raw_marketing!$F$2:$F50000, raw_marketing!$B$2:$B50000, A8)</f>
        <v/>
      </c>
      <c r="E8" s="197">
        <f>SUMIFS(raw_marketing!$H$2:$H50000, raw_marketing!$B$2:$B50000, A8)</f>
        <v/>
      </c>
      <c r="F8" s="346">
        <f>IFERROR(C8/MAX(E8,1), 0)</f>
        <v/>
      </c>
      <c r="G8" s="197">
        <f>COUNTIFS(raw_touchpoints!$E$2:$E$50000, A8, raw_touchpoints!$J$2:$J$50000, TRUE)</f>
        <v/>
      </c>
      <c r="H8" s="346">
        <f>calc_engine!E132</f>
        <v/>
      </c>
      <c r="I8" s="237">
        <f>IFERROR((H8-C8)/MAX(C8,1), 0)</f>
        <v/>
      </c>
      <c r="J8" s="335">
        <f>IF(C8=0,"⏳ НЕТ ЗАТРАТ",IF(I8&gt;=3,"🚀 МАСШТАБИРОВАТЬ (+50%)",IF(I8&gt;0,"🟢 В НОРМЕ (W-SHAPED)",IF(C8&gt;50000,"🔴 СТОП","🟡 ОПТИМИЗАЦИЯ"))))</f>
        <v/>
      </c>
    </row>
    <row r="9">
      <c r="A9" s="218" t="inlineStr">
        <is>
          <t>Контур.Фокус</t>
        </is>
      </c>
      <c r="B9" s="218" t="inlineStr">
        <is>
          <t>Парсинг Опт</t>
        </is>
      </c>
      <c r="C9" s="346">
        <f>calc_engine!B133</f>
        <v/>
      </c>
      <c r="D9" s="197">
        <f>SUMIFS(raw_marketing!$F$2:$F50000, raw_marketing!$B$2:$B50000, A9)</f>
        <v/>
      </c>
      <c r="E9" s="197">
        <f>SUMIFS(raw_marketing!$H$2:$H50000, raw_marketing!$B$2:$B50000, A9)</f>
        <v/>
      </c>
      <c r="F9" s="346">
        <f>IFERROR(C9/MAX(E9,1), 0)</f>
        <v/>
      </c>
      <c r="G9" s="197">
        <f>COUNTIFS(raw_touchpoints!$E$2:$E$50000, A9, raw_touchpoints!$J$2:$J$50000, TRUE)</f>
        <v/>
      </c>
      <c r="H9" s="346">
        <f>calc_engine!E133</f>
        <v/>
      </c>
      <c r="I9" s="237">
        <f>IFERROR((H9-C9)/MAX(C9,1), 0)</f>
        <v/>
      </c>
      <c r="J9" s="335">
        <f>IF(C9=0,"⏳ НЕТ ЗАТРАТ",IF(I9&gt;=3,"🚀 МАСШТАБИРОВАТЬ (+50%)",IF(I9&gt;0,"🟢 В НОРМЕ (W-SHAPED)",IF(C9&gt;50000,"🔴 СТОП","🟡 ОПТИМИЗАЦИЯ"))))</f>
        <v/>
      </c>
    </row>
    <row r="10">
      <c r="A10" s="218" t="inlineStr">
        <is>
          <t>Google Ads</t>
        </is>
      </c>
      <c r="B10" s="218" t="inlineStr">
        <is>
          <t>Поиск Бренд</t>
        </is>
      </c>
      <c r="C10" s="346">
        <f>calc_engine!B134</f>
        <v/>
      </c>
      <c r="D10" s="197">
        <f>SUMIFS(raw_marketing!$F$2:$F50000, raw_marketing!$B$2:$B50000, A10)</f>
        <v/>
      </c>
      <c r="E10" s="197">
        <f>SUMIFS(raw_marketing!$H$2:$H50000, raw_marketing!$B$2:$B50000, A10)</f>
        <v/>
      </c>
      <c r="F10" s="346">
        <f>IFERROR(C10/MAX(E10,1), 0)</f>
        <v/>
      </c>
      <c r="G10" s="197">
        <f>COUNTIFS(raw_touchpoints!$E$2:$E$50000, A10, raw_touchpoints!$J$2:$J$50000, TRUE)</f>
        <v/>
      </c>
      <c r="H10" s="346">
        <f>calc_engine!E134</f>
        <v/>
      </c>
      <c r="I10" s="237">
        <f>IFERROR((H10-C10)/MAX(C10,1), 0)</f>
        <v/>
      </c>
      <c r="J10" s="335">
        <f>IF(C10=0,"⏳ НЕТ ЗАТРАТ",IF(I10&gt;=3,"🚀 МАСШТАБИРОВАТЬ (+50%)",IF(I10&gt;0,"🟢 В НОРМЕ (W-SHAPED)",IF(C10&gt;50000,"🔴 СТОП","🟡 ОПТИМИЗАЦИЯ"))))</f>
        <v/>
      </c>
    </row>
    <row r="11"/>
    <row r="12">
      <c r="A12" s="438" t="inlineStr">
        <is>
          <t>🔀 2. МУЛЬТИКАНАЛЬНАЯ АТРИБУЦИЯ: СРАВНЕНИЕ FIRST-TOUCH И LAST-TOUCH</t>
        </is>
      </c>
    </row>
    <row r="13">
      <c r="A13" s="436" t="inlineStr">
        <is>
          <t>Канал привлечения</t>
        </is>
      </c>
      <c r="B13" s="436" t="inlineStr">
        <is>
          <t>Расход, ₽</t>
        </is>
      </c>
      <c r="C13" s="436" t="inlineStr">
        <is>
          <t>First-Touch Лиды</t>
        </is>
      </c>
      <c r="D13" s="436" t="inlineStr">
        <is>
          <t>FT Оплаты Won</t>
        </is>
      </c>
      <c r="E13" s="436" t="inlineStr">
        <is>
          <t>FT Выручка, ₽</t>
        </is>
      </c>
      <c r="F13" s="436" t="inlineStr">
        <is>
          <t>Last-Touch Лиды</t>
        </is>
      </c>
      <c r="G13" s="436" t="inlineStr">
        <is>
          <t>LT Оплаты Won</t>
        </is>
      </c>
      <c r="H13" s="436" t="inlineStr">
        <is>
          <t>LT Выручка, ₽</t>
        </is>
      </c>
      <c r="I13" s="436" t="inlineStr">
        <is>
          <t>Δ (FT - LT)</t>
        </is>
      </c>
      <c r="J13" s="436" t="inlineStr">
        <is>
          <t>Роль канала в цикле сделки</t>
        </is>
      </c>
    </row>
    <row r="14" ht="19.5" customHeight="1" s="461">
      <c r="A14" s="218" t="inlineStr">
        <is>
          <t>Яндекс Директ</t>
        </is>
      </c>
      <c r="B14" s="346">
        <f>SUMIF(raw_marketing!$B$2:$B50000, "Яндекс Директ", raw_marketing!$E$2:$E50000)</f>
        <v/>
      </c>
      <c r="C14" s="218">
        <f>COUNTIFS(raw_deals!$J$2:$J50000, "Яндекс Директ")</f>
        <v/>
      </c>
      <c r="D14" s="218">
        <f>COUNTIFS(raw_deals!$J$2:$J50000, "Яндекс Директ", raw_deals!$D$2:$D50000, 6)</f>
        <v/>
      </c>
      <c r="E14" s="346">
        <f>SUMIFS(raw_deals!$C$2:$C50000, raw_deals!$J$2:$J50000, "Яндекс Директ", raw_deals!$D$2:$D50000, 6)</f>
        <v/>
      </c>
      <c r="F14" s="218">
        <f>COUNTIFS(raw_deals!$U$2:$U50000, "yandex")</f>
        <v/>
      </c>
      <c r="G14" s="218">
        <f>COUNTIFS(raw_deals!$U$2:$U50000, "yandex", raw_deals!$D$2:$D50000, 6)</f>
        <v/>
      </c>
      <c r="H14" s="346">
        <f>SUMIFS(raw_deals!$C$2:$C50000, raw_deals!$U$2:$U50000, "yandex", raw_deals!$D$2:$D50000, 6)</f>
        <v/>
      </c>
      <c r="I14" s="346">
        <f>E14-H14</f>
        <v/>
      </c>
      <c r="J14" s="218" t="inlineStr">
        <is>
          <t>🎯 Сбалансированный (стабильный генератор)</t>
        </is>
      </c>
    </row>
    <row r="15" ht="18" customHeight="1" s="461">
      <c r="A15" s="218" t="inlineStr">
        <is>
          <t>Контур.Фокус</t>
        </is>
      </c>
      <c r="B15" s="346">
        <f>SUMIF(raw_marketing!$B$2:$B50000, "Контур.Фокус", raw_marketing!$E$2:$E50000)</f>
        <v/>
      </c>
      <c r="C15" s="218">
        <f>COUNTIFS(raw_deals!$J$2:$J50000, "Контур.Фокус")</f>
        <v/>
      </c>
      <c r="D15" s="218">
        <f>COUNTIFS(raw_deals!$J$2:$J50000, "Контур.Фокус", raw_deals!$D$2:$D50000, 6)</f>
        <v/>
      </c>
      <c r="E15" s="346">
        <f>SUMIFS(raw_deals!$C$2:$C50000, raw_deals!$J$2:$J50000, "Контур.Фокус", raw_deals!$D$2:$D50000, 6)</f>
        <v/>
      </c>
      <c r="F15" s="218">
        <f>COUNTIFS(raw_deals!$U$2:$U50000, "kontur")</f>
        <v/>
      </c>
      <c r="G15" s="218">
        <f>COUNTIFS(raw_deals!$U$2:$U50000, "kontur", raw_deals!$D$2:$D50000, 6)</f>
        <v/>
      </c>
      <c r="H15" s="346">
        <f>SUMIFS(raw_deals!$C$2:$C50000, raw_deals!$U$2:$U50000, "kontur", raw_deals!$D$2:$D50000, 6)</f>
        <v/>
      </c>
      <c r="I15" s="346">
        <f>E15-H15</f>
        <v/>
      </c>
      <c r="J15" s="218" t="inlineStr">
        <is>
          <t>🚀 Лидер ROI (высокий чек Enterprise)</t>
        </is>
      </c>
    </row>
    <row r="16">
      <c r="A16" s="218" t="inlineStr">
        <is>
          <t>Google Ads</t>
        </is>
      </c>
      <c r="B16" s="346">
        <f>SUMIF(raw_marketing!$B$2:$B50000, "Google Ads", raw_marketing!$E$2:$E50000)</f>
        <v/>
      </c>
      <c r="C16" s="218">
        <f>COUNTIFS(raw_deals!$J$2:$J50000, "Google Ads")</f>
        <v/>
      </c>
      <c r="D16" s="218">
        <f>COUNTIFS(raw_deals!$J$2:$J50000, "Google Ads", raw_deals!$D$2:$D50000, 6)</f>
        <v/>
      </c>
      <c r="E16" s="346">
        <f>SUMIFS(raw_deals!$C$2:$C50000, raw_deals!$J$2:$J50000, "Google Ads", raw_deals!$D$2:$D50000, 6)</f>
        <v/>
      </c>
      <c r="F16" s="218">
        <f>COUNTIFS(raw_deals!$U$2:$U50000, "google")</f>
        <v/>
      </c>
      <c r="G16" s="218">
        <f>COUNTIFS(raw_deals!$U$2:$U50000, "google", raw_deals!$D$2:$D50000, 6)</f>
        <v/>
      </c>
      <c r="H16" s="346">
        <f>SUMIFS(raw_deals!$C$2:$C50000, raw_deals!$U$2:$U50000, "google", raw_deals!$D$2:$D50000, 6)</f>
        <v/>
      </c>
      <c r="I16" s="346">
        <f>E16-H16</f>
        <v/>
      </c>
      <c r="J16" s="218" t="inlineStr">
        <is>
          <t>🔴 Утечка бюджета (нет финализации)</t>
        </is>
      </c>
    </row>
    <row r="17">
      <c r="A17" s="218" t="inlineStr">
        <is>
          <t>Партнеры и Рефералы</t>
        </is>
      </c>
      <c r="B17" s="346" t="n">
        <v>0</v>
      </c>
      <c r="C17" s="218">
        <f>COUNTIFS(raw_deals!$J$2:$J50000, "Партнеры")</f>
        <v/>
      </c>
      <c r="D17" s="218">
        <f>COUNTIFS(raw_deals!$J$2:$J50000, "Партнеры", raw_deals!$D$2:$D50000, 6)</f>
        <v/>
      </c>
      <c r="E17" s="346">
        <f>SUMIFS(raw_deals!$C$2:$C50000, raw_deals!$J$2:$J50000, "Партнеры", raw_deals!$D$2:$D50000, 6)</f>
        <v/>
      </c>
      <c r="F17" s="218">
        <f>COUNTIFS(raw_deals!$U$2:$U50000, "partner")</f>
        <v/>
      </c>
      <c r="G17" s="218">
        <f>COUNTIFS(raw_deals!$U$2:$U50000, "partner", raw_deals!$D$2:$D50000, 6)</f>
        <v/>
      </c>
      <c r="H17" s="346">
        <f>SUMIFS(raw_deals!$C$2:$C50000, raw_deals!$U$2:$U50000, "partner", raw_deals!$D$2:$D50000, 6)</f>
        <v/>
      </c>
      <c r="I17" s="346">
        <f>E17-H17</f>
        <v/>
      </c>
      <c r="J17" s="218" t="inlineStr">
        <is>
          <t>💎 Стратегический пайплайн (3.0M в работе)</t>
        </is>
      </c>
    </row>
    <row r="18">
      <c r="A18" s="218" t="inlineStr">
        <is>
          <t>Органика SEO</t>
        </is>
      </c>
      <c r="B18" s="346" t="n">
        <v>0</v>
      </c>
      <c r="C18" s="218">
        <f>COUNTIFS(raw_deals!$J$2:$J50000, "Органика SEO")</f>
        <v/>
      </c>
      <c r="D18" s="218">
        <f>COUNTIFS(raw_deals!$J$2:$J50000, "Органика SEO", raw_deals!$D$2:$D50000, 6)</f>
        <v/>
      </c>
      <c r="E18" s="346">
        <f>SUMIFS(raw_deals!$C$2:$C50000, raw_deals!$J$2:$J50000, "Органика SEO", raw_deals!$D$2:$D50000, 6)</f>
        <v/>
      </c>
      <c r="F18" s="218">
        <f>COUNTIFS(raw_deals!$U$2:$U50000, "organic")</f>
        <v/>
      </c>
      <c r="G18" s="218">
        <f>COUNTIFS(raw_deals!$U$2:$U50000, "organic", raw_deals!$D$2:$D50000, 6)</f>
        <v/>
      </c>
      <c r="H18" s="346">
        <f>SUMIFS(raw_deals!$C$2:$C50000, raw_deals!$U$2:$U50000, "organic", raw_deals!$D$2:$D50000, 6)</f>
        <v/>
      </c>
      <c r="I18" s="346">
        <f>E18-H18</f>
        <v/>
      </c>
      <c r="J18" s="218" t="inlineStr">
        <is>
          <t>🌱 Бесплатный охват (накопительный эффект)</t>
        </is>
      </c>
    </row>
    <row r="19">
      <c r="A19" s="218" t="inlineStr">
        <is>
          <t>ИТОГО АТРИБУЦИЯ</t>
        </is>
      </c>
      <c r="B19" s="346">
        <f>SUM(B14:B18)</f>
        <v/>
      </c>
      <c r="C19" s="218">
        <f>SUM(C14:C18)</f>
        <v/>
      </c>
      <c r="D19" s="218">
        <f>SUM(D14:D18)</f>
        <v/>
      </c>
      <c r="E19" s="346">
        <f>SUM(E14:E18)</f>
        <v/>
      </c>
      <c r="F19" s="218">
        <f>SUM(F14:F18)</f>
        <v/>
      </c>
      <c r="G19" s="218">
        <f>SUM(G14:G18)</f>
        <v/>
      </c>
      <c r="H19" s="346">
        <f>SUM(H14:H18)</f>
        <v/>
      </c>
      <c r="I19" s="346">
        <f>SUM(I14:I18)</f>
        <v/>
      </c>
      <c r="J19" s="218" t="inlineStr">
        <is>
          <t>✅ 100% согласованность моделей</t>
        </is>
      </c>
    </row>
    <row r="20"/>
    <row r="21">
      <c r="A21" s="438" t="inlineStr">
        <is>
          <t>📐 3. ЮНИТ-КАЛЬКУЛЯТОР ПРЕДЕЛЬНОГО CPL/CAC И АЛГОРИТМИЧЕСКИЕ ДЕЙСТВИЯ</t>
        </is>
      </c>
    </row>
    <row r="22">
      <c r="A22" s="436" t="inlineStr">
        <is>
          <t>Канал трафика</t>
        </is>
      </c>
      <c r="B22" s="436" t="inlineStr">
        <is>
          <t>Средний чек (AOV)</t>
        </is>
      </c>
      <c r="C22" s="436" t="inlineStr">
        <is>
          <t>CR Лид → Сделка</t>
        </is>
      </c>
      <c r="D22" s="436" t="inlineStr">
        <is>
          <t>Целевой LTV/CAC</t>
        </is>
      </c>
      <c r="E22" s="436" t="inlineStr">
        <is>
          <t>Предельный CAC</t>
        </is>
      </c>
      <c r="F22" s="436" t="inlineStr">
        <is>
          <t>Предельный CPL</t>
        </is>
      </c>
      <c r="G22" s="436" t="inlineStr">
        <is>
          <t>Факт CPL</t>
        </is>
      </c>
      <c r="H22" s="436" t="inlineStr">
        <is>
          <t>Факт CAC</t>
        </is>
      </c>
      <c r="I22" s="436" t="inlineStr">
        <is>
          <t>Запас рентабельности</t>
        </is>
      </c>
      <c r="J22" s="436" t="inlineStr">
        <is>
          <t>Алгоритмическое решение RevOps</t>
        </is>
      </c>
    </row>
    <row r="23">
      <c r="A23" s="218" t="inlineStr">
        <is>
          <t>Яндекс Директ</t>
        </is>
      </c>
      <c r="B23" s="346">
        <f>IFERROR(H8/MAX(G8,1),450000)</f>
        <v/>
      </c>
      <c r="C23" s="439">
        <f>IFERROR(G8/MAX(E8,1),0.02)</f>
        <v/>
      </c>
      <c r="D23" s="349" t="n">
        <v>3</v>
      </c>
      <c r="E23" s="346">
        <f>B23*0.7/D23</f>
        <v/>
      </c>
      <c r="F23" s="346">
        <f>E23*C23</f>
        <v/>
      </c>
      <c r="G23" s="346">
        <f>F8</f>
        <v/>
      </c>
      <c r="H23" s="346">
        <f>IFERROR(C8/MAX(G8,1),C8)</f>
        <v/>
      </c>
      <c r="I23" s="439">
        <f>IFERROR((E23-H23)/E23, 0)</f>
        <v/>
      </c>
      <c r="J23" s="218">
        <f>IF(H23&lt;=E23, "🟢 УДЕРЖИВАТЬ В НОРМЕ", "🔴 ОПТИМИЗИРОВАТЬ СВЯЗКУ")</f>
        <v/>
      </c>
    </row>
    <row r="24">
      <c r="A24" s="218" t="inlineStr">
        <is>
          <t>Контур.Фокус</t>
        </is>
      </c>
      <c r="B24" s="346">
        <f>IFERROR(H9/MAX(G9,1),1200000)</f>
        <v/>
      </c>
      <c r="C24" s="439">
        <f>IFERROR(G9/MAX(E9,1),0.04)</f>
        <v/>
      </c>
      <c r="D24" s="349" t="n">
        <v>3</v>
      </c>
      <c r="E24" s="346">
        <f>B24*0.7/D24</f>
        <v/>
      </c>
      <c r="F24" s="346">
        <f>E24*C24</f>
        <v/>
      </c>
      <c r="G24" s="346">
        <f>F9</f>
        <v/>
      </c>
      <c r="H24" s="346">
        <f>IFERROR(C9/MAX(G9,1),C9)</f>
        <v/>
      </c>
      <c r="I24" s="439">
        <f>IFERROR((E24-H24)/E24, 0)</f>
        <v/>
      </c>
      <c r="J24" s="218">
        <f>IF(H24&lt;=E24, "🚀 МАСШТАБИРОВАТЬ (+50% БЮДЖЕТА)", "🟡 СНИЗИТЬ СТАВКУ")</f>
        <v/>
      </c>
    </row>
    <row r="25">
      <c r="A25" s="218" t="inlineStr">
        <is>
          <t>Google Ads</t>
        </is>
      </c>
      <c r="B25" s="346">
        <f>IFERROR(H10/MAX(G10,1), 0)</f>
        <v/>
      </c>
      <c r="C25" s="439">
        <f>IFERROR(G10/MAX(E10,1), 0)</f>
        <v/>
      </c>
      <c r="D25" s="349" t="n">
        <v>3</v>
      </c>
      <c r="E25" s="346" t="n">
        <v>150000</v>
      </c>
      <c r="F25" s="346" t="n">
        <v>2000</v>
      </c>
      <c r="G25" s="346">
        <f>F10</f>
        <v/>
      </c>
      <c r="H25" s="346">
        <f>IFERROR(C10/MAX(G10,1),C10)</f>
        <v/>
      </c>
      <c r="I25" s="439">
        <f>IFERROR((E25-H25)/E25, -1)</f>
        <v/>
      </c>
      <c r="J25" s="218">
        <f>IF(G10=0, "🔴 ОТКЛЮЧИТЬ КАНАЛ (СЛИВ БЮДЖЕТА)", "🟡 ТЕСТ")</f>
        <v/>
      </c>
    </row>
    <row r="26">
      <c r="A26" s="218" t="inlineStr">
        <is>
          <t>СВОДНЫЙ РЕЗУЛЬТАТ</t>
        </is>
      </c>
      <c r="B26" s="346">
        <f>AVERAGE(B23:B24)</f>
        <v/>
      </c>
      <c r="C26" s="439">
        <f>SUM(G8:G10)/SUM(E8:E10)</f>
        <v/>
      </c>
      <c r="D26" s="349" t="n">
        <v>3</v>
      </c>
      <c r="E26" s="346">
        <f>AVERAGE(E23:E25)</f>
        <v/>
      </c>
      <c r="F26" s="346">
        <f>AVERAGE(F23:F25)</f>
        <v/>
      </c>
      <c r="G26" s="346">
        <f>AVERAGE(G23:G25)</f>
        <v/>
      </c>
      <c r="H26" s="346">
        <f>C4/MAX(D4,1)</f>
        <v/>
      </c>
      <c r="I26" s="439">
        <f>IFERROR((E26-H26)/E26, 0)</f>
        <v/>
      </c>
      <c r="J26" s="218" t="inlineStr">
        <is>
          <t>🎯 Перераспределить 85 000 ₽ из Google в Контур</t>
        </is>
      </c>
    </row>
  </sheetData>
  <mergeCells count="4">
    <mergeCell ref="A6:J6"/>
    <mergeCell ref="A1:J1"/>
    <mergeCell ref="A12:J12"/>
    <mergeCell ref="A21:J2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FF383F49"/>
    <outlinePr summaryBelow="0" summaryRight="0"/>
    <pageSetUpPr/>
  </sheetPr>
  <dimension ref="A1:K7"/>
  <sheetViews>
    <sheetView workbookViewId="0">
      <selection activeCell="A1" sqref="A1"/>
    </sheetView>
  </sheetViews>
  <sheetFormatPr baseColWidth="8" defaultColWidth="12.63" defaultRowHeight="15.75" customHeight="1"/>
  <cols>
    <col width="14.5" customWidth="1" style="461" min="1" max="1"/>
    <col width="15.75" customWidth="1" style="461" min="2" max="2"/>
    <col width="23.13" customWidth="1" style="461" min="3" max="3"/>
    <col width="14.5" customWidth="1" style="461" min="4" max="4"/>
    <col width="20.88" customWidth="1" style="461" min="5" max="5"/>
    <col width="14.5" customWidth="1" style="461" min="6" max="6"/>
    <col width="15" customWidth="1" style="461" min="7" max="7"/>
    <col width="14.5" customWidth="1" style="461" min="8" max="8"/>
    <col width="13.13" customWidth="1" style="461" min="9" max="9"/>
    <col width="14.5" customWidth="1" style="461" min="10" max="11"/>
  </cols>
  <sheetData>
    <row r="1" ht="21" customHeight="1" s="461">
      <c r="A1" s="342" t="inlineStr">
        <is>
          <t>event_id</t>
        </is>
      </c>
      <c r="B1" s="342" t="inlineStr">
        <is>
          <t>timestamp</t>
        </is>
      </c>
      <c r="C1" s="342" t="inlineStr">
        <is>
          <t>user_email</t>
        </is>
      </c>
      <c r="D1" s="342" t="inlineStr">
        <is>
          <t>target_sheet</t>
        </is>
      </c>
      <c r="E1" s="342" t="inlineStr">
        <is>
          <t>action_type</t>
        </is>
      </c>
      <c r="F1" s="342" t="inlineStr">
        <is>
          <t>record_id</t>
        </is>
      </c>
      <c r="G1" s="342" t="inlineStr">
        <is>
          <t>field_name</t>
        </is>
      </c>
      <c r="H1" s="342" t="inlineStr">
        <is>
          <t>old_value</t>
        </is>
      </c>
      <c r="I1" s="342" t="inlineStr">
        <is>
          <t>new_value</t>
        </is>
      </c>
      <c r="J1" s="342" t="inlineStr">
        <is>
          <t>security_level</t>
        </is>
      </c>
      <c r="K1" s="342" t="inlineStr">
        <is>
          <t>status</t>
        </is>
      </c>
    </row>
    <row r="2">
      <c r="A2" s="218" t="inlineStr">
        <is>
          <t>EV-901</t>
        </is>
      </c>
      <c r="B2" s="343" t="n">
        <v>46285.78175925926</v>
      </c>
      <c r="C2" s="218" t="inlineStr">
        <is>
          <t>etl-service@n8n.internal</t>
        </is>
      </c>
      <c r="D2" s="218" t="inlineStr">
        <is>
          <t>raw_deals</t>
        </is>
      </c>
      <c r="E2" s="218" t="inlineStr">
        <is>
          <t>REVERSE_ETL_UPDATE</t>
        </is>
      </c>
      <c r="F2" s="218" t="inlineStr">
        <is>
          <t>D-105</t>
        </is>
      </c>
      <c r="G2" s="218" t="inlineStr">
        <is>
          <t>manager_id</t>
        </is>
      </c>
      <c r="H2" s="218" t="n">
        <v>101</v>
      </c>
      <c r="I2" s="218" t="n">
        <v>102</v>
      </c>
      <c r="J2" s="324" t="inlineStr">
        <is>
          <t>INFO</t>
        </is>
      </c>
      <c r="K2" s="324" t="inlineStr">
        <is>
          <t>SUCCESS</t>
        </is>
      </c>
    </row>
    <row r="3">
      <c r="A3" s="218" t="inlineStr">
        <is>
          <t>EV-902</t>
        </is>
      </c>
      <c r="B3" s="343" t="n">
        <v>46286.03175925926</v>
      </c>
      <c r="C3" s="218" t="inlineStr">
        <is>
          <t>finance@revops-platform.io</t>
        </is>
      </c>
      <c r="D3" s="218" t="inlineStr">
        <is>
          <t>raw_invoices</t>
        </is>
      </c>
      <c r="E3" s="218" t="inlineStr">
        <is>
          <t>INVOICE_STATUS_CHANGE</t>
        </is>
      </c>
      <c r="F3" s="218" t="inlineStr">
        <is>
          <t>INV-203</t>
        </is>
      </c>
      <c r="G3" s="218" t="inlineStr">
        <is>
          <t>status</t>
        </is>
      </c>
      <c r="H3" s="218" t="inlineStr">
        <is>
          <t>pending</t>
        </is>
      </c>
      <c r="I3" s="218" t="inlineStr">
        <is>
          <t>overdue</t>
        </is>
      </c>
      <c r="J3" s="324" t="inlineStr">
        <is>
          <t>WARN</t>
        </is>
      </c>
      <c r="K3" s="324" t="inlineStr">
        <is>
          <t>SUCCESS</t>
        </is>
      </c>
    </row>
    <row r="4">
      <c r="A4" s="218" t="inlineStr">
        <is>
          <t>EV-903</t>
        </is>
      </c>
      <c r="B4" s="343" t="n">
        <v>46286.28175925926</v>
      </c>
      <c r="C4" s="218" t="inlineStr">
        <is>
          <t>sec-admin@revops-platform.io</t>
        </is>
      </c>
      <c r="D4" s="218" t="inlineStr">
        <is>
          <t>calc_engine</t>
        </is>
      </c>
      <c r="E4" s="218" t="inlineStr">
        <is>
          <t>SCHEMA_EXPANSION</t>
        </is>
      </c>
      <c r="F4" s="218" t="inlineStr">
        <is>
          <t>ALL</t>
        </is>
      </c>
      <c r="G4" s="218" t="inlineStr">
        <is>
          <t>BLOCK_II_PAYROLL</t>
        </is>
      </c>
      <c r="H4" s="218" t="inlineStr">
        <is>
          <t>N/A</t>
        </is>
      </c>
      <c r="I4" s="218" t="inlineStr">
        <is>
          <t>ACTIVE</t>
        </is>
      </c>
      <c r="J4" s="324" t="inlineStr">
        <is>
          <t>SECURITY</t>
        </is>
      </c>
      <c r="K4" s="324" t="inlineStr">
        <is>
          <t>PROTECTED</t>
        </is>
      </c>
    </row>
    <row r="5">
      <c r="A5" s="218" t="inlineStr">
        <is>
          <t>EV-904</t>
        </is>
      </c>
      <c r="B5" s="343" t="n">
        <v>46286.69842592593</v>
      </c>
      <c r="C5" s="218" t="inlineStr">
        <is>
          <t>sec-admin@revops-platform.io</t>
        </is>
      </c>
      <c r="D5" s="218" t="inlineStr">
        <is>
          <t>raw_deals</t>
        </is>
      </c>
      <c r="E5" s="218" t="inlineStr">
        <is>
          <t>PII_MASKING_APPLIED</t>
        </is>
      </c>
      <c r="F5" s="218" t="inlineStr">
        <is>
          <t>D-101..D-110</t>
        </is>
      </c>
      <c r="G5" s="218" t="inlineStr">
        <is>
          <t>client_name</t>
        </is>
      </c>
      <c r="H5" s="218" t="inlineStr">
        <is>
          <t>ClearText</t>
        </is>
      </c>
      <c r="I5" s="218" t="inlineStr">
        <is>
          <t>SHA256_Hashed</t>
        </is>
      </c>
      <c r="J5" s="324" t="inlineStr">
        <is>
          <t>RBAC</t>
        </is>
      </c>
      <c r="K5" s="324" t="inlineStr">
        <is>
          <t>RESTRICTED</t>
        </is>
      </c>
    </row>
    <row r="6">
      <c r="A6" s="218" t="inlineStr">
        <is>
          <t>EV-RBAC-778437</t>
        </is>
      </c>
      <c r="B6" s="247" t="n">
        <v>46295.06077546296</v>
      </c>
      <c r="C6" s="218" t="inlineStr">
        <is>
          <t>dmitriyfedotov1908@gmail.com</t>
        </is>
      </c>
      <c r="D6" s="218" t="inlineStr">
        <is>
          <t>⚙️ Настройки</t>
        </is>
      </c>
      <c r="E6" s="218" t="inlineStr">
        <is>
          <t>ROLE_SWITCH</t>
        </is>
      </c>
      <c r="F6" s="218" t="inlineStr">
        <is>
          <t>B10</t>
        </is>
      </c>
      <c r="G6" s="218" t="inlineStr">
        <is>
          <t>role</t>
        </is>
      </c>
      <c r="H6" s="218" t="inlineStr">
        <is>
          <t>(старт)</t>
        </is>
      </c>
      <c r="I6" s="218" t="inlineStr">
        <is>
          <t>undefined [MULTI_USER] [FALLBACK]</t>
        </is>
      </c>
      <c r="J6" s="218" t="inlineStr">
        <is>
          <t>RBAC</t>
        </is>
      </c>
      <c r="K6" s="218" t="inlineStr">
        <is>
          <t>SUCCESS</t>
        </is>
      </c>
    </row>
    <row r="7">
      <c r="A7" s="218" t="inlineStr">
        <is>
          <t>EV-RBAC-923048</t>
        </is>
      </c>
      <c r="B7" s="247" t="n">
        <v>46295.06954861111</v>
      </c>
      <c r="C7" s="218" t="inlineStr">
        <is>
          <t>dmitriyfedotov1908@gmail.com</t>
        </is>
      </c>
      <c r="D7" s="218" t="inlineStr">
        <is>
          <t>⚙️ Настройки</t>
        </is>
      </c>
      <c r="E7" s="218" t="inlineStr">
        <is>
          <t>ROLE_SWITCH</t>
        </is>
      </c>
      <c r="F7" s="218" t="inlineStr">
        <is>
          <t>B10</t>
        </is>
      </c>
      <c r="G7" s="218" t="inlineStr">
        <is>
          <t>role</t>
        </is>
      </c>
      <c r="H7" s="218" t="inlineStr">
        <is>
          <t>(старт)</t>
        </is>
      </c>
      <c r="I7" s="218" t="inlineStr">
        <is>
          <t>👑 CEO [MULTI_USER]</t>
        </is>
      </c>
      <c r="J7" s="218" t="inlineStr">
        <is>
          <t>RBAC</t>
        </is>
      </c>
      <c r="K7" s="218" t="inlineStr">
        <is>
          <t>SUCCESS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FF383F49"/>
    <outlinePr summaryBelow="0" summaryRight="0"/>
    <pageSetUpPr/>
  </sheetPr>
  <dimension ref="A1:AC1000"/>
  <sheetViews>
    <sheetView workbookViewId="0">
      <selection activeCell="A1" sqref="A1"/>
    </sheetView>
  </sheetViews>
  <sheetFormatPr baseColWidth="8" defaultColWidth="12.63" defaultRowHeight="15.75" customHeight="1"/>
  <cols>
    <col width="16.38" customWidth="1" style="461" min="1" max="1"/>
    <col width="18.88" customWidth="1" style="461" min="2" max="3"/>
    <col width="22.63" customWidth="1" style="461" min="4" max="4"/>
    <col width="18.88" customWidth="1" style="461" min="5" max="7"/>
    <col width="14.5" customWidth="1" style="461" min="8" max="9"/>
    <col width="21.38" customWidth="1" style="461" min="26" max="26"/>
    <col width="16.38" customWidth="1" style="461" min="27" max="29"/>
  </cols>
  <sheetData>
    <row r="1">
      <c r="A1" s="350" t="inlineStr">
        <is>
          <t>date</t>
        </is>
      </c>
      <c r="B1" s="350" t="inlineStr">
        <is>
          <t>channel</t>
        </is>
      </c>
      <c r="C1" s="350" t="inlineStr">
        <is>
          <t>campaign_id</t>
        </is>
      </c>
      <c r="D1" s="350" t="inlineStr">
        <is>
          <t>campaign_name</t>
        </is>
      </c>
      <c r="E1" s="350" t="inlineStr">
        <is>
          <t>spend</t>
        </is>
      </c>
      <c r="F1" s="350" t="inlineStr">
        <is>
          <t>clicks</t>
        </is>
      </c>
      <c r="G1" s="350" t="inlineStr">
        <is>
          <t>impressions</t>
        </is>
      </c>
      <c r="H1" s="350" t="inlineStr">
        <is>
          <t>leads</t>
        </is>
      </c>
      <c r="I1" s="350" t="inlineStr">
        <is>
          <t>synced_at</t>
        </is>
      </c>
      <c r="Z1" s="218" t="inlineStr">
        <is>
          <t>data_snapshot_date</t>
        </is>
      </c>
      <c r="AA1" s="218" t="inlineStr">
        <is>
          <t>data_version</t>
        </is>
      </c>
      <c r="AB1" s="218" t="inlineStr">
        <is>
          <t>uploaded_by</t>
        </is>
      </c>
      <c r="AC1" s="218" t="inlineStr">
        <is>
          <t>upload_hash</t>
        </is>
      </c>
    </row>
    <row r="2">
      <c r="A2" s="246" t="n">
        <v>46284</v>
      </c>
      <c r="B2" s="218" t="inlineStr">
        <is>
          <t>Яндекс Директ</t>
        </is>
      </c>
      <c r="C2" s="218" t="inlineStr">
        <is>
          <t>cmp_yd</t>
        </is>
      </c>
      <c r="D2" s="218" t="inlineStr">
        <is>
          <t>Контекст B2B</t>
        </is>
      </c>
      <c r="E2" s="346" t="n">
        <v>120000</v>
      </c>
      <c r="F2" s="218" t="n">
        <v>1850</v>
      </c>
      <c r="G2" s="218" t="n">
        <v>42000</v>
      </c>
      <c r="H2" s="218" t="n">
        <v>48</v>
      </c>
      <c r="I2" s="227" t="n">
        <v>46285.47215212963</v>
      </c>
    </row>
    <row r="3">
      <c r="A3" s="246" t="n">
        <v>46284</v>
      </c>
      <c r="B3" s="218" t="inlineStr">
        <is>
          <t>Контур.Фокус</t>
        </is>
      </c>
      <c r="C3" s="218" t="inlineStr">
        <is>
          <t>cmp_kf</t>
        </is>
      </c>
      <c r="D3" s="218" t="inlineStr">
        <is>
          <t>Парсинг Опт</t>
        </is>
      </c>
      <c r="E3" s="346" t="n">
        <v>35000</v>
      </c>
      <c r="F3" s="218" t="n">
        <v>620</v>
      </c>
      <c r="G3" s="218" t="n">
        <v>1200</v>
      </c>
      <c r="H3" s="218" t="n">
        <v>24</v>
      </c>
      <c r="I3" s="227" t="n">
        <v>46285.47215212963</v>
      </c>
    </row>
    <row r="4">
      <c r="A4" s="246" t="n">
        <v>46284</v>
      </c>
      <c r="B4" s="218" t="inlineStr">
        <is>
          <t>Google Ads</t>
        </is>
      </c>
      <c r="C4" s="218" t="inlineStr">
        <is>
          <t>cmp_ga</t>
        </is>
      </c>
      <c r="D4" s="218" t="inlineStr">
        <is>
          <t>Поиск Бренд</t>
        </is>
      </c>
      <c r="E4" s="346" t="n">
        <v>85000</v>
      </c>
      <c r="F4" s="218" t="n">
        <v>1100</v>
      </c>
      <c r="G4" s="218" t="n">
        <v>28000</v>
      </c>
      <c r="H4" s="218" t="n">
        <v>31</v>
      </c>
      <c r="I4" s="227" t="n">
        <v>46285.47215212963</v>
      </c>
    </row>
    <row r="5">
      <c r="E5" s="346" t="n"/>
    </row>
    <row r="6">
      <c r="E6" s="346" t="n"/>
    </row>
    <row r="7">
      <c r="E7" s="346" t="n"/>
    </row>
    <row r="8">
      <c r="E8" s="346" t="n"/>
    </row>
    <row r="9">
      <c r="E9" s="346" t="n"/>
    </row>
    <row r="10">
      <c r="E10" s="346" t="n"/>
    </row>
    <row r="11">
      <c r="E11" s="346" t="n"/>
    </row>
    <row r="12">
      <c r="E12" s="346" t="n"/>
    </row>
    <row r="13">
      <c r="E13" s="346" t="n"/>
    </row>
    <row r="14">
      <c r="E14" s="346" t="n"/>
    </row>
    <row r="15">
      <c r="E15" s="346" t="n"/>
    </row>
    <row r="16">
      <c r="E16" s="346" t="n"/>
    </row>
    <row r="17">
      <c r="E17" s="346" t="n"/>
    </row>
    <row r="18">
      <c r="E18" s="346" t="n"/>
    </row>
    <row r="19">
      <c r="E19" s="346" t="n"/>
    </row>
    <row r="20">
      <c r="E20" s="346" t="n"/>
    </row>
    <row r="21">
      <c r="E21" s="346" t="n"/>
    </row>
    <row r="22">
      <c r="E22" s="346" t="n"/>
    </row>
    <row r="23">
      <c r="E23" s="346" t="n"/>
    </row>
    <row r="24">
      <c r="E24" s="346" t="n"/>
    </row>
    <row r="25">
      <c r="E25" s="346" t="n"/>
    </row>
    <row r="26">
      <c r="E26" s="346" t="n"/>
    </row>
    <row r="27">
      <c r="E27" s="346" t="n"/>
    </row>
    <row r="28">
      <c r="E28" s="346" t="n"/>
    </row>
    <row r="29">
      <c r="E29" s="346" t="n"/>
    </row>
    <row r="30">
      <c r="E30" s="346" t="n"/>
    </row>
    <row r="31">
      <c r="E31" s="346" t="n"/>
    </row>
    <row r="32">
      <c r="E32" s="346" t="n"/>
    </row>
    <row r="33">
      <c r="E33" s="346" t="n"/>
    </row>
    <row r="34">
      <c r="E34" s="346" t="n"/>
    </row>
    <row r="35">
      <c r="E35" s="346" t="n"/>
    </row>
    <row r="36">
      <c r="E36" s="346" t="n"/>
    </row>
    <row r="37">
      <c r="E37" s="346" t="n"/>
    </row>
    <row r="38">
      <c r="E38" s="346" t="n"/>
    </row>
    <row r="39">
      <c r="E39" s="346" t="n"/>
    </row>
    <row r="40">
      <c r="E40" s="346" t="n"/>
    </row>
    <row r="41">
      <c r="E41" s="346" t="n"/>
    </row>
    <row r="42">
      <c r="E42" s="346" t="n"/>
    </row>
    <row r="43">
      <c r="E43" s="346" t="n"/>
    </row>
    <row r="44">
      <c r="E44" s="346" t="n"/>
    </row>
    <row r="45">
      <c r="E45" s="346" t="n"/>
    </row>
    <row r="46">
      <c r="E46" s="346" t="n"/>
    </row>
    <row r="47">
      <c r="E47" s="346" t="n"/>
    </row>
    <row r="48">
      <c r="E48" s="346" t="n"/>
    </row>
    <row r="49">
      <c r="E49" s="346" t="n"/>
    </row>
    <row r="50">
      <c r="E50" s="346" t="n"/>
    </row>
    <row r="51">
      <c r="E51" s="346" t="n"/>
    </row>
    <row r="52">
      <c r="E52" s="346" t="n"/>
    </row>
    <row r="53">
      <c r="E53" s="346" t="n"/>
    </row>
    <row r="54">
      <c r="E54" s="346" t="n"/>
    </row>
    <row r="55">
      <c r="E55" s="346" t="n"/>
    </row>
    <row r="56">
      <c r="E56" s="346" t="n"/>
    </row>
    <row r="57">
      <c r="E57" s="346" t="n"/>
    </row>
    <row r="58">
      <c r="E58" s="346" t="n"/>
    </row>
    <row r="59">
      <c r="E59" s="346" t="n"/>
    </row>
    <row r="60">
      <c r="E60" s="346" t="n"/>
    </row>
    <row r="61">
      <c r="E61" s="346" t="n"/>
    </row>
    <row r="62">
      <c r="E62" s="346" t="n"/>
    </row>
    <row r="63">
      <c r="E63" s="346" t="n"/>
    </row>
    <row r="64">
      <c r="E64" s="346" t="n"/>
    </row>
    <row r="65">
      <c r="E65" s="346" t="n"/>
    </row>
    <row r="66">
      <c r="E66" s="346" t="n"/>
    </row>
    <row r="67">
      <c r="E67" s="346" t="n"/>
    </row>
    <row r="68">
      <c r="E68" s="346" t="n"/>
    </row>
    <row r="69">
      <c r="E69" s="346" t="n"/>
    </row>
    <row r="70">
      <c r="E70" s="346" t="n"/>
    </row>
    <row r="71">
      <c r="E71" s="346" t="n"/>
    </row>
    <row r="72">
      <c r="E72" s="346" t="n"/>
    </row>
    <row r="73">
      <c r="E73" s="346" t="n"/>
    </row>
    <row r="74">
      <c r="E74" s="346" t="n"/>
    </row>
    <row r="75">
      <c r="E75" s="346" t="n"/>
    </row>
    <row r="76">
      <c r="E76" s="346" t="n"/>
    </row>
    <row r="77">
      <c r="E77" s="346" t="n"/>
    </row>
    <row r="78">
      <c r="E78" s="346" t="n"/>
    </row>
    <row r="79">
      <c r="E79" s="346" t="n"/>
    </row>
    <row r="80">
      <c r="E80" s="346" t="n"/>
    </row>
    <row r="81">
      <c r="E81" s="346" t="n"/>
    </row>
    <row r="82">
      <c r="E82" s="346" t="n"/>
    </row>
    <row r="83">
      <c r="E83" s="346" t="n"/>
    </row>
    <row r="84">
      <c r="E84" s="346" t="n"/>
    </row>
    <row r="85">
      <c r="E85" s="346" t="n"/>
    </row>
    <row r="86">
      <c r="E86" s="346" t="n"/>
    </row>
    <row r="87">
      <c r="E87" s="346" t="n"/>
    </row>
    <row r="88">
      <c r="E88" s="346" t="n"/>
    </row>
    <row r="89">
      <c r="E89" s="346" t="n"/>
    </row>
    <row r="90">
      <c r="E90" s="346" t="n"/>
    </row>
    <row r="91">
      <c r="E91" s="346" t="n"/>
    </row>
    <row r="92">
      <c r="E92" s="346" t="n"/>
    </row>
    <row r="93">
      <c r="E93" s="346" t="n"/>
    </row>
    <row r="94">
      <c r="E94" s="346" t="n"/>
    </row>
    <row r="95">
      <c r="E95" s="346" t="n"/>
    </row>
    <row r="96">
      <c r="E96" s="346" t="n"/>
    </row>
    <row r="97">
      <c r="E97" s="346" t="n"/>
    </row>
    <row r="98">
      <c r="E98" s="346" t="n"/>
    </row>
    <row r="99">
      <c r="E99" s="346" t="n"/>
    </row>
    <row r="100">
      <c r="E100" s="346" t="n"/>
    </row>
    <row r="101">
      <c r="E101" s="346" t="n"/>
    </row>
    <row r="102">
      <c r="E102" s="346" t="n"/>
    </row>
    <row r="103">
      <c r="E103" s="346" t="n"/>
    </row>
    <row r="104">
      <c r="E104" s="346" t="n"/>
    </row>
    <row r="105">
      <c r="E105" s="346" t="n"/>
    </row>
    <row r="106">
      <c r="E106" s="346" t="n"/>
    </row>
    <row r="107">
      <c r="E107" s="346" t="n"/>
    </row>
    <row r="108">
      <c r="E108" s="346" t="n"/>
    </row>
    <row r="109">
      <c r="E109" s="346" t="n"/>
    </row>
    <row r="110">
      <c r="E110" s="346" t="n"/>
    </row>
    <row r="111">
      <c r="E111" s="346" t="n"/>
    </row>
    <row r="112">
      <c r="E112" s="346" t="n"/>
    </row>
    <row r="113">
      <c r="E113" s="346" t="n"/>
    </row>
    <row r="114">
      <c r="E114" s="346" t="n"/>
    </row>
    <row r="115">
      <c r="E115" s="346" t="n"/>
    </row>
    <row r="116">
      <c r="E116" s="346" t="n"/>
    </row>
    <row r="117">
      <c r="E117" s="346" t="n"/>
    </row>
    <row r="118">
      <c r="E118" s="346" t="n"/>
    </row>
    <row r="119">
      <c r="E119" s="346" t="n"/>
    </row>
    <row r="120">
      <c r="E120" s="346" t="n"/>
    </row>
    <row r="121">
      <c r="E121" s="346" t="n"/>
    </row>
    <row r="122">
      <c r="E122" s="346" t="n"/>
    </row>
    <row r="123">
      <c r="E123" s="346" t="n"/>
    </row>
    <row r="124">
      <c r="E124" s="346" t="n"/>
    </row>
    <row r="125">
      <c r="E125" s="346" t="n"/>
    </row>
    <row r="126">
      <c r="E126" s="346" t="n"/>
    </row>
    <row r="127">
      <c r="E127" s="346" t="n"/>
    </row>
    <row r="128">
      <c r="E128" s="346" t="n"/>
    </row>
    <row r="129">
      <c r="E129" s="346" t="n"/>
    </row>
    <row r="130">
      <c r="E130" s="346" t="n"/>
    </row>
    <row r="131">
      <c r="E131" s="346" t="n"/>
    </row>
    <row r="132">
      <c r="E132" s="346" t="n"/>
    </row>
    <row r="133">
      <c r="E133" s="346" t="n"/>
    </row>
    <row r="134">
      <c r="E134" s="346" t="n"/>
    </row>
    <row r="135">
      <c r="E135" s="346" t="n"/>
    </row>
    <row r="136">
      <c r="E136" s="346" t="n"/>
    </row>
    <row r="137">
      <c r="E137" s="346" t="n"/>
    </row>
    <row r="138">
      <c r="E138" s="346" t="n"/>
    </row>
    <row r="139">
      <c r="E139" s="346" t="n"/>
    </row>
    <row r="140">
      <c r="E140" s="346" t="n"/>
    </row>
    <row r="141">
      <c r="E141" s="346" t="n"/>
    </row>
    <row r="142">
      <c r="E142" s="346" t="n"/>
    </row>
    <row r="143">
      <c r="E143" s="346" t="n"/>
    </row>
    <row r="144">
      <c r="E144" s="346" t="n"/>
    </row>
    <row r="145">
      <c r="E145" s="346" t="n"/>
    </row>
    <row r="146">
      <c r="E146" s="346" t="n"/>
    </row>
    <row r="147">
      <c r="E147" s="346" t="n"/>
    </row>
    <row r="148">
      <c r="E148" s="346" t="n"/>
    </row>
    <row r="149">
      <c r="E149" s="346" t="n"/>
    </row>
    <row r="150">
      <c r="E150" s="346" t="n"/>
    </row>
    <row r="151">
      <c r="E151" s="346" t="n"/>
    </row>
    <row r="152">
      <c r="E152" s="346" t="n"/>
    </row>
    <row r="153">
      <c r="E153" s="346" t="n"/>
    </row>
    <row r="154">
      <c r="E154" s="346" t="n"/>
    </row>
    <row r="155">
      <c r="E155" s="346" t="n"/>
    </row>
    <row r="156">
      <c r="E156" s="346" t="n"/>
    </row>
    <row r="157">
      <c r="E157" s="346" t="n"/>
    </row>
    <row r="158">
      <c r="E158" s="346" t="n"/>
    </row>
    <row r="159">
      <c r="E159" s="346" t="n"/>
    </row>
    <row r="160">
      <c r="E160" s="346" t="n"/>
    </row>
    <row r="161">
      <c r="E161" s="346" t="n"/>
    </row>
    <row r="162">
      <c r="E162" s="346" t="n"/>
    </row>
    <row r="163">
      <c r="E163" s="346" t="n"/>
    </row>
    <row r="164">
      <c r="E164" s="346" t="n"/>
    </row>
    <row r="165">
      <c r="E165" s="346" t="n"/>
    </row>
    <row r="166">
      <c r="E166" s="346" t="n"/>
    </row>
    <row r="167">
      <c r="E167" s="346" t="n"/>
    </row>
    <row r="168">
      <c r="E168" s="346" t="n"/>
    </row>
    <row r="169">
      <c r="E169" s="346" t="n"/>
    </row>
    <row r="170">
      <c r="E170" s="346" t="n"/>
    </row>
    <row r="171">
      <c r="E171" s="346" t="n"/>
    </row>
    <row r="172">
      <c r="E172" s="346" t="n"/>
    </row>
    <row r="173">
      <c r="E173" s="346" t="n"/>
    </row>
    <row r="174">
      <c r="E174" s="346" t="n"/>
    </row>
    <row r="175">
      <c r="E175" s="346" t="n"/>
    </row>
    <row r="176">
      <c r="E176" s="346" t="n"/>
    </row>
    <row r="177">
      <c r="E177" s="346" t="n"/>
    </row>
    <row r="178">
      <c r="E178" s="346" t="n"/>
    </row>
    <row r="179">
      <c r="E179" s="346" t="n"/>
    </row>
    <row r="180">
      <c r="E180" s="346" t="n"/>
    </row>
    <row r="181">
      <c r="E181" s="346" t="n"/>
    </row>
    <row r="182">
      <c r="E182" s="346" t="n"/>
    </row>
    <row r="183">
      <c r="E183" s="346" t="n"/>
    </row>
    <row r="184">
      <c r="E184" s="346" t="n"/>
    </row>
    <row r="185">
      <c r="E185" s="346" t="n"/>
    </row>
    <row r="186">
      <c r="E186" s="346" t="n"/>
    </row>
    <row r="187">
      <c r="E187" s="346" t="n"/>
    </row>
    <row r="188">
      <c r="E188" s="346" t="n"/>
    </row>
    <row r="189">
      <c r="E189" s="346" t="n"/>
    </row>
    <row r="190">
      <c r="E190" s="346" t="n"/>
    </row>
    <row r="191">
      <c r="E191" s="346" t="n"/>
    </row>
    <row r="192">
      <c r="E192" s="346" t="n"/>
    </row>
    <row r="193">
      <c r="E193" s="346" t="n"/>
    </row>
    <row r="194">
      <c r="E194" s="346" t="n"/>
    </row>
    <row r="195">
      <c r="E195" s="346" t="n"/>
    </row>
    <row r="196">
      <c r="E196" s="346" t="n"/>
    </row>
    <row r="197">
      <c r="E197" s="346" t="n"/>
    </row>
    <row r="198">
      <c r="E198" s="346" t="n"/>
    </row>
    <row r="199">
      <c r="E199" s="346" t="n"/>
    </row>
    <row r="200">
      <c r="E200" s="346" t="n"/>
    </row>
    <row r="201">
      <c r="E201" s="346" t="n"/>
    </row>
    <row r="202">
      <c r="E202" s="346" t="n"/>
    </row>
    <row r="203">
      <c r="E203" s="346" t="n"/>
    </row>
    <row r="204">
      <c r="E204" s="346" t="n"/>
    </row>
    <row r="205">
      <c r="E205" s="346" t="n"/>
    </row>
    <row r="206">
      <c r="E206" s="346" t="n"/>
    </row>
    <row r="207">
      <c r="E207" s="346" t="n"/>
    </row>
    <row r="208">
      <c r="E208" s="346" t="n"/>
    </row>
    <row r="209">
      <c r="E209" s="346" t="n"/>
    </row>
    <row r="210">
      <c r="E210" s="346" t="n"/>
    </row>
    <row r="211">
      <c r="E211" s="346" t="n"/>
    </row>
    <row r="212">
      <c r="E212" s="346" t="n"/>
    </row>
    <row r="213">
      <c r="E213" s="346" t="n"/>
    </row>
    <row r="214">
      <c r="E214" s="346" t="n"/>
    </row>
    <row r="215">
      <c r="E215" s="346" t="n"/>
    </row>
    <row r="216">
      <c r="E216" s="346" t="n"/>
    </row>
    <row r="217">
      <c r="E217" s="346" t="n"/>
    </row>
    <row r="218">
      <c r="E218" s="346" t="n"/>
    </row>
    <row r="219">
      <c r="E219" s="346" t="n"/>
    </row>
    <row r="220">
      <c r="E220" s="346" t="n"/>
    </row>
    <row r="221">
      <c r="E221" s="346" t="n"/>
    </row>
    <row r="222">
      <c r="E222" s="346" t="n"/>
    </row>
    <row r="223">
      <c r="E223" s="346" t="n"/>
    </row>
    <row r="224">
      <c r="E224" s="346" t="n"/>
    </row>
    <row r="225">
      <c r="E225" s="346" t="n"/>
    </row>
    <row r="226">
      <c r="E226" s="346" t="n"/>
    </row>
    <row r="227">
      <c r="E227" s="346" t="n"/>
    </row>
    <row r="228">
      <c r="E228" s="346" t="n"/>
    </row>
    <row r="229">
      <c r="E229" s="346" t="n"/>
    </row>
    <row r="230">
      <c r="E230" s="346" t="n"/>
    </row>
    <row r="231">
      <c r="E231" s="346" t="n"/>
    </row>
    <row r="232">
      <c r="E232" s="346" t="n"/>
    </row>
    <row r="233">
      <c r="E233" s="346" t="n"/>
    </row>
    <row r="234">
      <c r="E234" s="346" t="n"/>
    </row>
    <row r="235">
      <c r="E235" s="346" t="n"/>
    </row>
    <row r="236">
      <c r="E236" s="346" t="n"/>
    </row>
    <row r="237">
      <c r="E237" s="346" t="n"/>
    </row>
    <row r="238">
      <c r="E238" s="346" t="n"/>
    </row>
    <row r="239">
      <c r="E239" s="346" t="n"/>
    </row>
    <row r="240">
      <c r="E240" s="346" t="n"/>
    </row>
    <row r="241">
      <c r="E241" s="346" t="n"/>
    </row>
    <row r="242">
      <c r="E242" s="346" t="n"/>
    </row>
    <row r="243">
      <c r="E243" s="346" t="n"/>
    </row>
    <row r="244">
      <c r="E244" s="346" t="n"/>
    </row>
    <row r="245">
      <c r="E245" s="346" t="n"/>
    </row>
    <row r="246">
      <c r="E246" s="346" t="n"/>
    </row>
    <row r="247">
      <c r="E247" s="346" t="n"/>
    </row>
    <row r="248">
      <c r="E248" s="346" t="n"/>
    </row>
    <row r="249">
      <c r="E249" s="346" t="n"/>
    </row>
    <row r="250">
      <c r="E250" s="346" t="n"/>
    </row>
    <row r="251">
      <c r="E251" s="346" t="n"/>
    </row>
    <row r="252">
      <c r="E252" s="346" t="n"/>
    </row>
    <row r="253">
      <c r="E253" s="346" t="n"/>
    </row>
    <row r="254">
      <c r="E254" s="346" t="n"/>
    </row>
    <row r="255">
      <c r="E255" s="346" t="n"/>
    </row>
    <row r="256">
      <c r="E256" s="346" t="n"/>
    </row>
    <row r="257">
      <c r="E257" s="346" t="n"/>
    </row>
    <row r="258">
      <c r="E258" s="346" t="n"/>
    </row>
    <row r="259">
      <c r="E259" s="346" t="n"/>
    </row>
    <row r="260">
      <c r="E260" s="346" t="n"/>
    </row>
    <row r="261">
      <c r="E261" s="346" t="n"/>
    </row>
    <row r="262">
      <c r="E262" s="346" t="n"/>
    </row>
    <row r="263">
      <c r="E263" s="346" t="n"/>
    </row>
    <row r="264">
      <c r="E264" s="346" t="n"/>
    </row>
    <row r="265">
      <c r="E265" s="346" t="n"/>
    </row>
    <row r="266">
      <c r="E266" s="346" t="n"/>
    </row>
    <row r="267">
      <c r="E267" s="346" t="n"/>
    </row>
    <row r="268">
      <c r="E268" s="346" t="n"/>
    </row>
    <row r="269">
      <c r="E269" s="346" t="n"/>
    </row>
    <row r="270">
      <c r="E270" s="346" t="n"/>
    </row>
    <row r="271">
      <c r="E271" s="346" t="n"/>
    </row>
    <row r="272">
      <c r="E272" s="346" t="n"/>
    </row>
    <row r="273">
      <c r="E273" s="346" t="n"/>
    </row>
    <row r="274">
      <c r="E274" s="346" t="n"/>
    </row>
    <row r="275">
      <c r="E275" s="346" t="n"/>
    </row>
    <row r="276">
      <c r="E276" s="346" t="n"/>
    </row>
    <row r="277">
      <c r="E277" s="346" t="n"/>
    </row>
    <row r="278">
      <c r="E278" s="346" t="n"/>
    </row>
    <row r="279">
      <c r="E279" s="346" t="n"/>
    </row>
    <row r="280">
      <c r="E280" s="346" t="n"/>
    </row>
    <row r="281">
      <c r="E281" s="346" t="n"/>
    </row>
    <row r="282">
      <c r="E282" s="346" t="n"/>
    </row>
    <row r="283">
      <c r="E283" s="346" t="n"/>
    </row>
    <row r="284">
      <c r="E284" s="346" t="n"/>
    </row>
    <row r="285">
      <c r="E285" s="346" t="n"/>
    </row>
    <row r="286">
      <c r="E286" s="346" t="n"/>
    </row>
    <row r="287">
      <c r="E287" s="346" t="n"/>
    </row>
    <row r="288">
      <c r="E288" s="346" t="n"/>
    </row>
    <row r="289">
      <c r="E289" s="346" t="n"/>
    </row>
    <row r="290">
      <c r="E290" s="346" t="n"/>
    </row>
    <row r="291">
      <c r="E291" s="346" t="n"/>
    </row>
    <row r="292">
      <c r="E292" s="346" t="n"/>
    </row>
    <row r="293">
      <c r="E293" s="346" t="n"/>
    </row>
    <row r="294">
      <c r="E294" s="346" t="n"/>
    </row>
    <row r="295">
      <c r="E295" s="346" t="n"/>
    </row>
    <row r="296">
      <c r="E296" s="346" t="n"/>
    </row>
    <row r="297">
      <c r="E297" s="346" t="n"/>
    </row>
    <row r="298">
      <c r="E298" s="346" t="n"/>
    </row>
    <row r="299">
      <c r="E299" s="346" t="n"/>
    </row>
    <row r="300">
      <c r="E300" s="346" t="n"/>
    </row>
    <row r="301">
      <c r="E301" s="346" t="n"/>
    </row>
    <row r="302">
      <c r="E302" s="346" t="n"/>
    </row>
    <row r="303">
      <c r="E303" s="346" t="n"/>
    </row>
    <row r="304">
      <c r="E304" s="346" t="n"/>
    </row>
    <row r="305">
      <c r="E305" s="346" t="n"/>
    </row>
    <row r="306">
      <c r="E306" s="346" t="n"/>
    </row>
    <row r="307">
      <c r="E307" s="346" t="n"/>
    </row>
    <row r="308">
      <c r="E308" s="346" t="n"/>
    </row>
    <row r="309">
      <c r="E309" s="346" t="n"/>
    </row>
    <row r="310">
      <c r="E310" s="346" t="n"/>
    </row>
    <row r="311">
      <c r="E311" s="346" t="n"/>
    </row>
    <row r="312">
      <c r="E312" s="346" t="n"/>
    </row>
    <row r="313">
      <c r="E313" s="346" t="n"/>
    </row>
    <row r="314">
      <c r="E314" s="346" t="n"/>
    </row>
    <row r="315">
      <c r="E315" s="346" t="n"/>
    </row>
    <row r="316">
      <c r="E316" s="346" t="n"/>
    </row>
    <row r="317">
      <c r="E317" s="346" t="n"/>
    </row>
    <row r="318">
      <c r="E318" s="346" t="n"/>
    </row>
    <row r="319">
      <c r="E319" s="346" t="n"/>
    </row>
    <row r="320">
      <c r="E320" s="346" t="n"/>
    </row>
    <row r="321">
      <c r="E321" s="346" t="n"/>
    </row>
    <row r="322">
      <c r="E322" s="346" t="n"/>
    </row>
    <row r="323">
      <c r="E323" s="346" t="n"/>
    </row>
    <row r="324">
      <c r="E324" s="346" t="n"/>
    </row>
    <row r="325">
      <c r="E325" s="346" t="n"/>
    </row>
    <row r="326">
      <c r="E326" s="346" t="n"/>
    </row>
    <row r="327">
      <c r="E327" s="346" t="n"/>
    </row>
    <row r="328">
      <c r="E328" s="346" t="n"/>
    </row>
    <row r="329">
      <c r="E329" s="346" t="n"/>
    </row>
    <row r="330">
      <c r="E330" s="346" t="n"/>
    </row>
    <row r="331">
      <c r="E331" s="346" t="n"/>
    </row>
    <row r="332">
      <c r="E332" s="346" t="n"/>
    </row>
    <row r="333">
      <c r="E333" s="346" t="n"/>
    </row>
    <row r="334">
      <c r="E334" s="346" t="n"/>
    </row>
    <row r="335">
      <c r="E335" s="346" t="n"/>
    </row>
    <row r="336">
      <c r="E336" s="346" t="n"/>
    </row>
    <row r="337">
      <c r="E337" s="346" t="n"/>
    </row>
    <row r="338">
      <c r="E338" s="346" t="n"/>
    </row>
    <row r="339">
      <c r="E339" s="346" t="n"/>
    </row>
    <row r="340">
      <c r="E340" s="346" t="n"/>
    </row>
    <row r="341">
      <c r="E341" s="346" t="n"/>
    </row>
    <row r="342">
      <c r="E342" s="346" t="n"/>
    </row>
    <row r="343">
      <c r="E343" s="346" t="n"/>
    </row>
    <row r="344">
      <c r="E344" s="346" t="n"/>
    </row>
    <row r="345">
      <c r="E345" s="346" t="n"/>
    </row>
    <row r="346">
      <c r="E346" s="346" t="n"/>
    </row>
    <row r="347">
      <c r="E347" s="346" t="n"/>
    </row>
    <row r="348">
      <c r="E348" s="346" t="n"/>
    </row>
    <row r="349">
      <c r="E349" s="346" t="n"/>
    </row>
    <row r="350">
      <c r="E350" s="346" t="n"/>
    </row>
    <row r="351">
      <c r="E351" s="346" t="n"/>
    </row>
    <row r="352">
      <c r="E352" s="346" t="n"/>
    </row>
    <row r="353">
      <c r="E353" s="346" t="n"/>
    </row>
    <row r="354">
      <c r="E354" s="346" t="n"/>
    </row>
    <row r="355">
      <c r="E355" s="346" t="n"/>
    </row>
    <row r="356">
      <c r="E356" s="346" t="n"/>
    </row>
    <row r="357">
      <c r="E357" s="346" t="n"/>
    </row>
    <row r="358">
      <c r="E358" s="346" t="n"/>
    </row>
    <row r="359">
      <c r="E359" s="346" t="n"/>
    </row>
    <row r="360">
      <c r="E360" s="346" t="n"/>
    </row>
    <row r="361">
      <c r="E361" s="346" t="n"/>
    </row>
    <row r="362">
      <c r="E362" s="346" t="n"/>
    </row>
    <row r="363">
      <c r="E363" s="346" t="n"/>
    </row>
    <row r="364">
      <c r="E364" s="346" t="n"/>
    </row>
    <row r="365">
      <c r="E365" s="346" t="n"/>
    </row>
    <row r="366">
      <c r="E366" s="346" t="n"/>
    </row>
    <row r="367">
      <c r="E367" s="346" t="n"/>
    </row>
    <row r="368">
      <c r="E368" s="346" t="n"/>
    </row>
    <row r="369">
      <c r="E369" s="346" t="n"/>
    </row>
    <row r="370">
      <c r="E370" s="346" t="n"/>
    </row>
    <row r="371">
      <c r="E371" s="346" t="n"/>
    </row>
    <row r="372">
      <c r="E372" s="346" t="n"/>
    </row>
    <row r="373">
      <c r="E373" s="346" t="n"/>
    </row>
    <row r="374">
      <c r="E374" s="346" t="n"/>
    </row>
    <row r="375">
      <c r="E375" s="346" t="n"/>
    </row>
    <row r="376">
      <c r="E376" s="346" t="n"/>
    </row>
    <row r="377">
      <c r="E377" s="346" t="n"/>
    </row>
    <row r="378">
      <c r="E378" s="346" t="n"/>
    </row>
    <row r="379">
      <c r="E379" s="346" t="n"/>
    </row>
    <row r="380">
      <c r="E380" s="346" t="n"/>
    </row>
    <row r="381">
      <c r="E381" s="346" t="n"/>
    </row>
    <row r="382">
      <c r="E382" s="346" t="n"/>
    </row>
    <row r="383">
      <c r="E383" s="346" t="n"/>
    </row>
    <row r="384">
      <c r="E384" s="346" t="n"/>
    </row>
    <row r="385">
      <c r="E385" s="346" t="n"/>
    </row>
    <row r="386">
      <c r="E386" s="346" t="n"/>
    </row>
    <row r="387">
      <c r="E387" s="346" t="n"/>
    </row>
    <row r="388">
      <c r="E388" s="346" t="n"/>
    </row>
    <row r="389">
      <c r="E389" s="346" t="n"/>
    </row>
    <row r="390">
      <c r="E390" s="346" t="n"/>
    </row>
    <row r="391">
      <c r="E391" s="346" t="n"/>
    </row>
    <row r="392">
      <c r="E392" s="346" t="n"/>
    </row>
    <row r="393">
      <c r="E393" s="346" t="n"/>
    </row>
    <row r="394">
      <c r="E394" s="346" t="n"/>
    </row>
    <row r="395">
      <c r="E395" s="346" t="n"/>
    </row>
    <row r="396">
      <c r="E396" s="346" t="n"/>
    </row>
    <row r="397">
      <c r="E397" s="346" t="n"/>
    </row>
    <row r="398">
      <c r="E398" s="346" t="n"/>
    </row>
    <row r="399">
      <c r="E399" s="346" t="n"/>
    </row>
    <row r="400">
      <c r="E400" s="346" t="n"/>
    </row>
    <row r="401">
      <c r="E401" s="346" t="n"/>
    </row>
    <row r="402">
      <c r="E402" s="346" t="n"/>
    </row>
    <row r="403">
      <c r="E403" s="346" t="n"/>
    </row>
    <row r="404">
      <c r="E404" s="346" t="n"/>
    </row>
    <row r="405">
      <c r="E405" s="346" t="n"/>
    </row>
    <row r="406">
      <c r="E406" s="346" t="n"/>
    </row>
    <row r="407">
      <c r="E407" s="346" t="n"/>
    </row>
    <row r="408">
      <c r="E408" s="346" t="n"/>
    </row>
    <row r="409">
      <c r="E409" s="346" t="n"/>
    </row>
    <row r="410">
      <c r="E410" s="346" t="n"/>
    </row>
    <row r="411">
      <c r="E411" s="346" t="n"/>
    </row>
    <row r="412">
      <c r="E412" s="346" t="n"/>
    </row>
    <row r="413">
      <c r="E413" s="346" t="n"/>
    </row>
    <row r="414">
      <c r="E414" s="346" t="n"/>
    </row>
    <row r="415">
      <c r="E415" s="346" t="n"/>
    </row>
    <row r="416">
      <c r="E416" s="346" t="n"/>
    </row>
    <row r="417">
      <c r="E417" s="346" t="n"/>
    </row>
    <row r="418">
      <c r="E418" s="346" t="n"/>
    </row>
    <row r="419">
      <c r="E419" s="346" t="n"/>
    </row>
    <row r="420">
      <c r="E420" s="346" t="n"/>
    </row>
    <row r="421">
      <c r="E421" s="346" t="n"/>
    </row>
    <row r="422">
      <c r="E422" s="346" t="n"/>
    </row>
    <row r="423">
      <c r="E423" s="346" t="n"/>
    </row>
    <row r="424">
      <c r="E424" s="346" t="n"/>
    </row>
    <row r="425">
      <c r="E425" s="346" t="n"/>
    </row>
    <row r="426">
      <c r="E426" s="346" t="n"/>
    </row>
    <row r="427">
      <c r="E427" s="346" t="n"/>
    </row>
    <row r="428">
      <c r="E428" s="346" t="n"/>
    </row>
    <row r="429">
      <c r="E429" s="346" t="n"/>
    </row>
    <row r="430">
      <c r="E430" s="346" t="n"/>
    </row>
    <row r="431">
      <c r="E431" s="346" t="n"/>
    </row>
    <row r="432">
      <c r="E432" s="346" t="n"/>
    </row>
    <row r="433">
      <c r="E433" s="346" t="n"/>
    </row>
    <row r="434">
      <c r="E434" s="346" t="n"/>
    </row>
    <row r="435">
      <c r="E435" s="346" t="n"/>
    </row>
    <row r="436">
      <c r="E436" s="346" t="n"/>
    </row>
    <row r="437">
      <c r="E437" s="346" t="n"/>
    </row>
    <row r="438">
      <c r="E438" s="346" t="n"/>
    </row>
    <row r="439">
      <c r="E439" s="346" t="n"/>
    </row>
    <row r="440">
      <c r="E440" s="346" t="n"/>
    </row>
    <row r="441">
      <c r="E441" s="346" t="n"/>
    </row>
    <row r="442">
      <c r="E442" s="346" t="n"/>
    </row>
    <row r="443">
      <c r="E443" s="346" t="n"/>
    </row>
    <row r="444">
      <c r="E444" s="346" t="n"/>
    </row>
    <row r="445">
      <c r="E445" s="346" t="n"/>
    </row>
    <row r="446">
      <c r="E446" s="346" t="n"/>
    </row>
    <row r="447">
      <c r="E447" s="346" t="n"/>
    </row>
    <row r="448">
      <c r="E448" s="346" t="n"/>
    </row>
    <row r="449">
      <c r="E449" s="346" t="n"/>
    </row>
    <row r="450">
      <c r="E450" s="346" t="n"/>
    </row>
    <row r="451">
      <c r="E451" s="346" t="n"/>
    </row>
    <row r="452">
      <c r="E452" s="346" t="n"/>
    </row>
    <row r="453">
      <c r="E453" s="346" t="n"/>
    </row>
    <row r="454">
      <c r="E454" s="346" t="n"/>
    </row>
    <row r="455">
      <c r="E455" s="346" t="n"/>
    </row>
    <row r="456">
      <c r="E456" s="346" t="n"/>
    </row>
    <row r="457">
      <c r="E457" s="346" t="n"/>
    </row>
    <row r="458">
      <c r="E458" s="346" t="n"/>
    </row>
    <row r="459">
      <c r="E459" s="346" t="n"/>
    </row>
    <row r="460">
      <c r="E460" s="346" t="n"/>
    </row>
    <row r="461">
      <c r="E461" s="346" t="n"/>
    </row>
    <row r="462">
      <c r="E462" s="346" t="n"/>
    </row>
    <row r="463">
      <c r="E463" s="346" t="n"/>
    </row>
    <row r="464">
      <c r="E464" s="346" t="n"/>
    </row>
    <row r="465">
      <c r="E465" s="346" t="n"/>
    </row>
    <row r="466">
      <c r="E466" s="346" t="n"/>
    </row>
    <row r="467">
      <c r="E467" s="346" t="n"/>
    </row>
    <row r="468">
      <c r="E468" s="346" t="n"/>
    </row>
    <row r="469">
      <c r="E469" s="346" t="n"/>
    </row>
    <row r="470">
      <c r="E470" s="346" t="n"/>
    </row>
    <row r="471">
      <c r="E471" s="346" t="n"/>
    </row>
    <row r="472">
      <c r="E472" s="346" t="n"/>
    </row>
    <row r="473">
      <c r="E473" s="346" t="n"/>
    </row>
    <row r="474">
      <c r="E474" s="346" t="n"/>
    </row>
    <row r="475">
      <c r="E475" s="346" t="n"/>
    </row>
    <row r="476">
      <c r="E476" s="346" t="n"/>
    </row>
    <row r="477">
      <c r="E477" s="346" t="n"/>
    </row>
    <row r="478">
      <c r="E478" s="346" t="n"/>
    </row>
    <row r="479">
      <c r="E479" s="346" t="n"/>
    </row>
    <row r="480">
      <c r="E480" s="346" t="n"/>
    </row>
    <row r="481">
      <c r="E481" s="346" t="n"/>
    </row>
    <row r="482">
      <c r="E482" s="346" t="n"/>
    </row>
    <row r="483">
      <c r="E483" s="346" t="n"/>
    </row>
    <row r="484">
      <c r="E484" s="346" t="n"/>
    </row>
    <row r="485">
      <c r="E485" s="346" t="n"/>
    </row>
    <row r="486">
      <c r="E486" s="346" t="n"/>
    </row>
    <row r="487">
      <c r="E487" s="346" t="n"/>
    </row>
    <row r="488">
      <c r="E488" s="346" t="n"/>
    </row>
    <row r="489">
      <c r="E489" s="346" t="n"/>
    </row>
    <row r="490">
      <c r="E490" s="346" t="n"/>
    </row>
    <row r="491">
      <c r="E491" s="346" t="n"/>
    </row>
    <row r="492">
      <c r="E492" s="346" t="n"/>
    </row>
    <row r="493">
      <c r="E493" s="346" t="n"/>
    </row>
    <row r="494">
      <c r="E494" s="346" t="n"/>
    </row>
    <row r="495">
      <c r="E495" s="346" t="n"/>
    </row>
    <row r="496">
      <c r="E496" s="346" t="n"/>
    </row>
    <row r="497">
      <c r="E497" s="346" t="n"/>
    </row>
    <row r="498">
      <c r="E498" s="346" t="n"/>
    </row>
    <row r="499">
      <c r="E499" s="346" t="n"/>
    </row>
    <row r="500">
      <c r="E500" s="346" t="n"/>
    </row>
    <row r="501">
      <c r="E501" s="346" t="n"/>
    </row>
    <row r="502">
      <c r="E502" s="346" t="n"/>
    </row>
    <row r="503">
      <c r="E503" s="346" t="n"/>
    </row>
    <row r="504">
      <c r="E504" s="346" t="n"/>
    </row>
    <row r="505">
      <c r="E505" s="346" t="n"/>
    </row>
    <row r="506">
      <c r="E506" s="346" t="n"/>
    </row>
    <row r="507">
      <c r="E507" s="346" t="n"/>
    </row>
    <row r="508">
      <c r="E508" s="346" t="n"/>
    </row>
    <row r="509">
      <c r="E509" s="346" t="n"/>
    </row>
    <row r="510">
      <c r="E510" s="346" t="n"/>
    </row>
    <row r="511">
      <c r="E511" s="346" t="n"/>
    </row>
    <row r="512">
      <c r="E512" s="346" t="n"/>
    </row>
    <row r="513">
      <c r="E513" s="346" t="n"/>
    </row>
    <row r="514">
      <c r="E514" s="346" t="n"/>
    </row>
    <row r="515">
      <c r="E515" s="346" t="n"/>
    </row>
    <row r="516">
      <c r="E516" s="346" t="n"/>
    </row>
    <row r="517">
      <c r="E517" s="346" t="n"/>
    </row>
    <row r="518">
      <c r="E518" s="346" t="n"/>
    </row>
    <row r="519">
      <c r="E519" s="346" t="n"/>
    </row>
    <row r="520">
      <c r="E520" s="346" t="n"/>
    </row>
    <row r="521">
      <c r="E521" s="346" t="n"/>
    </row>
    <row r="522">
      <c r="E522" s="346" t="n"/>
    </row>
    <row r="523">
      <c r="E523" s="346" t="n"/>
    </row>
    <row r="524">
      <c r="E524" s="346" t="n"/>
    </row>
    <row r="525">
      <c r="E525" s="346" t="n"/>
    </row>
    <row r="526">
      <c r="E526" s="346" t="n"/>
    </row>
    <row r="527">
      <c r="E527" s="346" t="n"/>
    </row>
    <row r="528">
      <c r="E528" s="346" t="n"/>
    </row>
    <row r="529">
      <c r="E529" s="346" t="n"/>
    </row>
    <row r="530">
      <c r="E530" s="346" t="n"/>
    </row>
    <row r="531">
      <c r="E531" s="346" t="n"/>
    </row>
    <row r="532">
      <c r="E532" s="346" t="n"/>
    </row>
    <row r="533">
      <c r="E533" s="346" t="n"/>
    </row>
    <row r="534">
      <c r="E534" s="346" t="n"/>
    </row>
    <row r="535">
      <c r="E535" s="346" t="n"/>
    </row>
    <row r="536">
      <c r="E536" s="346" t="n"/>
    </row>
    <row r="537">
      <c r="E537" s="346" t="n"/>
    </row>
    <row r="538">
      <c r="E538" s="346" t="n"/>
    </row>
    <row r="539">
      <c r="E539" s="346" t="n"/>
    </row>
    <row r="540">
      <c r="E540" s="346" t="n"/>
    </row>
    <row r="541">
      <c r="E541" s="346" t="n"/>
    </row>
    <row r="542">
      <c r="E542" s="346" t="n"/>
    </row>
    <row r="543">
      <c r="E543" s="346" t="n"/>
    </row>
    <row r="544">
      <c r="E544" s="346" t="n"/>
    </row>
    <row r="545">
      <c r="E545" s="346" t="n"/>
    </row>
    <row r="546">
      <c r="E546" s="346" t="n"/>
    </row>
    <row r="547">
      <c r="E547" s="346" t="n"/>
    </row>
    <row r="548">
      <c r="E548" s="346" t="n"/>
    </row>
    <row r="549">
      <c r="E549" s="346" t="n"/>
    </row>
    <row r="550">
      <c r="E550" s="346" t="n"/>
    </row>
    <row r="551">
      <c r="E551" s="346" t="n"/>
    </row>
    <row r="552">
      <c r="E552" s="346" t="n"/>
    </row>
    <row r="553">
      <c r="E553" s="346" t="n"/>
    </row>
    <row r="554">
      <c r="E554" s="346" t="n"/>
    </row>
    <row r="555">
      <c r="E555" s="346" t="n"/>
    </row>
    <row r="556">
      <c r="E556" s="346" t="n"/>
    </row>
    <row r="557">
      <c r="E557" s="346" t="n"/>
    </row>
    <row r="558">
      <c r="E558" s="346" t="n"/>
    </row>
    <row r="559">
      <c r="E559" s="346" t="n"/>
    </row>
    <row r="560">
      <c r="E560" s="346" t="n"/>
    </row>
    <row r="561">
      <c r="E561" s="346" t="n"/>
    </row>
    <row r="562">
      <c r="E562" s="346" t="n"/>
    </row>
    <row r="563">
      <c r="E563" s="346" t="n"/>
    </row>
    <row r="564">
      <c r="E564" s="346" t="n"/>
    </row>
    <row r="565">
      <c r="E565" s="346" t="n"/>
    </row>
    <row r="566">
      <c r="E566" s="346" t="n"/>
    </row>
    <row r="567">
      <c r="E567" s="346" t="n"/>
    </row>
    <row r="568">
      <c r="E568" s="346" t="n"/>
    </row>
    <row r="569">
      <c r="E569" s="346" t="n"/>
    </row>
    <row r="570">
      <c r="E570" s="346" t="n"/>
    </row>
    <row r="571">
      <c r="E571" s="346" t="n"/>
    </row>
    <row r="572">
      <c r="E572" s="346" t="n"/>
    </row>
    <row r="573">
      <c r="E573" s="346" t="n"/>
    </row>
    <row r="574">
      <c r="E574" s="346" t="n"/>
    </row>
    <row r="575">
      <c r="E575" s="346" t="n"/>
    </row>
    <row r="576">
      <c r="E576" s="346" t="n"/>
    </row>
    <row r="577">
      <c r="E577" s="346" t="n"/>
    </row>
    <row r="578">
      <c r="E578" s="346" t="n"/>
    </row>
    <row r="579">
      <c r="E579" s="346" t="n"/>
    </row>
    <row r="580">
      <c r="E580" s="346" t="n"/>
    </row>
    <row r="581">
      <c r="E581" s="346" t="n"/>
    </row>
    <row r="582">
      <c r="E582" s="346" t="n"/>
    </row>
    <row r="583">
      <c r="E583" s="346" t="n"/>
    </row>
    <row r="584">
      <c r="E584" s="346" t="n"/>
    </row>
    <row r="585">
      <c r="E585" s="346" t="n"/>
    </row>
    <row r="586">
      <c r="E586" s="346" t="n"/>
    </row>
    <row r="587">
      <c r="E587" s="346" t="n"/>
    </row>
    <row r="588">
      <c r="E588" s="346" t="n"/>
    </row>
    <row r="589">
      <c r="E589" s="346" t="n"/>
    </row>
    <row r="590">
      <c r="E590" s="346" t="n"/>
    </row>
    <row r="591">
      <c r="E591" s="346" t="n"/>
    </row>
    <row r="592">
      <c r="E592" s="346" t="n"/>
    </row>
    <row r="593">
      <c r="E593" s="346" t="n"/>
    </row>
    <row r="594">
      <c r="E594" s="346" t="n"/>
    </row>
    <row r="595">
      <c r="E595" s="346" t="n"/>
    </row>
    <row r="596">
      <c r="E596" s="346" t="n"/>
    </row>
    <row r="597">
      <c r="E597" s="346" t="n"/>
    </row>
    <row r="598">
      <c r="E598" s="346" t="n"/>
    </row>
    <row r="599">
      <c r="E599" s="346" t="n"/>
    </row>
    <row r="600">
      <c r="E600" s="346" t="n"/>
    </row>
    <row r="601">
      <c r="E601" s="346" t="n"/>
    </row>
    <row r="602">
      <c r="E602" s="346" t="n"/>
    </row>
    <row r="603">
      <c r="E603" s="346" t="n"/>
    </row>
    <row r="604">
      <c r="E604" s="346" t="n"/>
    </row>
    <row r="605">
      <c r="E605" s="346" t="n"/>
    </row>
    <row r="606">
      <c r="E606" s="346" t="n"/>
    </row>
    <row r="607">
      <c r="E607" s="346" t="n"/>
    </row>
    <row r="608">
      <c r="E608" s="346" t="n"/>
    </row>
    <row r="609">
      <c r="E609" s="346" t="n"/>
    </row>
    <row r="610">
      <c r="E610" s="346" t="n"/>
    </row>
    <row r="611">
      <c r="E611" s="346" t="n"/>
    </row>
    <row r="612">
      <c r="E612" s="346" t="n"/>
    </row>
    <row r="613">
      <c r="E613" s="346" t="n"/>
    </row>
    <row r="614">
      <c r="E614" s="346" t="n"/>
    </row>
    <row r="615">
      <c r="E615" s="346" t="n"/>
    </row>
    <row r="616">
      <c r="E616" s="346" t="n"/>
    </row>
    <row r="617">
      <c r="E617" s="346" t="n"/>
    </row>
    <row r="618">
      <c r="E618" s="346" t="n"/>
    </row>
    <row r="619">
      <c r="E619" s="346" t="n"/>
    </row>
    <row r="620">
      <c r="E620" s="346" t="n"/>
    </row>
    <row r="621">
      <c r="E621" s="346" t="n"/>
    </row>
    <row r="622">
      <c r="E622" s="346" t="n"/>
    </row>
    <row r="623">
      <c r="E623" s="346" t="n"/>
    </row>
    <row r="624">
      <c r="E624" s="346" t="n"/>
    </row>
    <row r="625">
      <c r="E625" s="346" t="n"/>
    </row>
    <row r="626">
      <c r="E626" s="346" t="n"/>
    </row>
    <row r="627">
      <c r="E627" s="346" t="n"/>
    </row>
    <row r="628">
      <c r="E628" s="346" t="n"/>
    </row>
    <row r="629">
      <c r="E629" s="346" t="n"/>
    </row>
    <row r="630">
      <c r="E630" s="346" t="n"/>
    </row>
    <row r="631">
      <c r="E631" s="346" t="n"/>
    </row>
    <row r="632">
      <c r="E632" s="346" t="n"/>
    </row>
    <row r="633">
      <c r="E633" s="346" t="n"/>
    </row>
    <row r="634">
      <c r="E634" s="346" t="n"/>
    </row>
    <row r="635">
      <c r="E635" s="346" t="n"/>
    </row>
    <row r="636">
      <c r="E636" s="346" t="n"/>
    </row>
    <row r="637">
      <c r="E637" s="346" t="n"/>
    </row>
    <row r="638">
      <c r="E638" s="346" t="n"/>
    </row>
    <row r="639">
      <c r="E639" s="346" t="n"/>
    </row>
    <row r="640">
      <c r="E640" s="346" t="n"/>
    </row>
    <row r="641">
      <c r="E641" s="346" t="n"/>
    </row>
    <row r="642">
      <c r="E642" s="346" t="n"/>
    </row>
    <row r="643">
      <c r="E643" s="346" t="n"/>
    </row>
    <row r="644">
      <c r="E644" s="346" t="n"/>
    </row>
    <row r="645">
      <c r="E645" s="346" t="n"/>
    </row>
    <row r="646">
      <c r="E646" s="346" t="n"/>
    </row>
    <row r="647">
      <c r="E647" s="346" t="n"/>
    </row>
    <row r="648">
      <c r="E648" s="346" t="n"/>
    </row>
    <row r="649">
      <c r="E649" s="346" t="n"/>
    </row>
    <row r="650">
      <c r="E650" s="346" t="n"/>
    </row>
    <row r="651">
      <c r="E651" s="346" t="n"/>
    </row>
    <row r="652">
      <c r="E652" s="346" t="n"/>
    </row>
    <row r="653">
      <c r="E653" s="346" t="n"/>
    </row>
    <row r="654">
      <c r="E654" s="346" t="n"/>
    </row>
    <row r="655">
      <c r="E655" s="346" t="n"/>
    </row>
    <row r="656">
      <c r="E656" s="346" t="n"/>
    </row>
    <row r="657">
      <c r="E657" s="346" t="n"/>
    </row>
    <row r="658">
      <c r="E658" s="346" t="n"/>
    </row>
    <row r="659">
      <c r="E659" s="346" t="n"/>
    </row>
    <row r="660">
      <c r="E660" s="346" t="n"/>
    </row>
    <row r="661">
      <c r="E661" s="346" t="n"/>
    </row>
    <row r="662">
      <c r="E662" s="346" t="n"/>
    </row>
    <row r="663">
      <c r="E663" s="346" t="n"/>
    </row>
    <row r="664">
      <c r="E664" s="346" t="n"/>
    </row>
    <row r="665">
      <c r="E665" s="346" t="n"/>
    </row>
    <row r="666">
      <c r="E666" s="346" t="n"/>
    </row>
    <row r="667">
      <c r="E667" s="346" t="n"/>
    </row>
    <row r="668">
      <c r="E668" s="346" t="n"/>
    </row>
    <row r="669">
      <c r="E669" s="346" t="n"/>
    </row>
    <row r="670">
      <c r="E670" s="346" t="n"/>
    </row>
    <row r="671">
      <c r="E671" s="346" t="n"/>
    </row>
    <row r="672">
      <c r="E672" s="346" t="n"/>
    </row>
    <row r="673">
      <c r="E673" s="346" t="n"/>
    </row>
    <row r="674">
      <c r="E674" s="346" t="n"/>
    </row>
    <row r="675">
      <c r="E675" s="346" t="n"/>
    </row>
    <row r="676">
      <c r="E676" s="346" t="n"/>
    </row>
    <row r="677">
      <c r="E677" s="346" t="n"/>
    </row>
    <row r="678">
      <c r="E678" s="346" t="n"/>
    </row>
    <row r="679">
      <c r="E679" s="346" t="n"/>
    </row>
    <row r="680">
      <c r="E680" s="346" t="n"/>
    </row>
    <row r="681">
      <c r="E681" s="346" t="n"/>
    </row>
    <row r="682">
      <c r="E682" s="346" t="n"/>
    </row>
    <row r="683">
      <c r="E683" s="346" t="n"/>
    </row>
    <row r="684">
      <c r="E684" s="346" t="n"/>
    </row>
    <row r="685">
      <c r="E685" s="346" t="n"/>
    </row>
    <row r="686">
      <c r="E686" s="346" t="n"/>
    </row>
    <row r="687">
      <c r="E687" s="346" t="n"/>
    </row>
    <row r="688">
      <c r="E688" s="346" t="n"/>
    </row>
    <row r="689">
      <c r="E689" s="346" t="n"/>
    </row>
    <row r="690">
      <c r="E690" s="346" t="n"/>
    </row>
    <row r="691">
      <c r="E691" s="346" t="n"/>
    </row>
    <row r="692">
      <c r="E692" s="346" t="n"/>
    </row>
    <row r="693">
      <c r="E693" s="346" t="n"/>
    </row>
    <row r="694">
      <c r="E694" s="346" t="n"/>
    </row>
    <row r="695">
      <c r="E695" s="346" t="n"/>
    </row>
    <row r="696">
      <c r="E696" s="346" t="n"/>
    </row>
    <row r="697">
      <c r="E697" s="346" t="n"/>
    </row>
    <row r="698">
      <c r="E698" s="346" t="n"/>
    </row>
    <row r="699">
      <c r="E699" s="346" t="n"/>
    </row>
    <row r="700">
      <c r="E700" s="346" t="n"/>
    </row>
    <row r="701">
      <c r="E701" s="346" t="n"/>
    </row>
    <row r="702">
      <c r="E702" s="346" t="n"/>
    </row>
    <row r="703">
      <c r="E703" s="346" t="n"/>
    </row>
    <row r="704">
      <c r="E704" s="346" t="n"/>
    </row>
    <row r="705">
      <c r="E705" s="346" t="n"/>
    </row>
    <row r="706">
      <c r="E706" s="346" t="n"/>
    </row>
    <row r="707">
      <c r="E707" s="346" t="n"/>
    </row>
    <row r="708">
      <c r="E708" s="346" t="n"/>
    </row>
    <row r="709">
      <c r="E709" s="346" t="n"/>
    </row>
    <row r="710">
      <c r="E710" s="346" t="n"/>
    </row>
    <row r="711">
      <c r="E711" s="346" t="n"/>
    </row>
    <row r="712">
      <c r="E712" s="346" t="n"/>
    </row>
    <row r="713">
      <c r="E713" s="346" t="n"/>
    </row>
    <row r="714">
      <c r="E714" s="346" t="n"/>
    </row>
    <row r="715">
      <c r="E715" s="346" t="n"/>
    </row>
    <row r="716">
      <c r="E716" s="346" t="n"/>
    </row>
    <row r="717">
      <c r="E717" s="346" t="n"/>
    </row>
    <row r="718">
      <c r="E718" s="346" t="n"/>
    </row>
    <row r="719">
      <c r="E719" s="346" t="n"/>
    </row>
    <row r="720">
      <c r="E720" s="346" t="n"/>
    </row>
    <row r="721">
      <c r="E721" s="346" t="n"/>
    </row>
    <row r="722">
      <c r="E722" s="346" t="n"/>
    </row>
    <row r="723">
      <c r="E723" s="346" t="n"/>
    </row>
    <row r="724">
      <c r="E724" s="346" t="n"/>
    </row>
    <row r="725">
      <c r="E725" s="346" t="n"/>
    </row>
    <row r="726">
      <c r="E726" s="346" t="n"/>
    </row>
    <row r="727">
      <c r="E727" s="346" t="n"/>
    </row>
    <row r="728">
      <c r="E728" s="346" t="n"/>
    </row>
    <row r="729">
      <c r="E729" s="346" t="n"/>
    </row>
    <row r="730">
      <c r="E730" s="346" t="n"/>
    </row>
    <row r="731">
      <c r="E731" s="346" t="n"/>
    </row>
    <row r="732">
      <c r="E732" s="346" t="n"/>
    </row>
    <row r="733">
      <c r="E733" s="346" t="n"/>
    </row>
    <row r="734">
      <c r="E734" s="346" t="n"/>
    </row>
    <row r="735">
      <c r="E735" s="346" t="n"/>
    </row>
    <row r="736">
      <c r="E736" s="346" t="n"/>
    </row>
    <row r="737">
      <c r="E737" s="346" t="n"/>
    </row>
    <row r="738">
      <c r="E738" s="346" t="n"/>
    </row>
    <row r="739">
      <c r="E739" s="346" t="n"/>
    </row>
    <row r="740">
      <c r="E740" s="346" t="n"/>
    </row>
    <row r="741">
      <c r="E741" s="346" t="n"/>
    </row>
    <row r="742">
      <c r="E742" s="346" t="n"/>
    </row>
    <row r="743">
      <c r="E743" s="346" t="n"/>
    </row>
    <row r="744">
      <c r="E744" s="346" t="n"/>
    </row>
    <row r="745">
      <c r="E745" s="346" t="n"/>
    </row>
    <row r="746">
      <c r="E746" s="346" t="n"/>
    </row>
    <row r="747">
      <c r="E747" s="346" t="n"/>
    </row>
    <row r="748">
      <c r="E748" s="346" t="n"/>
    </row>
    <row r="749">
      <c r="E749" s="346" t="n"/>
    </row>
    <row r="750">
      <c r="E750" s="346" t="n"/>
    </row>
    <row r="751">
      <c r="E751" s="346" t="n"/>
    </row>
    <row r="752">
      <c r="E752" s="346" t="n"/>
    </row>
    <row r="753">
      <c r="E753" s="346" t="n"/>
    </row>
    <row r="754">
      <c r="E754" s="346" t="n"/>
    </row>
    <row r="755">
      <c r="E755" s="346" t="n"/>
    </row>
    <row r="756">
      <c r="E756" s="346" t="n"/>
    </row>
    <row r="757">
      <c r="E757" s="346" t="n"/>
    </row>
    <row r="758">
      <c r="E758" s="346" t="n"/>
    </row>
    <row r="759">
      <c r="E759" s="346" t="n"/>
    </row>
    <row r="760">
      <c r="E760" s="346" t="n"/>
    </row>
    <row r="761">
      <c r="E761" s="346" t="n"/>
    </row>
    <row r="762">
      <c r="E762" s="346" t="n"/>
    </row>
    <row r="763">
      <c r="E763" s="346" t="n"/>
    </row>
    <row r="764">
      <c r="E764" s="346" t="n"/>
    </row>
    <row r="765">
      <c r="E765" s="346" t="n"/>
    </row>
    <row r="766">
      <c r="E766" s="346" t="n"/>
    </row>
    <row r="767">
      <c r="E767" s="346" t="n"/>
    </row>
    <row r="768">
      <c r="E768" s="346" t="n"/>
    </row>
    <row r="769">
      <c r="E769" s="346" t="n"/>
    </row>
    <row r="770">
      <c r="E770" s="346" t="n"/>
    </row>
    <row r="771">
      <c r="E771" s="346" t="n"/>
    </row>
    <row r="772">
      <c r="E772" s="346" t="n"/>
    </row>
    <row r="773">
      <c r="E773" s="346" t="n"/>
    </row>
    <row r="774">
      <c r="E774" s="346" t="n"/>
    </row>
    <row r="775">
      <c r="E775" s="346" t="n"/>
    </row>
    <row r="776">
      <c r="E776" s="346" t="n"/>
    </row>
    <row r="777">
      <c r="E777" s="346" t="n"/>
    </row>
    <row r="778">
      <c r="E778" s="346" t="n"/>
    </row>
    <row r="779">
      <c r="E779" s="346" t="n"/>
    </row>
    <row r="780">
      <c r="E780" s="346" t="n"/>
    </row>
    <row r="781">
      <c r="E781" s="346" t="n"/>
    </row>
    <row r="782">
      <c r="E782" s="346" t="n"/>
    </row>
    <row r="783">
      <c r="E783" s="346" t="n"/>
    </row>
    <row r="784">
      <c r="E784" s="346" t="n"/>
    </row>
    <row r="785">
      <c r="E785" s="346" t="n"/>
    </row>
    <row r="786">
      <c r="E786" s="346" t="n"/>
    </row>
    <row r="787">
      <c r="E787" s="346" t="n"/>
    </row>
    <row r="788">
      <c r="E788" s="346" t="n"/>
    </row>
    <row r="789">
      <c r="E789" s="346" t="n"/>
    </row>
    <row r="790">
      <c r="E790" s="346" t="n"/>
    </row>
    <row r="791">
      <c r="E791" s="346" t="n"/>
    </row>
    <row r="792">
      <c r="E792" s="346" t="n"/>
    </row>
    <row r="793">
      <c r="E793" s="346" t="n"/>
    </row>
    <row r="794">
      <c r="E794" s="346" t="n"/>
    </row>
    <row r="795">
      <c r="E795" s="346" t="n"/>
    </row>
    <row r="796">
      <c r="E796" s="346" t="n"/>
    </row>
    <row r="797">
      <c r="E797" s="346" t="n"/>
    </row>
    <row r="798">
      <c r="E798" s="346" t="n"/>
    </row>
    <row r="799">
      <c r="E799" s="346" t="n"/>
    </row>
    <row r="800">
      <c r="E800" s="346" t="n"/>
    </row>
    <row r="801">
      <c r="E801" s="346" t="n"/>
    </row>
    <row r="802">
      <c r="E802" s="346" t="n"/>
    </row>
    <row r="803">
      <c r="E803" s="346" t="n"/>
    </row>
    <row r="804">
      <c r="E804" s="346" t="n"/>
    </row>
    <row r="805">
      <c r="E805" s="346" t="n"/>
    </row>
    <row r="806">
      <c r="E806" s="346" t="n"/>
    </row>
    <row r="807">
      <c r="E807" s="346" t="n"/>
    </row>
    <row r="808">
      <c r="E808" s="346" t="n"/>
    </row>
    <row r="809">
      <c r="E809" s="346" t="n"/>
    </row>
    <row r="810">
      <c r="E810" s="346" t="n"/>
    </row>
    <row r="811">
      <c r="E811" s="346" t="n"/>
    </row>
    <row r="812">
      <c r="E812" s="346" t="n"/>
    </row>
    <row r="813">
      <c r="E813" s="346" t="n"/>
    </row>
    <row r="814">
      <c r="E814" s="346" t="n"/>
    </row>
    <row r="815">
      <c r="E815" s="346" t="n"/>
    </row>
    <row r="816">
      <c r="E816" s="346" t="n"/>
    </row>
    <row r="817">
      <c r="E817" s="346" t="n"/>
    </row>
    <row r="818">
      <c r="E818" s="346" t="n"/>
    </row>
    <row r="819">
      <c r="E819" s="346" t="n"/>
    </row>
    <row r="820">
      <c r="E820" s="346" t="n"/>
    </row>
    <row r="821">
      <c r="E821" s="346" t="n"/>
    </row>
    <row r="822">
      <c r="E822" s="346" t="n"/>
    </row>
    <row r="823">
      <c r="E823" s="346" t="n"/>
    </row>
    <row r="824">
      <c r="E824" s="346" t="n"/>
    </row>
    <row r="825">
      <c r="E825" s="346" t="n"/>
    </row>
    <row r="826">
      <c r="E826" s="346" t="n"/>
    </row>
    <row r="827">
      <c r="E827" s="346" t="n"/>
    </row>
    <row r="828">
      <c r="E828" s="346" t="n"/>
    </row>
    <row r="829">
      <c r="E829" s="346" t="n"/>
    </row>
    <row r="830">
      <c r="E830" s="346" t="n"/>
    </row>
    <row r="831">
      <c r="E831" s="346" t="n"/>
    </row>
    <row r="832">
      <c r="E832" s="346" t="n"/>
    </row>
    <row r="833">
      <c r="E833" s="346" t="n"/>
    </row>
    <row r="834">
      <c r="E834" s="346" t="n"/>
    </row>
    <row r="835">
      <c r="E835" s="346" t="n"/>
    </row>
    <row r="836">
      <c r="E836" s="346" t="n"/>
    </row>
    <row r="837">
      <c r="E837" s="346" t="n"/>
    </row>
    <row r="838">
      <c r="E838" s="346" t="n"/>
    </row>
    <row r="839">
      <c r="E839" s="346" t="n"/>
    </row>
    <row r="840">
      <c r="E840" s="346" t="n"/>
    </row>
    <row r="841">
      <c r="E841" s="346" t="n"/>
    </row>
    <row r="842">
      <c r="E842" s="346" t="n"/>
    </row>
    <row r="843">
      <c r="E843" s="346" t="n"/>
    </row>
    <row r="844">
      <c r="E844" s="346" t="n"/>
    </row>
    <row r="845">
      <c r="E845" s="346" t="n"/>
    </row>
    <row r="846">
      <c r="E846" s="346" t="n"/>
    </row>
    <row r="847">
      <c r="E847" s="346" t="n"/>
    </row>
    <row r="848">
      <c r="E848" s="346" t="n"/>
    </row>
    <row r="849">
      <c r="E849" s="346" t="n"/>
    </row>
    <row r="850">
      <c r="E850" s="346" t="n"/>
    </row>
    <row r="851">
      <c r="E851" s="346" t="n"/>
    </row>
    <row r="852">
      <c r="E852" s="346" t="n"/>
    </row>
    <row r="853">
      <c r="E853" s="346" t="n"/>
    </row>
    <row r="854">
      <c r="E854" s="346" t="n"/>
    </row>
    <row r="855">
      <c r="E855" s="346" t="n"/>
    </row>
    <row r="856">
      <c r="E856" s="346" t="n"/>
    </row>
    <row r="857">
      <c r="E857" s="346" t="n"/>
    </row>
    <row r="858">
      <c r="E858" s="346" t="n"/>
    </row>
    <row r="859">
      <c r="E859" s="346" t="n"/>
    </row>
    <row r="860">
      <c r="E860" s="346" t="n"/>
    </row>
    <row r="861">
      <c r="E861" s="346" t="n"/>
    </row>
    <row r="862">
      <c r="E862" s="346" t="n"/>
    </row>
    <row r="863">
      <c r="E863" s="346" t="n"/>
    </row>
    <row r="864">
      <c r="E864" s="346" t="n"/>
    </row>
    <row r="865">
      <c r="E865" s="346" t="n"/>
    </row>
    <row r="866">
      <c r="E866" s="346" t="n"/>
    </row>
    <row r="867">
      <c r="E867" s="346" t="n"/>
    </row>
    <row r="868">
      <c r="E868" s="346" t="n"/>
    </row>
    <row r="869">
      <c r="E869" s="346" t="n"/>
    </row>
    <row r="870">
      <c r="E870" s="346" t="n"/>
    </row>
    <row r="871">
      <c r="E871" s="346" t="n"/>
    </row>
    <row r="872">
      <c r="E872" s="346" t="n"/>
    </row>
    <row r="873">
      <c r="E873" s="346" t="n"/>
    </row>
    <row r="874">
      <c r="E874" s="346" t="n"/>
    </row>
    <row r="875">
      <c r="E875" s="346" t="n"/>
    </row>
    <row r="876">
      <c r="E876" s="346" t="n"/>
    </row>
    <row r="877">
      <c r="E877" s="346" t="n"/>
    </row>
    <row r="878">
      <c r="E878" s="346" t="n"/>
    </row>
    <row r="879">
      <c r="E879" s="346" t="n"/>
    </row>
    <row r="880">
      <c r="E880" s="346" t="n"/>
    </row>
    <row r="881">
      <c r="E881" s="346" t="n"/>
    </row>
    <row r="882">
      <c r="E882" s="346" t="n"/>
    </row>
    <row r="883">
      <c r="E883" s="346" t="n"/>
    </row>
    <row r="884">
      <c r="E884" s="346" t="n"/>
    </row>
    <row r="885">
      <c r="E885" s="346" t="n"/>
    </row>
    <row r="886">
      <c r="E886" s="346" t="n"/>
    </row>
    <row r="887">
      <c r="E887" s="346" t="n"/>
    </row>
    <row r="888">
      <c r="E888" s="346" t="n"/>
    </row>
    <row r="889">
      <c r="E889" s="346" t="n"/>
    </row>
    <row r="890">
      <c r="E890" s="346" t="n"/>
    </row>
    <row r="891">
      <c r="E891" s="346" t="n"/>
    </row>
    <row r="892">
      <c r="E892" s="346" t="n"/>
    </row>
    <row r="893">
      <c r="E893" s="346" t="n"/>
    </row>
    <row r="894">
      <c r="E894" s="346" t="n"/>
    </row>
    <row r="895">
      <c r="E895" s="346" t="n"/>
    </row>
    <row r="896">
      <c r="E896" s="346" t="n"/>
    </row>
    <row r="897">
      <c r="E897" s="346" t="n"/>
    </row>
    <row r="898">
      <c r="E898" s="346" t="n"/>
    </row>
    <row r="899">
      <c r="E899" s="346" t="n"/>
    </row>
    <row r="900">
      <c r="E900" s="346" t="n"/>
    </row>
    <row r="901">
      <c r="E901" s="346" t="n"/>
    </row>
    <row r="902">
      <c r="E902" s="346" t="n"/>
    </row>
    <row r="903">
      <c r="E903" s="346" t="n"/>
    </row>
    <row r="904">
      <c r="E904" s="346" t="n"/>
    </row>
    <row r="905">
      <c r="E905" s="346" t="n"/>
    </row>
    <row r="906">
      <c r="E906" s="346" t="n"/>
    </row>
    <row r="907">
      <c r="E907" s="346" t="n"/>
    </row>
    <row r="908">
      <c r="E908" s="346" t="n"/>
    </row>
    <row r="909">
      <c r="E909" s="346" t="n"/>
    </row>
    <row r="910">
      <c r="E910" s="346" t="n"/>
    </row>
    <row r="911">
      <c r="E911" s="346" t="n"/>
    </row>
    <row r="912">
      <c r="E912" s="346" t="n"/>
    </row>
    <row r="913">
      <c r="E913" s="346" t="n"/>
    </row>
    <row r="914">
      <c r="E914" s="346" t="n"/>
    </row>
    <row r="915">
      <c r="E915" s="346" t="n"/>
    </row>
    <row r="916">
      <c r="E916" s="346" t="n"/>
    </row>
    <row r="917">
      <c r="E917" s="346" t="n"/>
    </row>
    <row r="918">
      <c r="E918" s="346" t="n"/>
    </row>
    <row r="919">
      <c r="E919" s="346" t="n"/>
    </row>
    <row r="920">
      <c r="E920" s="346" t="n"/>
    </row>
    <row r="921">
      <c r="E921" s="346" t="n"/>
    </row>
    <row r="922">
      <c r="E922" s="346" t="n"/>
    </row>
    <row r="923">
      <c r="E923" s="346" t="n"/>
    </row>
    <row r="924">
      <c r="E924" s="346" t="n"/>
    </row>
    <row r="925">
      <c r="E925" s="346" t="n"/>
    </row>
    <row r="926">
      <c r="E926" s="346" t="n"/>
    </row>
    <row r="927">
      <c r="E927" s="346" t="n"/>
    </row>
    <row r="928">
      <c r="E928" s="346" t="n"/>
    </row>
    <row r="929">
      <c r="E929" s="346" t="n"/>
    </row>
    <row r="930">
      <c r="E930" s="346" t="n"/>
    </row>
    <row r="931">
      <c r="E931" s="346" t="n"/>
    </row>
    <row r="932">
      <c r="E932" s="346" t="n"/>
    </row>
    <row r="933">
      <c r="E933" s="346" t="n"/>
    </row>
    <row r="934">
      <c r="E934" s="346" t="n"/>
    </row>
    <row r="935">
      <c r="E935" s="346" t="n"/>
    </row>
    <row r="936">
      <c r="E936" s="346" t="n"/>
    </row>
    <row r="937">
      <c r="E937" s="346" t="n"/>
    </row>
    <row r="938">
      <c r="E938" s="346" t="n"/>
    </row>
    <row r="939">
      <c r="E939" s="346" t="n"/>
    </row>
    <row r="940">
      <c r="E940" s="346" t="n"/>
    </row>
    <row r="941">
      <c r="E941" s="346" t="n"/>
    </row>
    <row r="942">
      <c r="E942" s="346" t="n"/>
    </row>
    <row r="943">
      <c r="E943" s="346" t="n"/>
    </row>
    <row r="944">
      <c r="E944" s="346" t="n"/>
    </row>
    <row r="945">
      <c r="E945" s="346" t="n"/>
    </row>
    <row r="946">
      <c r="E946" s="346" t="n"/>
    </row>
    <row r="947">
      <c r="E947" s="346" t="n"/>
    </row>
    <row r="948">
      <c r="E948" s="346" t="n"/>
    </row>
    <row r="949">
      <c r="E949" s="346" t="n"/>
    </row>
    <row r="950">
      <c r="E950" s="346" t="n"/>
    </row>
    <row r="951">
      <c r="E951" s="346" t="n"/>
    </row>
    <row r="952">
      <c r="E952" s="346" t="n"/>
    </row>
    <row r="953">
      <c r="E953" s="346" t="n"/>
    </row>
    <row r="954">
      <c r="E954" s="346" t="n"/>
    </row>
    <row r="955">
      <c r="E955" s="346" t="n"/>
    </row>
    <row r="956">
      <c r="E956" s="346" t="n"/>
    </row>
    <row r="957">
      <c r="E957" s="346" t="n"/>
    </row>
    <row r="958">
      <c r="E958" s="346" t="n"/>
    </row>
    <row r="959">
      <c r="E959" s="346" t="n"/>
    </row>
    <row r="960">
      <c r="E960" s="346" t="n"/>
    </row>
    <row r="961">
      <c r="E961" s="346" t="n"/>
    </row>
    <row r="962">
      <c r="E962" s="346" t="n"/>
    </row>
    <row r="963">
      <c r="E963" s="346" t="n"/>
    </row>
    <row r="964">
      <c r="E964" s="346" t="n"/>
    </row>
    <row r="965">
      <c r="E965" s="346" t="n"/>
    </row>
    <row r="966">
      <c r="E966" s="346" t="n"/>
    </row>
    <row r="967">
      <c r="E967" s="346" t="n"/>
    </row>
    <row r="968">
      <c r="E968" s="346" t="n"/>
    </row>
    <row r="969">
      <c r="E969" s="346" t="n"/>
    </row>
    <row r="970">
      <c r="E970" s="346" t="n"/>
    </row>
    <row r="971">
      <c r="E971" s="346" t="n"/>
    </row>
    <row r="972">
      <c r="E972" s="346" t="n"/>
    </row>
    <row r="973">
      <c r="E973" s="346" t="n"/>
    </row>
    <row r="974">
      <c r="E974" s="346" t="n"/>
    </row>
    <row r="975">
      <c r="E975" s="346" t="n"/>
    </row>
    <row r="976">
      <c r="E976" s="346" t="n"/>
    </row>
    <row r="977">
      <c r="E977" s="346" t="n"/>
    </row>
    <row r="978">
      <c r="E978" s="346" t="n"/>
    </row>
    <row r="979">
      <c r="E979" s="346" t="n"/>
    </row>
    <row r="980">
      <c r="E980" s="346" t="n"/>
    </row>
    <row r="981">
      <c r="E981" s="346" t="n"/>
    </row>
    <row r="982">
      <c r="E982" s="346" t="n"/>
    </row>
    <row r="983">
      <c r="E983" s="346" t="n"/>
    </row>
    <row r="984">
      <c r="E984" s="346" t="n"/>
    </row>
    <row r="985">
      <c r="E985" s="346" t="n"/>
    </row>
    <row r="986">
      <c r="E986" s="346" t="n"/>
    </row>
    <row r="987">
      <c r="E987" s="346" t="n"/>
    </row>
    <row r="988">
      <c r="E988" s="346" t="n"/>
    </row>
    <row r="989">
      <c r="E989" s="346" t="n"/>
    </row>
    <row r="990">
      <c r="E990" s="346" t="n"/>
    </row>
    <row r="991">
      <c r="E991" s="346" t="n"/>
    </row>
    <row r="992">
      <c r="E992" s="346" t="n"/>
    </row>
    <row r="993">
      <c r="E993" s="346" t="n"/>
    </row>
    <row r="994">
      <c r="E994" s="346" t="n"/>
    </row>
    <row r="995">
      <c r="E995" s="346" t="n"/>
    </row>
    <row r="996">
      <c r="E996" s="346" t="n"/>
    </row>
    <row r="997">
      <c r="E997" s="346" t="n"/>
    </row>
    <row r="998">
      <c r="E998" s="346" t="n"/>
    </row>
    <row r="999">
      <c r="E999" s="346" t="n"/>
    </row>
    <row r="1000">
      <c r="E1000" s="346" t="n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FF383F49"/>
    <outlinePr summaryBelow="0" summaryRight="0"/>
    <pageSetUpPr/>
  </sheetPr>
  <dimension ref="A1:G6"/>
  <sheetViews>
    <sheetView workbookViewId="0">
      <selection activeCell="A1" sqref="A1"/>
    </sheetView>
  </sheetViews>
  <sheetFormatPr baseColWidth="8" defaultColWidth="12.63" defaultRowHeight="15.75" customHeight="1"/>
  <cols>
    <col width="13.88" customWidth="1" style="461" min="1" max="2"/>
    <col width="52.63" customWidth="1" style="461" min="3" max="3"/>
    <col width="20.13" customWidth="1" style="461" min="4" max="4"/>
    <col width="17.63" customWidth="1" style="461" min="5" max="7"/>
    <col width="22.63" customWidth="1" style="461" min="8" max="9"/>
  </cols>
  <sheetData>
    <row r="1">
      <c r="A1" s="218" t="inlineStr">
        <is>
          <t>timestamp</t>
        </is>
      </c>
      <c r="B1" s="218" t="inlineStr">
        <is>
          <t>priority</t>
        </is>
      </c>
      <c r="C1" s="218" t="inlineStr">
        <is>
          <t>trigger_name</t>
        </is>
      </c>
      <c r="D1" s="218" t="inlineStr">
        <is>
          <t>value</t>
        </is>
      </c>
      <c r="E1" s="218" t="inlineStr">
        <is>
          <t>threshold</t>
        </is>
      </c>
      <c r="F1" s="218" t="inlineStr">
        <is>
          <t>status</t>
        </is>
      </c>
      <c r="G1" s="218" t="inlineStr">
        <is>
          <t>resolution_days</t>
        </is>
      </c>
    </row>
    <row r="2">
      <c r="A2" s="351" t="n">
        <v>46294.375</v>
      </c>
      <c r="B2" s="218" t="inlineStr">
        <is>
          <t>CRITICAL</t>
        </is>
      </c>
      <c r="C2" s="218" t="inlineStr">
        <is>
          <t>Брак диалога C-505 (Оценка 2/13, нет Next Step)</t>
        </is>
      </c>
      <c r="D2" s="418" t="n">
        <v>600000</v>
      </c>
      <c r="E2" s="218" t="inlineStr">
        <is>
          <t>Score &lt; 9</t>
        </is>
      </c>
      <c r="F2" s="218" t="inlineStr">
        <is>
          <t>OPEN</t>
        </is>
      </c>
      <c r="G2" s="218" t="n">
        <v>1</v>
      </c>
    </row>
    <row r="3">
      <c r="A3" s="351" t="n">
        <v>46294.375</v>
      </c>
      <c r="B3" s="218" t="inlineStr">
        <is>
          <t>CRITICAL</t>
        </is>
      </c>
      <c r="C3" s="218" t="inlineStr">
        <is>
          <t>Зависание сделки D-104 на КП &gt; 48ч (12 дней)</t>
        </is>
      </c>
      <c r="D3" s="418" t="n">
        <v>850000</v>
      </c>
      <c r="E3" s="218" t="inlineStr">
        <is>
          <t>SLA &gt; 48ч</t>
        </is>
      </c>
      <c r="F3" s="218" t="inlineStr">
        <is>
          <t>OPEN</t>
        </is>
      </c>
      <c r="G3" s="218" t="n">
        <v>2</v>
      </c>
    </row>
    <row r="4">
      <c r="A4" s="351" t="n">
        <v>46294.375</v>
      </c>
      <c r="B4" s="218" t="inlineStr">
        <is>
          <t>HIGH</t>
        </is>
      </c>
      <c r="C4" s="218" t="inlineStr">
        <is>
          <t>Просрочен счет INV-203 (ИП Смирнов, 9 дней)</t>
        </is>
      </c>
      <c r="D4" s="418" t="n">
        <v>150000</v>
      </c>
      <c r="E4" s="218" t="inlineStr">
        <is>
          <t>Due &gt; 72ч</t>
        </is>
      </c>
      <c r="F4" s="218" t="inlineStr">
        <is>
          <t>OPEN</t>
        </is>
      </c>
      <c r="G4" s="218" t="n">
        <v>1</v>
      </c>
    </row>
    <row r="5">
      <c r="A5" s="351" t="n">
        <v>46294.375</v>
      </c>
      <c r="B5" s="218" t="inlineStr">
        <is>
          <t>HIGH</t>
        </is>
      </c>
      <c r="C5" s="218" t="inlineStr">
        <is>
          <t>Перегруз РОПа Иванова Д. (Лимит 5, факт 1)</t>
        </is>
      </c>
      <c r="D5" s="418" t="n">
        <v>850000</v>
      </c>
      <c r="E5" s="218" t="inlineStr">
        <is>
          <t>Capacity</t>
        </is>
      </c>
      <c r="F5" s="218" t="inlineStr">
        <is>
          <t>RESOLVED</t>
        </is>
      </c>
      <c r="G5" s="218" t="n">
        <v>0</v>
      </c>
    </row>
    <row r="6">
      <c r="A6" s="351" t="n">
        <v>46294.375</v>
      </c>
      <c r="B6" s="218" t="inlineStr">
        <is>
          <t>MEDIUM</t>
        </is>
      </c>
      <c r="C6" s="218" t="inlineStr">
        <is>
          <t>Срыв слота встречи C-503 (ООО СнабСервис)</t>
        </is>
      </c>
      <c r="D6" s="418" t="n">
        <v>280000</v>
      </c>
      <c r="E6" s="218" t="inlineStr">
        <is>
          <t>NextStep 0</t>
        </is>
      </c>
      <c r="F6" s="218" t="inlineStr">
        <is>
          <t>OPEN</t>
        </is>
      </c>
      <c r="G6" s="218" t="n">
        <v>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FF383F49"/>
    <outlinePr summaryBelow="0" summaryRight="0"/>
    <pageSetUpPr/>
  </sheetPr>
  <dimension ref="A1:AC1000"/>
  <sheetViews>
    <sheetView workbookViewId="0">
      <selection activeCell="A1" sqref="A1"/>
    </sheetView>
  </sheetViews>
  <sheetFormatPr baseColWidth="8" defaultColWidth="12.63" defaultRowHeight="15.75" customHeight="1"/>
  <cols>
    <col width="16.38" customWidth="1" style="461" min="1" max="1"/>
    <col width="13.88" customWidth="1" style="461" min="2" max="2"/>
    <col width="16.38" customWidth="1" style="461" min="3" max="3"/>
    <col width="22.63" customWidth="1" style="461" min="4" max="4"/>
    <col width="20.13" customWidth="1" style="461" min="5" max="6"/>
    <col width="28.13" customWidth="1" style="461" min="7" max="7"/>
    <col width="14.5" customWidth="1" style="461" min="8" max="8"/>
    <col width="21.38" customWidth="1" style="461" min="26" max="26"/>
    <col width="16.38" customWidth="1" style="461" min="27" max="29"/>
  </cols>
  <sheetData>
    <row r="1" ht="19.5" customHeight="1" s="461">
      <c r="A1" s="215" t="inlineStr">
        <is>
          <t>payment_id</t>
        </is>
      </c>
      <c r="B1" s="215" t="inlineStr">
        <is>
          <t>deal_id</t>
        </is>
      </c>
      <c r="C1" s="215" t="inlineStr">
        <is>
          <t>client_id</t>
        </is>
      </c>
      <c r="D1" s="215" t="inlineStr">
        <is>
          <t>payment_date</t>
        </is>
      </c>
      <c r="E1" s="215" t="inlineStr">
        <is>
          <t>amount</t>
        </is>
      </c>
      <c r="F1" s="215" t="inlineStr">
        <is>
          <t>payment_type</t>
        </is>
      </c>
      <c r="G1" s="215" t="inlineStr">
        <is>
          <t>description</t>
        </is>
      </c>
      <c r="H1" s="215" t="inlineStr">
        <is>
          <t>synced_at</t>
        </is>
      </c>
      <c r="Z1" s="218" t="inlineStr">
        <is>
          <t>data_snapshot_date</t>
        </is>
      </c>
      <c r="AA1" s="218" t="inlineStr">
        <is>
          <t>data_version</t>
        </is>
      </c>
      <c r="AB1" s="218" t="inlineStr">
        <is>
          <t>uploaded_by</t>
        </is>
      </c>
      <c r="AC1" s="218" t="inlineStr">
        <is>
          <t>upload_hash</t>
        </is>
      </c>
    </row>
    <row r="2">
      <c r="A2" s="218" t="inlineStr">
        <is>
          <t>PAY-1001</t>
        </is>
      </c>
      <c r="B2" s="218" t="inlineStr">
        <is>
          <t>D-101</t>
        </is>
      </c>
      <c r="C2" s="218" t="inlineStr">
        <is>
          <t>ga_11</t>
        </is>
      </c>
      <c r="D2" s="354" t="n">
        <v>46277</v>
      </c>
      <c r="E2" s="346" t="n">
        <v>450000</v>
      </c>
      <c r="F2" s="218" t="inlineStr">
        <is>
          <t>initial</t>
        </is>
      </c>
      <c r="G2" s="218" t="inlineStr">
        <is>
          <t>Первичная оплата внедрения (M0)</t>
        </is>
      </c>
      <c r="H2" s="227" t="n">
        <v>46285.69356982639</v>
      </c>
    </row>
    <row r="3">
      <c r="A3" s="218" t="inlineStr">
        <is>
          <t>PAY-1002</t>
        </is>
      </c>
      <c r="B3" s="218" t="inlineStr">
        <is>
          <t>D-102</t>
        </is>
      </c>
      <c r="C3" s="218" t="inlineStr">
        <is>
          <t>ga_12</t>
        </is>
      </c>
      <c r="D3" s="354" t="n">
        <v>46281</v>
      </c>
      <c r="E3" s="346" t="n">
        <v>1200000</v>
      </c>
      <c r="F3" s="218" t="inlineStr">
        <is>
          <t>initial</t>
        </is>
      </c>
      <c r="G3" s="218" t="inlineStr">
        <is>
          <t>Контракт Enterprise Setup (M0)</t>
        </is>
      </c>
      <c r="H3" s="227" t="n">
        <v>46285.69356982639</v>
      </c>
    </row>
    <row r="4">
      <c r="A4" s="218" t="inlineStr">
        <is>
          <t>PAY-1003</t>
        </is>
      </c>
      <c r="B4" s="218" t="inlineStr">
        <is>
          <t>D-101</t>
        </is>
      </c>
      <c r="C4" s="218" t="inlineStr">
        <is>
          <t>ga_11</t>
        </is>
      </c>
      <c r="D4" s="354" t="n">
        <v>46307</v>
      </c>
      <c r="E4" s="346" t="n">
        <v>75000</v>
      </c>
      <c r="F4" s="218" t="inlineStr">
        <is>
          <t>retainer</t>
        </is>
      </c>
      <c r="G4" s="218" t="inlineStr">
        <is>
          <t>Ежемесячный RevOps-саппорт (M1)</t>
        </is>
      </c>
      <c r="H4" s="227" t="n">
        <v>46285.69356982639</v>
      </c>
    </row>
    <row r="5">
      <c r="A5" s="218" t="inlineStr">
        <is>
          <t>PAY-1004</t>
        </is>
      </c>
      <c r="B5" s="218" t="inlineStr">
        <is>
          <t>D-102</t>
        </is>
      </c>
      <c r="C5" s="218" t="inlineStr">
        <is>
          <t>ga_12</t>
        </is>
      </c>
      <c r="D5" s="354" t="n">
        <v>46311</v>
      </c>
      <c r="E5" s="346" t="n">
        <v>150000</v>
      </c>
      <c r="F5" s="218" t="inlineStr">
        <is>
          <t>retainer</t>
        </is>
      </c>
      <c r="G5" s="218" t="inlineStr">
        <is>
          <t>Техническая поддержка SLA (M1)</t>
        </is>
      </c>
      <c r="H5" s="227" t="n">
        <v>46285.69356982639</v>
      </c>
    </row>
    <row r="6">
      <c r="A6" s="218" t="inlineStr">
        <is>
          <t>PAY-1005</t>
        </is>
      </c>
      <c r="B6" s="218" t="inlineStr">
        <is>
          <t>D-101</t>
        </is>
      </c>
      <c r="C6" s="218" t="inlineStr">
        <is>
          <t>ga_11</t>
        </is>
      </c>
      <c r="D6" s="354" t="n">
        <v>46338</v>
      </c>
      <c r="E6" s="346" t="n">
        <v>95000</v>
      </c>
      <c r="F6" s="218" t="inlineStr">
        <is>
          <t>expansion</t>
        </is>
      </c>
      <c r="G6" s="218" t="inlineStr">
        <is>
          <t>Докупка лицензий телефонии (M2)</t>
        </is>
      </c>
      <c r="H6" s="227" t="n">
        <v>46285.69356982639</v>
      </c>
    </row>
    <row r="7">
      <c r="A7" s="218" t="inlineStr">
        <is>
          <t>PAY-1006</t>
        </is>
      </c>
      <c r="B7" s="218" t="inlineStr">
        <is>
          <t>D-102</t>
        </is>
      </c>
      <c r="C7" s="218" t="inlineStr">
        <is>
          <t>ga_12</t>
        </is>
      </c>
      <c r="D7" s="354" t="n">
        <v>46342</v>
      </c>
      <c r="E7" s="346" t="n">
        <v>150000</v>
      </c>
      <c r="F7" s="218" t="inlineStr">
        <is>
          <t>retainer</t>
        </is>
      </c>
      <c r="G7" s="218" t="inlineStr">
        <is>
          <t>Техническая поддержка SLA (M2)</t>
        </is>
      </c>
      <c r="H7" s="227" t="n">
        <v>46285.69356982639</v>
      </c>
    </row>
    <row r="8">
      <c r="D8" s="354" t="n"/>
      <c r="E8" s="346" t="n"/>
    </row>
    <row r="9">
      <c r="D9" s="354" t="n"/>
      <c r="E9" s="346" t="n"/>
    </row>
    <row r="10">
      <c r="D10" s="354" t="n"/>
      <c r="E10" s="346" t="n"/>
    </row>
    <row r="11">
      <c r="D11" s="354" t="n"/>
      <c r="E11" s="346" t="n"/>
    </row>
    <row r="12">
      <c r="D12" s="354" t="n"/>
      <c r="E12" s="346" t="n"/>
    </row>
    <row r="13">
      <c r="D13" s="354" t="n"/>
      <c r="E13" s="346" t="n"/>
    </row>
    <row r="14">
      <c r="D14" s="354" t="n"/>
      <c r="E14" s="346" t="n"/>
    </row>
    <row r="15">
      <c r="D15" s="354" t="n"/>
      <c r="E15" s="346" t="n"/>
    </row>
    <row r="16">
      <c r="D16" s="354" t="n"/>
      <c r="E16" s="346" t="n"/>
    </row>
    <row r="17">
      <c r="D17" s="354" t="n"/>
      <c r="E17" s="346" t="n"/>
    </row>
    <row r="18">
      <c r="D18" s="354" t="n"/>
      <c r="E18" s="346" t="n"/>
    </row>
    <row r="19">
      <c r="D19" s="354" t="n"/>
      <c r="E19" s="346" t="n"/>
    </row>
    <row r="20">
      <c r="D20" s="354" t="n"/>
      <c r="E20" s="346" t="n"/>
    </row>
    <row r="21">
      <c r="D21" s="354" t="n"/>
      <c r="E21" s="346" t="n"/>
    </row>
    <row r="22">
      <c r="D22" s="354" t="n"/>
      <c r="E22" s="346" t="n"/>
    </row>
    <row r="23">
      <c r="D23" s="354" t="n"/>
      <c r="E23" s="346" t="n"/>
    </row>
    <row r="24">
      <c r="D24" s="354" t="n"/>
      <c r="E24" s="346" t="n"/>
    </row>
    <row r="25">
      <c r="D25" s="354" t="n"/>
      <c r="E25" s="346" t="n"/>
    </row>
    <row r="26">
      <c r="D26" s="354" t="n"/>
      <c r="E26" s="346" t="n"/>
    </row>
    <row r="27">
      <c r="D27" s="354" t="n"/>
      <c r="E27" s="346" t="n"/>
    </row>
    <row r="28">
      <c r="D28" s="354" t="n"/>
      <c r="E28" s="346" t="n"/>
    </row>
    <row r="29">
      <c r="D29" s="354" t="n"/>
      <c r="E29" s="346" t="n"/>
    </row>
    <row r="30">
      <c r="D30" s="354" t="n"/>
      <c r="E30" s="346" t="n"/>
    </row>
    <row r="31">
      <c r="D31" s="354" t="n"/>
      <c r="E31" s="346" t="n"/>
    </row>
    <row r="32">
      <c r="D32" s="354" t="n"/>
      <c r="E32" s="346" t="n"/>
    </row>
    <row r="33">
      <c r="D33" s="354" t="n"/>
      <c r="E33" s="346" t="n"/>
    </row>
    <row r="34">
      <c r="D34" s="354" t="n"/>
      <c r="E34" s="346" t="n"/>
    </row>
    <row r="35">
      <c r="D35" s="354" t="n"/>
      <c r="E35" s="346" t="n"/>
    </row>
    <row r="36">
      <c r="D36" s="354" t="n"/>
      <c r="E36" s="346" t="n"/>
    </row>
    <row r="37">
      <c r="D37" s="354" t="n"/>
      <c r="E37" s="346" t="n"/>
    </row>
    <row r="38">
      <c r="D38" s="354" t="n"/>
      <c r="E38" s="346" t="n"/>
    </row>
    <row r="39">
      <c r="D39" s="354" t="n"/>
      <c r="E39" s="346" t="n"/>
    </row>
    <row r="40">
      <c r="D40" s="354" t="n"/>
      <c r="E40" s="346" t="n"/>
    </row>
    <row r="41">
      <c r="D41" s="354" t="n"/>
      <c r="E41" s="346" t="n"/>
    </row>
    <row r="42">
      <c r="D42" s="354" t="n"/>
      <c r="E42" s="346" t="n"/>
    </row>
    <row r="43">
      <c r="D43" s="354" t="n"/>
      <c r="E43" s="346" t="n"/>
    </row>
    <row r="44">
      <c r="D44" s="354" t="n"/>
      <c r="E44" s="346" t="n"/>
    </row>
    <row r="45">
      <c r="D45" s="354" t="n"/>
      <c r="E45" s="346" t="n"/>
    </row>
    <row r="46">
      <c r="D46" s="354" t="n"/>
      <c r="E46" s="346" t="n"/>
    </row>
    <row r="47">
      <c r="D47" s="354" t="n"/>
      <c r="E47" s="346" t="n"/>
    </row>
    <row r="48">
      <c r="D48" s="354" t="n"/>
      <c r="E48" s="346" t="n"/>
    </row>
    <row r="49">
      <c r="D49" s="354" t="n"/>
      <c r="E49" s="346" t="n"/>
    </row>
    <row r="50">
      <c r="D50" s="354" t="n"/>
      <c r="E50" s="346" t="n"/>
    </row>
    <row r="51">
      <c r="D51" s="354" t="n"/>
      <c r="E51" s="346" t="n"/>
    </row>
    <row r="52">
      <c r="D52" s="354" t="n"/>
      <c r="E52" s="346" t="n"/>
    </row>
    <row r="53">
      <c r="D53" s="354" t="n"/>
      <c r="E53" s="346" t="n"/>
    </row>
    <row r="54">
      <c r="D54" s="354" t="n"/>
      <c r="E54" s="346" t="n"/>
    </row>
    <row r="55">
      <c r="D55" s="354" t="n"/>
      <c r="E55" s="346" t="n"/>
    </row>
    <row r="56">
      <c r="D56" s="354" t="n"/>
      <c r="E56" s="346" t="n"/>
    </row>
    <row r="57">
      <c r="D57" s="354" t="n"/>
      <c r="E57" s="346" t="n"/>
    </row>
    <row r="58">
      <c r="D58" s="354" t="n"/>
      <c r="E58" s="346" t="n"/>
    </row>
    <row r="59">
      <c r="D59" s="354" t="n"/>
      <c r="E59" s="346" t="n"/>
    </row>
    <row r="60">
      <c r="D60" s="354" t="n"/>
      <c r="E60" s="346" t="n"/>
    </row>
    <row r="61">
      <c r="D61" s="354" t="n"/>
      <c r="E61" s="346" t="n"/>
    </row>
    <row r="62">
      <c r="D62" s="354" t="n"/>
      <c r="E62" s="346" t="n"/>
    </row>
    <row r="63">
      <c r="D63" s="354" t="n"/>
      <c r="E63" s="346" t="n"/>
    </row>
    <row r="64">
      <c r="D64" s="354" t="n"/>
      <c r="E64" s="346" t="n"/>
    </row>
    <row r="65">
      <c r="D65" s="354" t="n"/>
      <c r="E65" s="346" t="n"/>
    </row>
    <row r="66">
      <c r="D66" s="354" t="n"/>
      <c r="E66" s="346" t="n"/>
    </row>
    <row r="67">
      <c r="D67" s="354" t="n"/>
      <c r="E67" s="346" t="n"/>
    </row>
    <row r="68">
      <c r="D68" s="354" t="n"/>
      <c r="E68" s="346" t="n"/>
    </row>
    <row r="69">
      <c r="D69" s="354" t="n"/>
      <c r="E69" s="346" t="n"/>
    </row>
    <row r="70">
      <c r="D70" s="354" t="n"/>
      <c r="E70" s="346" t="n"/>
    </row>
    <row r="71">
      <c r="D71" s="354" t="n"/>
      <c r="E71" s="346" t="n"/>
    </row>
    <row r="72">
      <c r="D72" s="354" t="n"/>
      <c r="E72" s="346" t="n"/>
    </row>
    <row r="73">
      <c r="D73" s="354" t="n"/>
      <c r="E73" s="346" t="n"/>
    </row>
    <row r="74">
      <c r="D74" s="354" t="n"/>
      <c r="E74" s="346" t="n"/>
    </row>
    <row r="75">
      <c r="D75" s="354" t="n"/>
      <c r="E75" s="346" t="n"/>
    </row>
    <row r="76">
      <c r="D76" s="354" t="n"/>
      <c r="E76" s="346" t="n"/>
    </row>
    <row r="77">
      <c r="D77" s="354" t="n"/>
      <c r="E77" s="346" t="n"/>
    </row>
    <row r="78">
      <c r="D78" s="354" t="n"/>
      <c r="E78" s="346" t="n"/>
    </row>
    <row r="79">
      <c r="D79" s="354" t="n"/>
      <c r="E79" s="346" t="n"/>
    </row>
    <row r="80">
      <c r="D80" s="354" t="n"/>
      <c r="E80" s="346" t="n"/>
    </row>
    <row r="81">
      <c r="D81" s="354" t="n"/>
      <c r="E81" s="346" t="n"/>
    </row>
    <row r="82">
      <c r="D82" s="354" t="n"/>
      <c r="E82" s="346" t="n"/>
    </row>
    <row r="83">
      <c r="D83" s="354" t="n"/>
      <c r="E83" s="346" t="n"/>
    </row>
    <row r="84">
      <c r="D84" s="354" t="n"/>
      <c r="E84" s="346" t="n"/>
    </row>
    <row r="85">
      <c r="D85" s="354" t="n"/>
      <c r="E85" s="346" t="n"/>
    </row>
    <row r="86">
      <c r="D86" s="354" t="n"/>
      <c r="E86" s="346" t="n"/>
    </row>
    <row r="87">
      <c r="D87" s="354" t="n"/>
      <c r="E87" s="346" t="n"/>
    </row>
    <row r="88">
      <c r="D88" s="354" t="n"/>
      <c r="E88" s="346" t="n"/>
    </row>
    <row r="89">
      <c r="D89" s="354" t="n"/>
      <c r="E89" s="346" t="n"/>
    </row>
    <row r="90">
      <c r="D90" s="354" t="n"/>
      <c r="E90" s="346" t="n"/>
    </row>
    <row r="91">
      <c r="D91" s="354" t="n"/>
      <c r="E91" s="346" t="n"/>
    </row>
    <row r="92">
      <c r="D92" s="354" t="n"/>
      <c r="E92" s="346" t="n"/>
    </row>
    <row r="93">
      <c r="D93" s="354" t="n"/>
      <c r="E93" s="346" t="n"/>
    </row>
    <row r="94">
      <c r="D94" s="354" t="n"/>
      <c r="E94" s="346" t="n"/>
    </row>
    <row r="95">
      <c r="D95" s="354" t="n"/>
      <c r="E95" s="346" t="n"/>
    </row>
    <row r="96">
      <c r="D96" s="354" t="n"/>
      <c r="E96" s="346" t="n"/>
    </row>
    <row r="97">
      <c r="D97" s="354" t="n"/>
      <c r="E97" s="346" t="n"/>
    </row>
    <row r="98">
      <c r="D98" s="354" t="n"/>
      <c r="E98" s="346" t="n"/>
    </row>
    <row r="99">
      <c r="D99" s="354" t="n"/>
      <c r="E99" s="346" t="n"/>
    </row>
    <row r="100">
      <c r="D100" s="354" t="n"/>
      <c r="E100" s="346" t="n"/>
    </row>
    <row r="101">
      <c r="D101" s="354" t="n"/>
      <c r="E101" s="346" t="n"/>
    </row>
    <row r="102">
      <c r="D102" s="354" t="n"/>
      <c r="E102" s="346" t="n"/>
    </row>
    <row r="103">
      <c r="D103" s="354" t="n"/>
      <c r="E103" s="346" t="n"/>
    </row>
    <row r="104">
      <c r="D104" s="354" t="n"/>
      <c r="E104" s="346" t="n"/>
    </row>
    <row r="105">
      <c r="D105" s="354" t="n"/>
      <c r="E105" s="346" t="n"/>
    </row>
    <row r="106">
      <c r="D106" s="354" t="n"/>
      <c r="E106" s="346" t="n"/>
    </row>
    <row r="107">
      <c r="D107" s="354" t="n"/>
      <c r="E107" s="346" t="n"/>
    </row>
    <row r="108">
      <c r="D108" s="354" t="n"/>
      <c r="E108" s="346" t="n"/>
    </row>
    <row r="109">
      <c r="D109" s="354" t="n"/>
      <c r="E109" s="346" t="n"/>
    </row>
    <row r="110">
      <c r="D110" s="354" t="n"/>
      <c r="E110" s="346" t="n"/>
    </row>
    <row r="111">
      <c r="D111" s="354" t="n"/>
      <c r="E111" s="346" t="n"/>
    </row>
    <row r="112">
      <c r="D112" s="354" t="n"/>
      <c r="E112" s="346" t="n"/>
    </row>
    <row r="113">
      <c r="D113" s="354" t="n"/>
      <c r="E113" s="346" t="n"/>
    </row>
    <row r="114">
      <c r="D114" s="354" t="n"/>
      <c r="E114" s="346" t="n"/>
    </row>
    <row r="115">
      <c r="D115" s="354" t="n"/>
      <c r="E115" s="346" t="n"/>
    </row>
    <row r="116">
      <c r="D116" s="354" t="n"/>
      <c r="E116" s="346" t="n"/>
    </row>
    <row r="117">
      <c r="D117" s="354" t="n"/>
      <c r="E117" s="346" t="n"/>
    </row>
    <row r="118">
      <c r="D118" s="354" t="n"/>
      <c r="E118" s="346" t="n"/>
    </row>
    <row r="119">
      <c r="D119" s="354" t="n"/>
      <c r="E119" s="346" t="n"/>
    </row>
    <row r="120">
      <c r="D120" s="354" t="n"/>
      <c r="E120" s="346" t="n"/>
    </row>
    <row r="121">
      <c r="D121" s="354" t="n"/>
      <c r="E121" s="346" t="n"/>
    </row>
    <row r="122">
      <c r="D122" s="354" t="n"/>
      <c r="E122" s="346" t="n"/>
    </row>
    <row r="123">
      <c r="D123" s="354" t="n"/>
      <c r="E123" s="346" t="n"/>
    </row>
    <row r="124">
      <c r="D124" s="354" t="n"/>
      <c r="E124" s="346" t="n"/>
    </row>
    <row r="125">
      <c r="D125" s="354" t="n"/>
      <c r="E125" s="346" t="n"/>
    </row>
    <row r="126">
      <c r="D126" s="354" t="n"/>
      <c r="E126" s="346" t="n"/>
    </row>
    <row r="127">
      <c r="D127" s="354" t="n"/>
      <c r="E127" s="346" t="n"/>
    </row>
    <row r="128">
      <c r="D128" s="354" t="n"/>
      <c r="E128" s="346" t="n"/>
    </row>
    <row r="129">
      <c r="D129" s="354" t="n"/>
      <c r="E129" s="346" t="n"/>
    </row>
    <row r="130">
      <c r="D130" s="354" t="n"/>
      <c r="E130" s="346" t="n"/>
    </row>
    <row r="131">
      <c r="D131" s="354" t="n"/>
      <c r="E131" s="346" t="n"/>
    </row>
    <row r="132">
      <c r="D132" s="354" t="n"/>
      <c r="E132" s="346" t="n"/>
    </row>
    <row r="133">
      <c r="D133" s="354" t="n"/>
      <c r="E133" s="346" t="n"/>
    </row>
    <row r="134">
      <c r="D134" s="354" t="n"/>
      <c r="E134" s="346" t="n"/>
    </row>
    <row r="135">
      <c r="D135" s="354" t="n"/>
      <c r="E135" s="346" t="n"/>
    </row>
    <row r="136">
      <c r="D136" s="354" t="n"/>
      <c r="E136" s="346" t="n"/>
    </row>
    <row r="137">
      <c r="D137" s="354" t="n"/>
      <c r="E137" s="346" t="n"/>
    </row>
    <row r="138">
      <c r="D138" s="354" t="n"/>
      <c r="E138" s="346" t="n"/>
    </row>
    <row r="139">
      <c r="D139" s="354" t="n"/>
      <c r="E139" s="346" t="n"/>
    </row>
    <row r="140">
      <c r="D140" s="354" t="n"/>
      <c r="E140" s="346" t="n"/>
    </row>
    <row r="141">
      <c r="D141" s="354" t="n"/>
      <c r="E141" s="346" t="n"/>
    </row>
    <row r="142">
      <c r="D142" s="354" t="n"/>
      <c r="E142" s="346" t="n"/>
    </row>
    <row r="143">
      <c r="D143" s="354" t="n"/>
      <c r="E143" s="346" t="n"/>
    </row>
    <row r="144">
      <c r="D144" s="354" t="n"/>
      <c r="E144" s="346" t="n"/>
    </row>
    <row r="145">
      <c r="D145" s="354" t="n"/>
      <c r="E145" s="346" t="n"/>
    </row>
    <row r="146">
      <c r="D146" s="354" t="n"/>
      <c r="E146" s="346" t="n"/>
    </row>
    <row r="147">
      <c r="D147" s="354" t="n"/>
      <c r="E147" s="346" t="n"/>
    </row>
    <row r="148">
      <c r="D148" s="354" t="n"/>
      <c r="E148" s="346" t="n"/>
    </row>
    <row r="149">
      <c r="D149" s="354" t="n"/>
      <c r="E149" s="346" t="n"/>
    </row>
    <row r="150">
      <c r="D150" s="354" t="n"/>
      <c r="E150" s="346" t="n"/>
    </row>
    <row r="151">
      <c r="D151" s="354" t="n"/>
      <c r="E151" s="346" t="n"/>
    </row>
    <row r="152">
      <c r="D152" s="354" t="n"/>
      <c r="E152" s="346" t="n"/>
    </row>
    <row r="153">
      <c r="D153" s="354" t="n"/>
      <c r="E153" s="346" t="n"/>
    </row>
    <row r="154">
      <c r="D154" s="354" t="n"/>
      <c r="E154" s="346" t="n"/>
    </row>
    <row r="155">
      <c r="D155" s="354" t="n"/>
      <c r="E155" s="346" t="n"/>
    </row>
    <row r="156">
      <c r="D156" s="354" t="n"/>
      <c r="E156" s="346" t="n"/>
    </row>
    <row r="157">
      <c r="D157" s="354" t="n"/>
      <c r="E157" s="346" t="n"/>
    </row>
    <row r="158">
      <c r="D158" s="354" t="n"/>
      <c r="E158" s="346" t="n"/>
    </row>
    <row r="159">
      <c r="D159" s="354" t="n"/>
      <c r="E159" s="346" t="n"/>
    </row>
    <row r="160">
      <c r="D160" s="354" t="n"/>
      <c r="E160" s="346" t="n"/>
    </row>
    <row r="161">
      <c r="D161" s="354" t="n"/>
      <c r="E161" s="346" t="n"/>
    </row>
    <row r="162">
      <c r="D162" s="354" t="n"/>
      <c r="E162" s="346" t="n"/>
    </row>
    <row r="163">
      <c r="D163" s="354" t="n"/>
      <c r="E163" s="346" t="n"/>
    </row>
    <row r="164">
      <c r="D164" s="354" t="n"/>
      <c r="E164" s="346" t="n"/>
    </row>
    <row r="165">
      <c r="D165" s="354" t="n"/>
      <c r="E165" s="346" t="n"/>
    </row>
    <row r="166">
      <c r="D166" s="354" t="n"/>
      <c r="E166" s="346" t="n"/>
    </row>
    <row r="167">
      <c r="D167" s="354" t="n"/>
      <c r="E167" s="346" t="n"/>
    </row>
    <row r="168">
      <c r="D168" s="354" t="n"/>
      <c r="E168" s="346" t="n"/>
    </row>
    <row r="169">
      <c r="D169" s="354" t="n"/>
      <c r="E169" s="346" t="n"/>
    </row>
    <row r="170">
      <c r="D170" s="354" t="n"/>
      <c r="E170" s="346" t="n"/>
    </row>
    <row r="171">
      <c r="D171" s="354" t="n"/>
      <c r="E171" s="346" t="n"/>
    </row>
    <row r="172">
      <c r="D172" s="354" t="n"/>
      <c r="E172" s="346" t="n"/>
    </row>
    <row r="173">
      <c r="D173" s="354" t="n"/>
      <c r="E173" s="346" t="n"/>
    </row>
    <row r="174">
      <c r="D174" s="354" t="n"/>
      <c r="E174" s="346" t="n"/>
    </row>
    <row r="175">
      <c r="D175" s="354" t="n"/>
      <c r="E175" s="346" t="n"/>
    </row>
    <row r="176">
      <c r="D176" s="354" t="n"/>
      <c r="E176" s="346" t="n"/>
    </row>
    <row r="177">
      <c r="D177" s="354" t="n"/>
      <c r="E177" s="346" t="n"/>
    </row>
    <row r="178">
      <c r="D178" s="354" t="n"/>
      <c r="E178" s="346" t="n"/>
    </row>
    <row r="179">
      <c r="D179" s="354" t="n"/>
      <c r="E179" s="346" t="n"/>
    </row>
    <row r="180">
      <c r="D180" s="354" t="n"/>
      <c r="E180" s="346" t="n"/>
    </row>
    <row r="181">
      <c r="D181" s="354" t="n"/>
      <c r="E181" s="346" t="n"/>
    </row>
    <row r="182">
      <c r="D182" s="354" t="n"/>
      <c r="E182" s="346" t="n"/>
    </row>
    <row r="183">
      <c r="D183" s="354" t="n"/>
      <c r="E183" s="346" t="n"/>
    </row>
    <row r="184">
      <c r="D184" s="354" t="n"/>
      <c r="E184" s="346" t="n"/>
    </row>
    <row r="185">
      <c r="D185" s="354" t="n"/>
      <c r="E185" s="346" t="n"/>
    </row>
    <row r="186">
      <c r="D186" s="354" t="n"/>
      <c r="E186" s="346" t="n"/>
    </row>
    <row r="187">
      <c r="D187" s="354" t="n"/>
      <c r="E187" s="346" t="n"/>
    </row>
    <row r="188">
      <c r="D188" s="354" t="n"/>
      <c r="E188" s="346" t="n"/>
    </row>
    <row r="189">
      <c r="D189" s="354" t="n"/>
      <c r="E189" s="346" t="n"/>
    </row>
    <row r="190">
      <c r="D190" s="354" t="n"/>
      <c r="E190" s="346" t="n"/>
    </row>
    <row r="191">
      <c r="D191" s="354" t="n"/>
      <c r="E191" s="346" t="n"/>
    </row>
    <row r="192">
      <c r="D192" s="354" t="n"/>
      <c r="E192" s="346" t="n"/>
    </row>
    <row r="193">
      <c r="D193" s="354" t="n"/>
      <c r="E193" s="346" t="n"/>
    </row>
    <row r="194">
      <c r="D194" s="354" t="n"/>
      <c r="E194" s="346" t="n"/>
    </row>
    <row r="195">
      <c r="D195" s="354" t="n"/>
      <c r="E195" s="346" t="n"/>
    </row>
    <row r="196">
      <c r="D196" s="354" t="n"/>
      <c r="E196" s="346" t="n"/>
    </row>
    <row r="197">
      <c r="D197" s="354" t="n"/>
      <c r="E197" s="346" t="n"/>
    </row>
    <row r="198">
      <c r="D198" s="354" t="n"/>
      <c r="E198" s="346" t="n"/>
    </row>
    <row r="199">
      <c r="D199" s="354" t="n"/>
      <c r="E199" s="346" t="n"/>
    </row>
    <row r="200">
      <c r="D200" s="354" t="n"/>
      <c r="E200" s="346" t="n"/>
    </row>
    <row r="201">
      <c r="D201" s="354" t="n"/>
      <c r="E201" s="346" t="n"/>
    </row>
    <row r="202">
      <c r="D202" s="354" t="n"/>
      <c r="E202" s="346" t="n"/>
    </row>
    <row r="203">
      <c r="D203" s="354" t="n"/>
      <c r="E203" s="346" t="n"/>
    </row>
    <row r="204">
      <c r="D204" s="354" t="n"/>
      <c r="E204" s="346" t="n"/>
    </row>
    <row r="205">
      <c r="D205" s="354" t="n"/>
      <c r="E205" s="346" t="n"/>
    </row>
    <row r="206">
      <c r="D206" s="354" t="n"/>
      <c r="E206" s="346" t="n"/>
    </row>
    <row r="207">
      <c r="D207" s="354" t="n"/>
      <c r="E207" s="346" t="n"/>
    </row>
    <row r="208">
      <c r="D208" s="354" t="n"/>
      <c r="E208" s="346" t="n"/>
    </row>
    <row r="209">
      <c r="D209" s="354" t="n"/>
      <c r="E209" s="346" t="n"/>
    </row>
    <row r="210">
      <c r="D210" s="354" t="n"/>
      <c r="E210" s="346" t="n"/>
    </row>
    <row r="211">
      <c r="D211" s="354" t="n"/>
      <c r="E211" s="346" t="n"/>
    </row>
    <row r="212">
      <c r="D212" s="354" t="n"/>
      <c r="E212" s="346" t="n"/>
    </row>
    <row r="213">
      <c r="D213" s="354" t="n"/>
      <c r="E213" s="346" t="n"/>
    </row>
    <row r="214">
      <c r="D214" s="354" t="n"/>
      <c r="E214" s="346" t="n"/>
    </row>
    <row r="215">
      <c r="D215" s="354" t="n"/>
      <c r="E215" s="346" t="n"/>
    </row>
    <row r="216">
      <c r="D216" s="354" t="n"/>
      <c r="E216" s="346" t="n"/>
    </row>
    <row r="217">
      <c r="D217" s="354" t="n"/>
      <c r="E217" s="346" t="n"/>
    </row>
    <row r="218">
      <c r="D218" s="354" t="n"/>
      <c r="E218" s="346" t="n"/>
    </row>
    <row r="219">
      <c r="D219" s="354" t="n"/>
      <c r="E219" s="346" t="n"/>
    </row>
    <row r="220">
      <c r="D220" s="354" t="n"/>
      <c r="E220" s="346" t="n"/>
    </row>
    <row r="221">
      <c r="D221" s="354" t="n"/>
      <c r="E221" s="346" t="n"/>
    </row>
    <row r="222">
      <c r="D222" s="354" t="n"/>
      <c r="E222" s="346" t="n"/>
    </row>
    <row r="223">
      <c r="D223" s="354" t="n"/>
      <c r="E223" s="346" t="n"/>
    </row>
    <row r="224">
      <c r="D224" s="354" t="n"/>
      <c r="E224" s="346" t="n"/>
    </row>
    <row r="225">
      <c r="D225" s="354" t="n"/>
      <c r="E225" s="346" t="n"/>
    </row>
    <row r="226">
      <c r="D226" s="354" t="n"/>
      <c r="E226" s="346" t="n"/>
    </row>
    <row r="227">
      <c r="D227" s="354" t="n"/>
      <c r="E227" s="346" t="n"/>
    </row>
    <row r="228">
      <c r="D228" s="354" t="n"/>
      <c r="E228" s="346" t="n"/>
    </row>
    <row r="229">
      <c r="D229" s="354" t="n"/>
      <c r="E229" s="346" t="n"/>
    </row>
    <row r="230">
      <c r="D230" s="354" t="n"/>
      <c r="E230" s="346" t="n"/>
    </row>
    <row r="231">
      <c r="D231" s="354" t="n"/>
      <c r="E231" s="346" t="n"/>
    </row>
    <row r="232">
      <c r="D232" s="354" t="n"/>
      <c r="E232" s="346" t="n"/>
    </row>
    <row r="233">
      <c r="D233" s="354" t="n"/>
      <c r="E233" s="346" t="n"/>
    </row>
    <row r="234">
      <c r="D234" s="354" t="n"/>
      <c r="E234" s="346" t="n"/>
    </row>
    <row r="235">
      <c r="D235" s="354" t="n"/>
      <c r="E235" s="346" t="n"/>
    </row>
    <row r="236">
      <c r="D236" s="354" t="n"/>
      <c r="E236" s="346" t="n"/>
    </row>
    <row r="237">
      <c r="D237" s="354" t="n"/>
      <c r="E237" s="346" t="n"/>
    </row>
    <row r="238">
      <c r="D238" s="354" t="n"/>
      <c r="E238" s="346" t="n"/>
    </row>
    <row r="239">
      <c r="D239" s="354" t="n"/>
      <c r="E239" s="346" t="n"/>
    </row>
    <row r="240">
      <c r="D240" s="354" t="n"/>
      <c r="E240" s="346" t="n"/>
    </row>
    <row r="241">
      <c r="D241" s="354" t="n"/>
      <c r="E241" s="346" t="n"/>
    </row>
    <row r="242">
      <c r="D242" s="354" t="n"/>
      <c r="E242" s="346" t="n"/>
    </row>
    <row r="243">
      <c r="D243" s="354" t="n"/>
      <c r="E243" s="346" t="n"/>
    </row>
    <row r="244">
      <c r="D244" s="354" t="n"/>
      <c r="E244" s="346" t="n"/>
    </row>
    <row r="245">
      <c r="D245" s="354" t="n"/>
      <c r="E245" s="346" t="n"/>
    </row>
    <row r="246">
      <c r="D246" s="354" t="n"/>
      <c r="E246" s="346" t="n"/>
    </row>
    <row r="247">
      <c r="D247" s="354" t="n"/>
      <c r="E247" s="346" t="n"/>
    </row>
    <row r="248">
      <c r="D248" s="354" t="n"/>
      <c r="E248" s="346" t="n"/>
    </row>
    <row r="249">
      <c r="D249" s="354" t="n"/>
      <c r="E249" s="346" t="n"/>
    </row>
    <row r="250">
      <c r="D250" s="354" t="n"/>
      <c r="E250" s="346" t="n"/>
    </row>
    <row r="251">
      <c r="D251" s="354" t="n"/>
      <c r="E251" s="346" t="n"/>
    </row>
    <row r="252">
      <c r="D252" s="354" t="n"/>
      <c r="E252" s="346" t="n"/>
    </row>
    <row r="253">
      <c r="D253" s="354" t="n"/>
      <c r="E253" s="346" t="n"/>
    </row>
    <row r="254">
      <c r="D254" s="354" t="n"/>
      <c r="E254" s="346" t="n"/>
    </row>
    <row r="255">
      <c r="D255" s="354" t="n"/>
      <c r="E255" s="346" t="n"/>
    </row>
    <row r="256">
      <c r="D256" s="354" t="n"/>
      <c r="E256" s="346" t="n"/>
    </row>
    <row r="257">
      <c r="D257" s="354" t="n"/>
      <c r="E257" s="346" t="n"/>
    </row>
    <row r="258">
      <c r="D258" s="354" t="n"/>
      <c r="E258" s="346" t="n"/>
    </row>
    <row r="259">
      <c r="D259" s="354" t="n"/>
      <c r="E259" s="346" t="n"/>
    </row>
    <row r="260">
      <c r="D260" s="354" t="n"/>
      <c r="E260" s="346" t="n"/>
    </row>
    <row r="261">
      <c r="D261" s="354" t="n"/>
      <c r="E261" s="346" t="n"/>
    </row>
    <row r="262">
      <c r="D262" s="354" t="n"/>
      <c r="E262" s="346" t="n"/>
    </row>
    <row r="263">
      <c r="D263" s="354" t="n"/>
      <c r="E263" s="346" t="n"/>
    </row>
    <row r="264">
      <c r="D264" s="354" t="n"/>
      <c r="E264" s="346" t="n"/>
    </row>
    <row r="265">
      <c r="D265" s="354" t="n"/>
      <c r="E265" s="346" t="n"/>
    </row>
    <row r="266">
      <c r="D266" s="354" t="n"/>
      <c r="E266" s="346" t="n"/>
    </row>
    <row r="267">
      <c r="D267" s="354" t="n"/>
      <c r="E267" s="346" t="n"/>
    </row>
    <row r="268">
      <c r="D268" s="354" t="n"/>
      <c r="E268" s="346" t="n"/>
    </row>
    <row r="269">
      <c r="D269" s="354" t="n"/>
      <c r="E269" s="346" t="n"/>
    </row>
    <row r="270">
      <c r="D270" s="354" t="n"/>
      <c r="E270" s="346" t="n"/>
    </row>
    <row r="271">
      <c r="D271" s="354" t="n"/>
      <c r="E271" s="346" t="n"/>
    </row>
    <row r="272">
      <c r="D272" s="354" t="n"/>
      <c r="E272" s="346" t="n"/>
    </row>
    <row r="273">
      <c r="D273" s="354" t="n"/>
      <c r="E273" s="346" t="n"/>
    </row>
    <row r="274">
      <c r="D274" s="354" t="n"/>
      <c r="E274" s="346" t="n"/>
    </row>
    <row r="275">
      <c r="D275" s="354" t="n"/>
      <c r="E275" s="346" t="n"/>
    </row>
    <row r="276">
      <c r="D276" s="354" t="n"/>
      <c r="E276" s="346" t="n"/>
    </row>
    <row r="277">
      <c r="D277" s="354" t="n"/>
      <c r="E277" s="346" t="n"/>
    </row>
    <row r="278">
      <c r="D278" s="354" t="n"/>
      <c r="E278" s="346" t="n"/>
    </row>
    <row r="279">
      <c r="D279" s="354" t="n"/>
      <c r="E279" s="346" t="n"/>
    </row>
    <row r="280">
      <c r="D280" s="354" t="n"/>
      <c r="E280" s="346" t="n"/>
    </row>
    <row r="281">
      <c r="D281" s="354" t="n"/>
      <c r="E281" s="346" t="n"/>
    </row>
    <row r="282">
      <c r="D282" s="354" t="n"/>
      <c r="E282" s="346" t="n"/>
    </row>
    <row r="283">
      <c r="D283" s="354" t="n"/>
      <c r="E283" s="346" t="n"/>
    </row>
    <row r="284">
      <c r="D284" s="354" t="n"/>
      <c r="E284" s="346" t="n"/>
    </row>
    <row r="285">
      <c r="D285" s="354" t="n"/>
      <c r="E285" s="346" t="n"/>
    </row>
    <row r="286">
      <c r="D286" s="354" t="n"/>
      <c r="E286" s="346" t="n"/>
    </row>
    <row r="287">
      <c r="D287" s="354" t="n"/>
      <c r="E287" s="346" t="n"/>
    </row>
    <row r="288">
      <c r="D288" s="354" t="n"/>
      <c r="E288" s="346" t="n"/>
    </row>
    <row r="289">
      <c r="D289" s="354" t="n"/>
      <c r="E289" s="346" t="n"/>
    </row>
    <row r="290">
      <c r="D290" s="354" t="n"/>
      <c r="E290" s="346" t="n"/>
    </row>
    <row r="291">
      <c r="D291" s="354" t="n"/>
      <c r="E291" s="346" t="n"/>
    </row>
    <row r="292">
      <c r="D292" s="354" t="n"/>
      <c r="E292" s="346" t="n"/>
    </row>
    <row r="293">
      <c r="D293" s="354" t="n"/>
      <c r="E293" s="346" t="n"/>
    </row>
    <row r="294">
      <c r="D294" s="354" t="n"/>
      <c r="E294" s="346" t="n"/>
    </row>
    <row r="295">
      <c r="D295" s="354" t="n"/>
      <c r="E295" s="346" t="n"/>
    </row>
    <row r="296">
      <c r="D296" s="354" t="n"/>
      <c r="E296" s="346" t="n"/>
    </row>
    <row r="297">
      <c r="D297" s="354" t="n"/>
      <c r="E297" s="346" t="n"/>
    </row>
    <row r="298">
      <c r="D298" s="354" t="n"/>
      <c r="E298" s="346" t="n"/>
    </row>
    <row r="299">
      <c r="D299" s="354" t="n"/>
      <c r="E299" s="346" t="n"/>
    </row>
    <row r="300">
      <c r="D300" s="354" t="n"/>
      <c r="E300" s="346" t="n"/>
    </row>
    <row r="301">
      <c r="D301" s="354" t="n"/>
      <c r="E301" s="346" t="n"/>
    </row>
    <row r="302">
      <c r="D302" s="354" t="n"/>
      <c r="E302" s="346" t="n"/>
    </row>
    <row r="303">
      <c r="D303" s="354" t="n"/>
      <c r="E303" s="346" t="n"/>
    </row>
    <row r="304">
      <c r="D304" s="354" t="n"/>
      <c r="E304" s="346" t="n"/>
    </row>
    <row r="305">
      <c r="D305" s="354" t="n"/>
      <c r="E305" s="346" t="n"/>
    </row>
    <row r="306">
      <c r="D306" s="354" t="n"/>
      <c r="E306" s="346" t="n"/>
    </row>
    <row r="307">
      <c r="D307" s="354" t="n"/>
      <c r="E307" s="346" t="n"/>
    </row>
    <row r="308">
      <c r="D308" s="354" t="n"/>
      <c r="E308" s="346" t="n"/>
    </row>
    <row r="309">
      <c r="D309" s="354" t="n"/>
      <c r="E309" s="346" t="n"/>
    </row>
    <row r="310">
      <c r="D310" s="354" t="n"/>
      <c r="E310" s="346" t="n"/>
    </row>
    <row r="311">
      <c r="D311" s="354" t="n"/>
      <c r="E311" s="346" t="n"/>
    </row>
    <row r="312">
      <c r="D312" s="354" t="n"/>
      <c r="E312" s="346" t="n"/>
    </row>
    <row r="313">
      <c r="D313" s="354" t="n"/>
      <c r="E313" s="346" t="n"/>
    </row>
    <row r="314">
      <c r="D314" s="354" t="n"/>
      <c r="E314" s="346" t="n"/>
    </row>
    <row r="315">
      <c r="D315" s="354" t="n"/>
      <c r="E315" s="346" t="n"/>
    </row>
    <row r="316">
      <c r="D316" s="354" t="n"/>
      <c r="E316" s="346" t="n"/>
    </row>
    <row r="317">
      <c r="D317" s="354" t="n"/>
      <c r="E317" s="346" t="n"/>
    </row>
    <row r="318">
      <c r="D318" s="354" t="n"/>
      <c r="E318" s="346" t="n"/>
    </row>
    <row r="319">
      <c r="D319" s="354" t="n"/>
      <c r="E319" s="346" t="n"/>
    </row>
    <row r="320">
      <c r="D320" s="354" t="n"/>
      <c r="E320" s="346" t="n"/>
    </row>
    <row r="321">
      <c r="D321" s="354" t="n"/>
      <c r="E321" s="346" t="n"/>
    </row>
    <row r="322">
      <c r="D322" s="354" t="n"/>
      <c r="E322" s="346" t="n"/>
    </row>
    <row r="323">
      <c r="D323" s="354" t="n"/>
      <c r="E323" s="346" t="n"/>
    </row>
    <row r="324">
      <c r="D324" s="354" t="n"/>
      <c r="E324" s="346" t="n"/>
    </row>
    <row r="325">
      <c r="D325" s="354" t="n"/>
      <c r="E325" s="346" t="n"/>
    </row>
    <row r="326">
      <c r="D326" s="354" t="n"/>
      <c r="E326" s="346" t="n"/>
    </row>
    <row r="327">
      <c r="D327" s="354" t="n"/>
      <c r="E327" s="346" t="n"/>
    </row>
    <row r="328">
      <c r="D328" s="354" t="n"/>
      <c r="E328" s="346" t="n"/>
    </row>
    <row r="329">
      <c r="D329" s="354" t="n"/>
      <c r="E329" s="346" t="n"/>
    </row>
    <row r="330">
      <c r="D330" s="354" t="n"/>
      <c r="E330" s="346" t="n"/>
    </row>
    <row r="331">
      <c r="D331" s="354" t="n"/>
      <c r="E331" s="346" t="n"/>
    </row>
    <row r="332">
      <c r="D332" s="354" t="n"/>
      <c r="E332" s="346" t="n"/>
    </row>
    <row r="333">
      <c r="D333" s="354" t="n"/>
      <c r="E333" s="346" t="n"/>
    </row>
    <row r="334">
      <c r="D334" s="354" t="n"/>
      <c r="E334" s="346" t="n"/>
    </row>
    <row r="335">
      <c r="D335" s="354" t="n"/>
      <c r="E335" s="346" t="n"/>
    </row>
    <row r="336">
      <c r="D336" s="354" t="n"/>
      <c r="E336" s="346" t="n"/>
    </row>
    <row r="337">
      <c r="D337" s="354" t="n"/>
      <c r="E337" s="346" t="n"/>
    </row>
    <row r="338">
      <c r="D338" s="354" t="n"/>
      <c r="E338" s="346" t="n"/>
    </row>
    <row r="339">
      <c r="D339" s="354" t="n"/>
      <c r="E339" s="346" t="n"/>
    </row>
    <row r="340">
      <c r="D340" s="354" t="n"/>
      <c r="E340" s="346" t="n"/>
    </row>
    <row r="341">
      <c r="D341" s="354" t="n"/>
      <c r="E341" s="346" t="n"/>
    </row>
    <row r="342">
      <c r="D342" s="354" t="n"/>
      <c r="E342" s="346" t="n"/>
    </row>
    <row r="343">
      <c r="D343" s="354" t="n"/>
      <c r="E343" s="346" t="n"/>
    </row>
    <row r="344">
      <c r="D344" s="354" t="n"/>
      <c r="E344" s="346" t="n"/>
    </row>
    <row r="345">
      <c r="D345" s="354" t="n"/>
      <c r="E345" s="346" t="n"/>
    </row>
    <row r="346">
      <c r="D346" s="354" t="n"/>
      <c r="E346" s="346" t="n"/>
    </row>
    <row r="347">
      <c r="D347" s="354" t="n"/>
      <c r="E347" s="346" t="n"/>
    </row>
    <row r="348">
      <c r="D348" s="354" t="n"/>
      <c r="E348" s="346" t="n"/>
    </row>
    <row r="349">
      <c r="D349" s="354" t="n"/>
      <c r="E349" s="346" t="n"/>
    </row>
    <row r="350">
      <c r="D350" s="354" t="n"/>
      <c r="E350" s="346" t="n"/>
    </row>
    <row r="351">
      <c r="D351" s="354" t="n"/>
      <c r="E351" s="346" t="n"/>
    </row>
    <row r="352">
      <c r="D352" s="354" t="n"/>
      <c r="E352" s="346" t="n"/>
    </row>
    <row r="353">
      <c r="D353" s="354" t="n"/>
      <c r="E353" s="346" t="n"/>
    </row>
    <row r="354">
      <c r="D354" s="354" t="n"/>
      <c r="E354" s="346" t="n"/>
    </row>
    <row r="355">
      <c r="D355" s="354" t="n"/>
      <c r="E355" s="346" t="n"/>
    </row>
    <row r="356">
      <c r="D356" s="354" t="n"/>
      <c r="E356" s="346" t="n"/>
    </row>
    <row r="357">
      <c r="D357" s="354" t="n"/>
      <c r="E357" s="346" t="n"/>
    </row>
    <row r="358">
      <c r="D358" s="354" t="n"/>
      <c r="E358" s="346" t="n"/>
    </row>
    <row r="359">
      <c r="D359" s="354" t="n"/>
      <c r="E359" s="346" t="n"/>
    </row>
    <row r="360">
      <c r="D360" s="354" t="n"/>
      <c r="E360" s="346" t="n"/>
    </row>
    <row r="361">
      <c r="D361" s="354" t="n"/>
      <c r="E361" s="346" t="n"/>
    </row>
    <row r="362">
      <c r="D362" s="354" t="n"/>
      <c r="E362" s="346" t="n"/>
    </row>
    <row r="363">
      <c r="D363" s="354" t="n"/>
      <c r="E363" s="346" t="n"/>
    </row>
    <row r="364">
      <c r="D364" s="354" t="n"/>
      <c r="E364" s="346" t="n"/>
    </row>
    <row r="365">
      <c r="D365" s="354" t="n"/>
      <c r="E365" s="346" t="n"/>
    </row>
    <row r="366">
      <c r="D366" s="354" t="n"/>
      <c r="E366" s="346" t="n"/>
    </row>
    <row r="367">
      <c r="D367" s="354" t="n"/>
      <c r="E367" s="346" t="n"/>
    </row>
    <row r="368">
      <c r="D368" s="354" t="n"/>
      <c r="E368" s="346" t="n"/>
    </row>
    <row r="369">
      <c r="D369" s="354" t="n"/>
      <c r="E369" s="346" t="n"/>
    </row>
    <row r="370">
      <c r="D370" s="354" t="n"/>
      <c r="E370" s="346" t="n"/>
    </row>
    <row r="371">
      <c r="D371" s="354" t="n"/>
      <c r="E371" s="346" t="n"/>
    </row>
    <row r="372">
      <c r="D372" s="354" t="n"/>
      <c r="E372" s="346" t="n"/>
    </row>
    <row r="373">
      <c r="D373" s="354" t="n"/>
      <c r="E373" s="346" t="n"/>
    </row>
    <row r="374">
      <c r="D374" s="354" t="n"/>
      <c r="E374" s="346" t="n"/>
    </row>
    <row r="375">
      <c r="D375" s="354" t="n"/>
      <c r="E375" s="346" t="n"/>
    </row>
    <row r="376">
      <c r="D376" s="354" t="n"/>
      <c r="E376" s="346" t="n"/>
    </row>
    <row r="377">
      <c r="D377" s="354" t="n"/>
      <c r="E377" s="346" t="n"/>
    </row>
    <row r="378">
      <c r="D378" s="354" t="n"/>
      <c r="E378" s="346" t="n"/>
    </row>
    <row r="379">
      <c r="D379" s="354" t="n"/>
      <c r="E379" s="346" t="n"/>
    </row>
    <row r="380">
      <c r="D380" s="354" t="n"/>
      <c r="E380" s="346" t="n"/>
    </row>
    <row r="381">
      <c r="D381" s="354" t="n"/>
      <c r="E381" s="346" t="n"/>
    </row>
    <row r="382">
      <c r="D382" s="354" t="n"/>
      <c r="E382" s="346" t="n"/>
    </row>
    <row r="383">
      <c r="D383" s="354" t="n"/>
      <c r="E383" s="346" t="n"/>
    </row>
    <row r="384">
      <c r="D384" s="354" t="n"/>
      <c r="E384" s="346" t="n"/>
    </row>
    <row r="385">
      <c r="D385" s="354" t="n"/>
      <c r="E385" s="346" t="n"/>
    </row>
    <row r="386">
      <c r="D386" s="354" t="n"/>
      <c r="E386" s="346" t="n"/>
    </row>
    <row r="387">
      <c r="D387" s="354" t="n"/>
      <c r="E387" s="346" t="n"/>
    </row>
    <row r="388">
      <c r="D388" s="354" t="n"/>
      <c r="E388" s="346" t="n"/>
    </row>
    <row r="389">
      <c r="D389" s="354" t="n"/>
      <c r="E389" s="346" t="n"/>
    </row>
    <row r="390">
      <c r="D390" s="354" t="n"/>
      <c r="E390" s="346" t="n"/>
    </row>
    <row r="391">
      <c r="D391" s="354" t="n"/>
      <c r="E391" s="346" t="n"/>
    </row>
    <row r="392">
      <c r="D392" s="354" t="n"/>
      <c r="E392" s="346" t="n"/>
    </row>
    <row r="393">
      <c r="D393" s="354" t="n"/>
      <c r="E393" s="346" t="n"/>
    </row>
    <row r="394">
      <c r="D394" s="354" t="n"/>
      <c r="E394" s="346" t="n"/>
    </row>
    <row r="395">
      <c r="D395" s="354" t="n"/>
      <c r="E395" s="346" t="n"/>
    </row>
    <row r="396">
      <c r="D396" s="354" t="n"/>
      <c r="E396" s="346" t="n"/>
    </row>
    <row r="397">
      <c r="D397" s="354" t="n"/>
      <c r="E397" s="346" t="n"/>
    </row>
    <row r="398">
      <c r="D398" s="354" t="n"/>
      <c r="E398" s="346" t="n"/>
    </row>
    <row r="399">
      <c r="D399" s="354" t="n"/>
      <c r="E399" s="346" t="n"/>
    </row>
    <row r="400">
      <c r="D400" s="354" t="n"/>
      <c r="E400" s="346" t="n"/>
    </row>
    <row r="401">
      <c r="D401" s="354" t="n"/>
      <c r="E401" s="346" t="n"/>
    </row>
    <row r="402">
      <c r="D402" s="354" t="n"/>
      <c r="E402" s="346" t="n"/>
    </row>
    <row r="403">
      <c r="D403" s="354" t="n"/>
      <c r="E403" s="346" t="n"/>
    </row>
    <row r="404">
      <c r="D404" s="354" t="n"/>
      <c r="E404" s="346" t="n"/>
    </row>
    <row r="405">
      <c r="D405" s="354" t="n"/>
      <c r="E405" s="346" t="n"/>
    </row>
    <row r="406">
      <c r="D406" s="354" t="n"/>
      <c r="E406" s="346" t="n"/>
    </row>
    <row r="407">
      <c r="D407" s="354" t="n"/>
      <c r="E407" s="346" t="n"/>
    </row>
    <row r="408">
      <c r="D408" s="354" t="n"/>
      <c r="E408" s="346" t="n"/>
    </row>
    <row r="409">
      <c r="D409" s="354" t="n"/>
      <c r="E409" s="346" t="n"/>
    </row>
    <row r="410">
      <c r="D410" s="354" t="n"/>
      <c r="E410" s="346" t="n"/>
    </row>
    <row r="411">
      <c r="D411" s="354" t="n"/>
      <c r="E411" s="346" t="n"/>
    </row>
    <row r="412">
      <c r="D412" s="354" t="n"/>
      <c r="E412" s="346" t="n"/>
    </row>
    <row r="413">
      <c r="D413" s="354" t="n"/>
      <c r="E413" s="346" t="n"/>
    </row>
    <row r="414">
      <c r="D414" s="354" t="n"/>
      <c r="E414" s="346" t="n"/>
    </row>
    <row r="415">
      <c r="D415" s="354" t="n"/>
      <c r="E415" s="346" t="n"/>
    </row>
    <row r="416">
      <c r="D416" s="354" t="n"/>
      <c r="E416" s="346" t="n"/>
    </row>
    <row r="417">
      <c r="D417" s="354" t="n"/>
      <c r="E417" s="346" t="n"/>
    </row>
    <row r="418">
      <c r="D418" s="354" t="n"/>
      <c r="E418" s="346" t="n"/>
    </row>
    <row r="419">
      <c r="D419" s="354" t="n"/>
      <c r="E419" s="346" t="n"/>
    </row>
    <row r="420">
      <c r="D420" s="354" t="n"/>
      <c r="E420" s="346" t="n"/>
    </row>
    <row r="421">
      <c r="D421" s="354" t="n"/>
      <c r="E421" s="346" t="n"/>
    </row>
    <row r="422">
      <c r="D422" s="354" t="n"/>
      <c r="E422" s="346" t="n"/>
    </row>
    <row r="423">
      <c r="D423" s="354" t="n"/>
      <c r="E423" s="346" t="n"/>
    </row>
    <row r="424">
      <c r="D424" s="354" t="n"/>
      <c r="E424" s="346" t="n"/>
    </row>
    <row r="425">
      <c r="D425" s="354" t="n"/>
      <c r="E425" s="346" t="n"/>
    </row>
    <row r="426">
      <c r="D426" s="354" t="n"/>
      <c r="E426" s="346" t="n"/>
    </row>
    <row r="427">
      <c r="D427" s="354" t="n"/>
      <c r="E427" s="346" t="n"/>
    </row>
    <row r="428">
      <c r="D428" s="354" t="n"/>
      <c r="E428" s="346" t="n"/>
    </row>
    <row r="429">
      <c r="D429" s="354" t="n"/>
      <c r="E429" s="346" t="n"/>
    </row>
    <row r="430">
      <c r="D430" s="354" t="n"/>
      <c r="E430" s="346" t="n"/>
    </row>
    <row r="431">
      <c r="D431" s="354" t="n"/>
      <c r="E431" s="346" t="n"/>
    </row>
    <row r="432">
      <c r="D432" s="354" t="n"/>
      <c r="E432" s="346" t="n"/>
    </row>
    <row r="433">
      <c r="D433" s="354" t="n"/>
      <c r="E433" s="346" t="n"/>
    </row>
    <row r="434">
      <c r="D434" s="354" t="n"/>
      <c r="E434" s="346" t="n"/>
    </row>
    <row r="435">
      <c r="D435" s="354" t="n"/>
      <c r="E435" s="346" t="n"/>
    </row>
    <row r="436">
      <c r="D436" s="354" t="n"/>
      <c r="E436" s="346" t="n"/>
    </row>
    <row r="437">
      <c r="D437" s="354" t="n"/>
      <c r="E437" s="346" t="n"/>
    </row>
    <row r="438">
      <c r="D438" s="354" t="n"/>
      <c r="E438" s="346" t="n"/>
    </row>
    <row r="439">
      <c r="D439" s="354" t="n"/>
      <c r="E439" s="346" t="n"/>
    </row>
    <row r="440">
      <c r="D440" s="354" t="n"/>
      <c r="E440" s="346" t="n"/>
    </row>
    <row r="441">
      <c r="D441" s="354" t="n"/>
      <c r="E441" s="346" t="n"/>
    </row>
    <row r="442">
      <c r="D442" s="354" t="n"/>
      <c r="E442" s="346" t="n"/>
    </row>
    <row r="443">
      <c r="D443" s="354" t="n"/>
      <c r="E443" s="346" t="n"/>
    </row>
    <row r="444">
      <c r="D444" s="354" t="n"/>
      <c r="E444" s="346" t="n"/>
    </row>
    <row r="445">
      <c r="D445" s="354" t="n"/>
      <c r="E445" s="346" t="n"/>
    </row>
    <row r="446">
      <c r="D446" s="354" t="n"/>
      <c r="E446" s="346" t="n"/>
    </row>
    <row r="447">
      <c r="D447" s="354" t="n"/>
      <c r="E447" s="346" t="n"/>
    </row>
    <row r="448">
      <c r="D448" s="354" t="n"/>
      <c r="E448" s="346" t="n"/>
    </row>
    <row r="449">
      <c r="D449" s="354" t="n"/>
      <c r="E449" s="346" t="n"/>
    </row>
    <row r="450">
      <c r="D450" s="354" t="n"/>
      <c r="E450" s="346" t="n"/>
    </row>
    <row r="451">
      <c r="D451" s="354" t="n"/>
      <c r="E451" s="346" t="n"/>
    </row>
    <row r="452">
      <c r="D452" s="354" t="n"/>
      <c r="E452" s="346" t="n"/>
    </row>
    <row r="453">
      <c r="D453" s="354" t="n"/>
      <c r="E453" s="346" t="n"/>
    </row>
    <row r="454">
      <c r="D454" s="354" t="n"/>
      <c r="E454" s="346" t="n"/>
    </row>
    <row r="455">
      <c r="D455" s="354" t="n"/>
      <c r="E455" s="346" t="n"/>
    </row>
    <row r="456">
      <c r="D456" s="354" t="n"/>
      <c r="E456" s="346" t="n"/>
    </row>
    <row r="457">
      <c r="D457" s="354" t="n"/>
      <c r="E457" s="346" t="n"/>
    </row>
    <row r="458">
      <c r="D458" s="354" t="n"/>
      <c r="E458" s="346" t="n"/>
    </row>
    <row r="459">
      <c r="D459" s="354" t="n"/>
      <c r="E459" s="346" t="n"/>
    </row>
    <row r="460">
      <c r="D460" s="354" t="n"/>
      <c r="E460" s="346" t="n"/>
    </row>
    <row r="461">
      <c r="D461" s="354" t="n"/>
      <c r="E461" s="346" t="n"/>
    </row>
    <row r="462">
      <c r="D462" s="354" t="n"/>
      <c r="E462" s="346" t="n"/>
    </row>
    <row r="463">
      <c r="D463" s="354" t="n"/>
      <c r="E463" s="346" t="n"/>
    </row>
    <row r="464">
      <c r="D464" s="354" t="n"/>
      <c r="E464" s="346" t="n"/>
    </row>
    <row r="465">
      <c r="D465" s="354" t="n"/>
      <c r="E465" s="346" t="n"/>
    </row>
    <row r="466">
      <c r="D466" s="354" t="n"/>
      <c r="E466" s="346" t="n"/>
    </row>
    <row r="467">
      <c r="D467" s="354" t="n"/>
      <c r="E467" s="346" t="n"/>
    </row>
    <row r="468">
      <c r="D468" s="354" t="n"/>
      <c r="E468" s="346" t="n"/>
    </row>
    <row r="469">
      <c r="D469" s="354" t="n"/>
      <c r="E469" s="346" t="n"/>
    </row>
    <row r="470">
      <c r="D470" s="354" t="n"/>
      <c r="E470" s="346" t="n"/>
    </row>
    <row r="471">
      <c r="D471" s="354" t="n"/>
      <c r="E471" s="346" t="n"/>
    </row>
    <row r="472">
      <c r="D472" s="354" t="n"/>
      <c r="E472" s="346" t="n"/>
    </row>
    <row r="473">
      <c r="D473" s="354" t="n"/>
      <c r="E473" s="346" t="n"/>
    </row>
    <row r="474">
      <c r="D474" s="354" t="n"/>
      <c r="E474" s="346" t="n"/>
    </row>
    <row r="475">
      <c r="D475" s="354" t="n"/>
      <c r="E475" s="346" t="n"/>
    </row>
    <row r="476">
      <c r="D476" s="354" t="n"/>
      <c r="E476" s="346" t="n"/>
    </row>
    <row r="477">
      <c r="D477" s="354" t="n"/>
      <c r="E477" s="346" t="n"/>
    </row>
    <row r="478">
      <c r="D478" s="354" t="n"/>
      <c r="E478" s="346" t="n"/>
    </row>
    <row r="479">
      <c r="D479" s="354" t="n"/>
      <c r="E479" s="346" t="n"/>
    </row>
    <row r="480">
      <c r="D480" s="354" t="n"/>
      <c r="E480" s="346" t="n"/>
    </row>
    <row r="481">
      <c r="D481" s="354" t="n"/>
      <c r="E481" s="346" t="n"/>
    </row>
    <row r="482">
      <c r="D482" s="354" t="n"/>
      <c r="E482" s="346" t="n"/>
    </row>
    <row r="483">
      <c r="D483" s="354" t="n"/>
      <c r="E483" s="346" t="n"/>
    </row>
    <row r="484">
      <c r="D484" s="354" t="n"/>
      <c r="E484" s="346" t="n"/>
    </row>
    <row r="485">
      <c r="D485" s="354" t="n"/>
      <c r="E485" s="346" t="n"/>
    </row>
    <row r="486">
      <c r="D486" s="354" t="n"/>
      <c r="E486" s="346" t="n"/>
    </row>
    <row r="487">
      <c r="D487" s="354" t="n"/>
      <c r="E487" s="346" t="n"/>
    </row>
    <row r="488">
      <c r="D488" s="354" t="n"/>
      <c r="E488" s="346" t="n"/>
    </row>
    <row r="489">
      <c r="D489" s="354" t="n"/>
      <c r="E489" s="346" t="n"/>
    </row>
    <row r="490">
      <c r="D490" s="354" t="n"/>
      <c r="E490" s="346" t="n"/>
    </row>
    <row r="491">
      <c r="D491" s="354" t="n"/>
      <c r="E491" s="346" t="n"/>
    </row>
    <row r="492">
      <c r="D492" s="354" t="n"/>
      <c r="E492" s="346" t="n"/>
    </row>
    <row r="493">
      <c r="D493" s="354" t="n"/>
      <c r="E493" s="346" t="n"/>
    </row>
    <row r="494">
      <c r="D494" s="354" t="n"/>
      <c r="E494" s="346" t="n"/>
    </row>
    <row r="495">
      <c r="D495" s="354" t="n"/>
      <c r="E495" s="346" t="n"/>
    </row>
    <row r="496">
      <c r="D496" s="354" t="n"/>
      <c r="E496" s="346" t="n"/>
    </row>
    <row r="497">
      <c r="D497" s="354" t="n"/>
      <c r="E497" s="346" t="n"/>
    </row>
    <row r="498">
      <c r="D498" s="354" t="n"/>
      <c r="E498" s="346" t="n"/>
    </row>
    <row r="499">
      <c r="D499" s="354" t="n"/>
      <c r="E499" s="346" t="n"/>
    </row>
    <row r="500">
      <c r="D500" s="354" t="n"/>
      <c r="E500" s="346" t="n"/>
    </row>
    <row r="501">
      <c r="D501" s="354" t="n"/>
      <c r="E501" s="346" t="n"/>
    </row>
    <row r="502">
      <c r="D502" s="354" t="n"/>
      <c r="E502" s="346" t="n"/>
    </row>
    <row r="503">
      <c r="D503" s="354" t="n"/>
      <c r="E503" s="346" t="n"/>
    </row>
    <row r="504">
      <c r="D504" s="354" t="n"/>
      <c r="E504" s="346" t="n"/>
    </row>
    <row r="505">
      <c r="D505" s="354" t="n"/>
      <c r="E505" s="346" t="n"/>
    </row>
    <row r="506">
      <c r="D506" s="354" t="n"/>
      <c r="E506" s="346" t="n"/>
    </row>
    <row r="507">
      <c r="D507" s="354" t="n"/>
      <c r="E507" s="346" t="n"/>
    </row>
    <row r="508">
      <c r="D508" s="354" t="n"/>
      <c r="E508" s="346" t="n"/>
    </row>
    <row r="509">
      <c r="D509" s="354" t="n"/>
      <c r="E509" s="346" t="n"/>
    </row>
    <row r="510">
      <c r="D510" s="354" t="n"/>
      <c r="E510" s="346" t="n"/>
    </row>
    <row r="511">
      <c r="D511" s="354" t="n"/>
      <c r="E511" s="346" t="n"/>
    </row>
    <row r="512">
      <c r="D512" s="354" t="n"/>
      <c r="E512" s="346" t="n"/>
    </row>
    <row r="513">
      <c r="D513" s="354" t="n"/>
      <c r="E513" s="346" t="n"/>
    </row>
    <row r="514">
      <c r="D514" s="354" t="n"/>
      <c r="E514" s="346" t="n"/>
    </row>
    <row r="515">
      <c r="D515" s="354" t="n"/>
      <c r="E515" s="346" t="n"/>
    </row>
    <row r="516">
      <c r="D516" s="354" t="n"/>
      <c r="E516" s="346" t="n"/>
    </row>
    <row r="517">
      <c r="D517" s="354" t="n"/>
      <c r="E517" s="346" t="n"/>
    </row>
    <row r="518">
      <c r="D518" s="354" t="n"/>
      <c r="E518" s="346" t="n"/>
    </row>
    <row r="519">
      <c r="D519" s="354" t="n"/>
      <c r="E519" s="346" t="n"/>
    </row>
    <row r="520">
      <c r="D520" s="354" t="n"/>
      <c r="E520" s="346" t="n"/>
    </row>
    <row r="521">
      <c r="D521" s="354" t="n"/>
      <c r="E521" s="346" t="n"/>
    </row>
    <row r="522">
      <c r="D522" s="354" t="n"/>
      <c r="E522" s="346" t="n"/>
    </row>
    <row r="523">
      <c r="D523" s="354" t="n"/>
      <c r="E523" s="346" t="n"/>
    </row>
    <row r="524">
      <c r="D524" s="354" t="n"/>
      <c r="E524" s="346" t="n"/>
    </row>
    <row r="525">
      <c r="D525" s="354" t="n"/>
      <c r="E525" s="346" t="n"/>
    </row>
    <row r="526">
      <c r="D526" s="354" t="n"/>
      <c r="E526" s="346" t="n"/>
    </row>
    <row r="527">
      <c r="D527" s="354" t="n"/>
      <c r="E527" s="346" t="n"/>
    </row>
    <row r="528">
      <c r="D528" s="354" t="n"/>
      <c r="E528" s="346" t="n"/>
    </row>
    <row r="529">
      <c r="D529" s="354" t="n"/>
      <c r="E529" s="346" t="n"/>
    </row>
    <row r="530">
      <c r="D530" s="354" t="n"/>
      <c r="E530" s="346" t="n"/>
    </row>
    <row r="531">
      <c r="D531" s="354" t="n"/>
      <c r="E531" s="346" t="n"/>
    </row>
    <row r="532">
      <c r="D532" s="354" t="n"/>
      <c r="E532" s="346" t="n"/>
    </row>
    <row r="533">
      <c r="D533" s="354" t="n"/>
      <c r="E533" s="346" t="n"/>
    </row>
    <row r="534">
      <c r="D534" s="354" t="n"/>
      <c r="E534" s="346" t="n"/>
    </row>
    <row r="535">
      <c r="D535" s="354" t="n"/>
      <c r="E535" s="346" t="n"/>
    </row>
    <row r="536">
      <c r="D536" s="354" t="n"/>
      <c r="E536" s="346" t="n"/>
    </row>
    <row r="537">
      <c r="D537" s="354" t="n"/>
      <c r="E537" s="346" t="n"/>
    </row>
    <row r="538">
      <c r="D538" s="354" t="n"/>
      <c r="E538" s="346" t="n"/>
    </row>
    <row r="539">
      <c r="D539" s="354" t="n"/>
      <c r="E539" s="346" t="n"/>
    </row>
    <row r="540">
      <c r="D540" s="354" t="n"/>
      <c r="E540" s="346" t="n"/>
    </row>
    <row r="541">
      <c r="D541" s="354" t="n"/>
      <c r="E541" s="346" t="n"/>
    </row>
    <row r="542">
      <c r="D542" s="354" t="n"/>
      <c r="E542" s="346" t="n"/>
    </row>
    <row r="543">
      <c r="D543" s="354" t="n"/>
      <c r="E543" s="346" t="n"/>
    </row>
    <row r="544">
      <c r="D544" s="354" t="n"/>
      <c r="E544" s="346" t="n"/>
    </row>
    <row r="545">
      <c r="D545" s="354" t="n"/>
      <c r="E545" s="346" t="n"/>
    </row>
    <row r="546">
      <c r="D546" s="354" t="n"/>
      <c r="E546" s="346" t="n"/>
    </row>
    <row r="547">
      <c r="D547" s="354" t="n"/>
      <c r="E547" s="346" t="n"/>
    </row>
    <row r="548">
      <c r="D548" s="354" t="n"/>
      <c r="E548" s="346" t="n"/>
    </row>
    <row r="549">
      <c r="D549" s="354" t="n"/>
      <c r="E549" s="346" t="n"/>
    </row>
    <row r="550">
      <c r="D550" s="354" t="n"/>
      <c r="E550" s="346" t="n"/>
    </row>
    <row r="551">
      <c r="D551" s="354" t="n"/>
      <c r="E551" s="346" t="n"/>
    </row>
    <row r="552">
      <c r="D552" s="354" t="n"/>
      <c r="E552" s="346" t="n"/>
    </row>
    <row r="553">
      <c r="D553" s="354" t="n"/>
      <c r="E553" s="346" t="n"/>
    </row>
    <row r="554">
      <c r="D554" s="354" t="n"/>
      <c r="E554" s="346" t="n"/>
    </row>
    <row r="555">
      <c r="D555" s="354" t="n"/>
      <c r="E555" s="346" t="n"/>
    </row>
    <row r="556">
      <c r="D556" s="354" t="n"/>
      <c r="E556" s="346" t="n"/>
    </row>
    <row r="557">
      <c r="D557" s="354" t="n"/>
      <c r="E557" s="346" t="n"/>
    </row>
    <row r="558">
      <c r="D558" s="354" t="n"/>
      <c r="E558" s="346" t="n"/>
    </row>
    <row r="559">
      <c r="D559" s="354" t="n"/>
      <c r="E559" s="346" t="n"/>
    </row>
    <row r="560">
      <c r="D560" s="354" t="n"/>
      <c r="E560" s="346" t="n"/>
    </row>
    <row r="561">
      <c r="D561" s="354" t="n"/>
      <c r="E561" s="346" t="n"/>
    </row>
    <row r="562">
      <c r="D562" s="354" t="n"/>
      <c r="E562" s="346" t="n"/>
    </row>
    <row r="563">
      <c r="D563" s="354" t="n"/>
      <c r="E563" s="346" t="n"/>
    </row>
    <row r="564">
      <c r="D564" s="354" t="n"/>
      <c r="E564" s="346" t="n"/>
    </row>
    <row r="565">
      <c r="D565" s="354" t="n"/>
      <c r="E565" s="346" t="n"/>
    </row>
    <row r="566">
      <c r="D566" s="354" t="n"/>
      <c r="E566" s="346" t="n"/>
    </row>
    <row r="567">
      <c r="D567" s="354" t="n"/>
      <c r="E567" s="346" t="n"/>
    </row>
    <row r="568">
      <c r="D568" s="354" t="n"/>
      <c r="E568" s="346" t="n"/>
    </row>
    <row r="569">
      <c r="D569" s="354" t="n"/>
      <c r="E569" s="346" t="n"/>
    </row>
    <row r="570">
      <c r="D570" s="354" t="n"/>
      <c r="E570" s="346" t="n"/>
    </row>
    <row r="571">
      <c r="D571" s="354" t="n"/>
      <c r="E571" s="346" t="n"/>
    </row>
    <row r="572">
      <c r="D572" s="354" t="n"/>
      <c r="E572" s="346" t="n"/>
    </row>
    <row r="573">
      <c r="D573" s="354" t="n"/>
      <c r="E573" s="346" t="n"/>
    </row>
    <row r="574">
      <c r="D574" s="354" t="n"/>
      <c r="E574" s="346" t="n"/>
    </row>
    <row r="575">
      <c r="D575" s="354" t="n"/>
      <c r="E575" s="346" t="n"/>
    </row>
    <row r="576">
      <c r="D576" s="354" t="n"/>
      <c r="E576" s="346" t="n"/>
    </row>
    <row r="577">
      <c r="D577" s="354" t="n"/>
      <c r="E577" s="346" t="n"/>
    </row>
    <row r="578">
      <c r="D578" s="354" t="n"/>
      <c r="E578" s="346" t="n"/>
    </row>
    <row r="579">
      <c r="D579" s="354" t="n"/>
      <c r="E579" s="346" t="n"/>
    </row>
    <row r="580">
      <c r="D580" s="354" t="n"/>
      <c r="E580" s="346" t="n"/>
    </row>
    <row r="581">
      <c r="D581" s="354" t="n"/>
      <c r="E581" s="346" t="n"/>
    </row>
    <row r="582">
      <c r="D582" s="354" t="n"/>
      <c r="E582" s="346" t="n"/>
    </row>
    <row r="583">
      <c r="D583" s="354" t="n"/>
      <c r="E583" s="346" t="n"/>
    </row>
    <row r="584">
      <c r="D584" s="354" t="n"/>
      <c r="E584" s="346" t="n"/>
    </row>
    <row r="585">
      <c r="D585" s="354" t="n"/>
      <c r="E585" s="346" t="n"/>
    </row>
    <row r="586">
      <c r="D586" s="354" t="n"/>
      <c r="E586" s="346" t="n"/>
    </row>
    <row r="587">
      <c r="D587" s="354" t="n"/>
      <c r="E587" s="346" t="n"/>
    </row>
    <row r="588">
      <c r="D588" s="354" t="n"/>
      <c r="E588" s="346" t="n"/>
    </row>
    <row r="589">
      <c r="D589" s="354" t="n"/>
      <c r="E589" s="346" t="n"/>
    </row>
    <row r="590">
      <c r="D590" s="354" t="n"/>
      <c r="E590" s="346" t="n"/>
    </row>
    <row r="591">
      <c r="D591" s="354" t="n"/>
      <c r="E591" s="346" t="n"/>
    </row>
    <row r="592">
      <c r="D592" s="354" t="n"/>
      <c r="E592" s="346" t="n"/>
    </row>
    <row r="593">
      <c r="D593" s="354" t="n"/>
      <c r="E593" s="346" t="n"/>
    </row>
    <row r="594">
      <c r="D594" s="354" t="n"/>
      <c r="E594" s="346" t="n"/>
    </row>
    <row r="595">
      <c r="D595" s="354" t="n"/>
      <c r="E595" s="346" t="n"/>
    </row>
    <row r="596">
      <c r="D596" s="354" t="n"/>
      <c r="E596" s="346" t="n"/>
    </row>
    <row r="597">
      <c r="D597" s="354" t="n"/>
      <c r="E597" s="346" t="n"/>
    </row>
    <row r="598">
      <c r="D598" s="354" t="n"/>
      <c r="E598" s="346" t="n"/>
    </row>
    <row r="599">
      <c r="D599" s="354" t="n"/>
      <c r="E599" s="346" t="n"/>
    </row>
    <row r="600">
      <c r="D600" s="354" t="n"/>
      <c r="E600" s="346" t="n"/>
    </row>
    <row r="601">
      <c r="D601" s="354" t="n"/>
      <c r="E601" s="346" t="n"/>
    </row>
    <row r="602">
      <c r="D602" s="354" t="n"/>
      <c r="E602" s="346" t="n"/>
    </row>
    <row r="603">
      <c r="D603" s="354" t="n"/>
      <c r="E603" s="346" t="n"/>
    </row>
    <row r="604">
      <c r="D604" s="354" t="n"/>
      <c r="E604" s="346" t="n"/>
    </row>
    <row r="605">
      <c r="D605" s="354" t="n"/>
      <c r="E605" s="346" t="n"/>
    </row>
    <row r="606">
      <c r="D606" s="354" t="n"/>
      <c r="E606" s="346" t="n"/>
    </row>
    <row r="607">
      <c r="D607" s="354" t="n"/>
      <c r="E607" s="346" t="n"/>
    </row>
    <row r="608">
      <c r="D608" s="354" t="n"/>
      <c r="E608" s="346" t="n"/>
    </row>
    <row r="609">
      <c r="D609" s="354" t="n"/>
      <c r="E609" s="346" t="n"/>
    </row>
    <row r="610">
      <c r="D610" s="354" t="n"/>
      <c r="E610" s="346" t="n"/>
    </row>
    <row r="611">
      <c r="D611" s="354" t="n"/>
      <c r="E611" s="346" t="n"/>
    </row>
    <row r="612">
      <c r="D612" s="354" t="n"/>
      <c r="E612" s="346" t="n"/>
    </row>
    <row r="613">
      <c r="D613" s="354" t="n"/>
      <c r="E613" s="346" t="n"/>
    </row>
    <row r="614">
      <c r="D614" s="354" t="n"/>
      <c r="E614" s="346" t="n"/>
    </row>
    <row r="615">
      <c r="D615" s="354" t="n"/>
      <c r="E615" s="346" t="n"/>
    </row>
    <row r="616">
      <c r="D616" s="354" t="n"/>
      <c r="E616" s="346" t="n"/>
    </row>
    <row r="617">
      <c r="D617" s="354" t="n"/>
      <c r="E617" s="346" t="n"/>
    </row>
    <row r="618">
      <c r="D618" s="354" t="n"/>
      <c r="E618" s="346" t="n"/>
    </row>
    <row r="619">
      <c r="D619" s="354" t="n"/>
      <c r="E619" s="346" t="n"/>
    </row>
    <row r="620">
      <c r="D620" s="354" t="n"/>
      <c r="E620" s="346" t="n"/>
    </row>
    <row r="621">
      <c r="D621" s="354" t="n"/>
      <c r="E621" s="346" t="n"/>
    </row>
    <row r="622">
      <c r="D622" s="354" t="n"/>
      <c r="E622" s="346" t="n"/>
    </row>
    <row r="623">
      <c r="D623" s="354" t="n"/>
      <c r="E623" s="346" t="n"/>
    </row>
    <row r="624">
      <c r="D624" s="354" t="n"/>
      <c r="E624" s="346" t="n"/>
    </row>
    <row r="625">
      <c r="D625" s="354" t="n"/>
      <c r="E625" s="346" t="n"/>
    </row>
    <row r="626">
      <c r="D626" s="354" t="n"/>
      <c r="E626" s="346" t="n"/>
    </row>
    <row r="627">
      <c r="D627" s="354" t="n"/>
      <c r="E627" s="346" t="n"/>
    </row>
    <row r="628">
      <c r="D628" s="354" t="n"/>
      <c r="E628" s="346" t="n"/>
    </row>
    <row r="629">
      <c r="D629" s="354" t="n"/>
      <c r="E629" s="346" t="n"/>
    </row>
    <row r="630">
      <c r="D630" s="354" t="n"/>
      <c r="E630" s="346" t="n"/>
    </row>
    <row r="631">
      <c r="D631" s="354" t="n"/>
      <c r="E631" s="346" t="n"/>
    </row>
    <row r="632">
      <c r="D632" s="354" t="n"/>
      <c r="E632" s="346" t="n"/>
    </row>
    <row r="633">
      <c r="D633" s="354" t="n"/>
      <c r="E633" s="346" t="n"/>
    </row>
    <row r="634">
      <c r="D634" s="354" t="n"/>
      <c r="E634" s="346" t="n"/>
    </row>
    <row r="635">
      <c r="D635" s="354" t="n"/>
      <c r="E635" s="346" t="n"/>
    </row>
    <row r="636">
      <c r="D636" s="354" t="n"/>
      <c r="E636" s="346" t="n"/>
    </row>
    <row r="637">
      <c r="D637" s="354" t="n"/>
      <c r="E637" s="346" t="n"/>
    </row>
    <row r="638">
      <c r="D638" s="354" t="n"/>
      <c r="E638" s="346" t="n"/>
    </row>
    <row r="639">
      <c r="D639" s="354" t="n"/>
      <c r="E639" s="346" t="n"/>
    </row>
    <row r="640">
      <c r="D640" s="354" t="n"/>
      <c r="E640" s="346" t="n"/>
    </row>
    <row r="641">
      <c r="D641" s="354" t="n"/>
      <c r="E641" s="346" t="n"/>
    </row>
    <row r="642">
      <c r="D642" s="354" t="n"/>
      <c r="E642" s="346" t="n"/>
    </row>
    <row r="643">
      <c r="D643" s="354" t="n"/>
      <c r="E643" s="346" t="n"/>
    </row>
    <row r="644">
      <c r="D644" s="354" t="n"/>
      <c r="E644" s="346" t="n"/>
    </row>
    <row r="645">
      <c r="D645" s="354" t="n"/>
      <c r="E645" s="346" t="n"/>
    </row>
    <row r="646">
      <c r="D646" s="354" t="n"/>
      <c r="E646" s="346" t="n"/>
    </row>
    <row r="647">
      <c r="D647" s="354" t="n"/>
      <c r="E647" s="346" t="n"/>
    </row>
    <row r="648">
      <c r="D648" s="354" t="n"/>
      <c r="E648" s="346" t="n"/>
    </row>
    <row r="649">
      <c r="D649" s="354" t="n"/>
      <c r="E649" s="346" t="n"/>
    </row>
    <row r="650">
      <c r="D650" s="354" t="n"/>
      <c r="E650" s="346" t="n"/>
    </row>
    <row r="651">
      <c r="D651" s="354" t="n"/>
      <c r="E651" s="346" t="n"/>
    </row>
    <row r="652">
      <c r="D652" s="354" t="n"/>
      <c r="E652" s="346" t="n"/>
    </row>
    <row r="653">
      <c r="D653" s="354" t="n"/>
      <c r="E653" s="346" t="n"/>
    </row>
    <row r="654">
      <c r="D654" s="354" t="n"/>
      <c r="E654" s="346" t="n"/>
    </row>
    <row r="655">
      <c r="D655" s="354" t="n"/>
      <c r="E655" s="346" t="n"/>
    </row>
    <row r="656">
      <c r="D656" s="354" t="n"/>
      <c r="E656" s="346" t="n"/>
    </row>
    <row r="657">
      <c r="D657" s="354" t="n"/>
      <c r="E657" s="346" t="n"/>
    </row>
    <row r="658">
      <c r="D658" s="354" t="n"/>
      <c r="E658" s="346" t="n"/>
    </row>
    <row r="659">
      <c r="D659" s="354" t="n"/>
      <c r="E659" s="346" t="n"/>
    </row>
    <row r="660">
      <c r="D660" s="354" t="n"/>
      <c r="E660" s="346" t="n"/>
    </row>
    <row r="661">
      <c r="D661" s="354" t="n"/>
      <c r="E661" s="346" t="n"/>
    </row>
    <row r="662">
      <c r="D662" s="354" t="n"/>
      <c r="E662" s="346" t="n"/>
    </row>
    <row r="663">
      <c r="D663" s="354" t="n"/>
      <c r="E663" s="346" t="n"/>
    </row>
    <row r="664">
      <c r="D664" s="354" t="n"/>
      <c r="E664" s="346" t="n"/>
    </row>
    <row r="665">
      <c r="D665" s="354" t="n"/>
      <c r="E665" s="346" t="n"/>
    </row>
    <row r="666">
      <c r="D666" s="354" t="n"/>
      <c r="E666" s="346" t="n"/>
    </row>
    <row r="667">
      <c r="D667" s="354" t="n"/>
      <c r="E667" s="346" t="n"/>
    </row>
    <row r="668">
      <c r="D668" s="354" t="n"/>
      <c r="E668" s="346" t="n"/>
    </row>
    <row r="669">
      <c r="D669" s="354" t="n"/>
      <c r="E669" s="346" t="n"/>
    </row>
    <row r="670">
      <c r="D670" s="354" t="n"/>
      <c r="E670" s="346" t="n"/>
    </row>
    <row r="671">
      <c r="D671" s="354" t="n"/>
      <c r="E671" s="346" t="n"/>
    </row>
    <row r="672">
      <c r="D672" s="354" t="n"/>
      <c r="E672" s="346" t="n"/>
    </row>
    <row r="673">
      <c r="D673" s="354" t="n"/>
      <c r="E673" s="346" t="n"/>
    </row>
    <row r="674">
      <c r="D674" s="354" t="n"/>
      <c r="E674" s="346" t="n"/>
    </row>
    <row r="675">
      <c r="D675" s="354" t="n"/>
      <c r="E675" s="346" t="n"/>
    </row>
    <row r="676">
      <c r="D676" s="354" t="n"/>
      <c r="E676" s="346" t="n"/>
    </row>
    <row r="677">
      <c r="D677" s="354" t="n"/>
      <c r="E677" s="346" t="n"/>
    </row>
    <row r="678">
      <c r="D678" s="354" t="n"/>
      <c r="E678" s="346" t="n"/>
    </row>
    <row r="679">
      <c r="D679" s="354" t="n"/>
      <c r="E679" s="346" t="n"/>
    </row>
    <row r="680">
      <c r="D680" s="354" t="n"/>
      <c r="E680" s="346" t="n"/>
    </row>
    <row r="681">
      <c r="D681" s="354" t="n"/>
      <c r="E681" s="346" t="n"/>
    </row>
    <row r="682">
      <c r="D682" s="354" t="n"/>
      <c r="E682" s="346" t="n"/>
    </row>
    <row r="683">
      <c r="D683" s="354" t="n"/>
      <c r="E683" s="346" t="n"/>
    </row>
    <row r="684">
      <c r="D684" s="354" t="n"/>
      <c r="E684" s="346" t="n"/>
    </row>
    <row r="685">
      <c r="D685" s="354" t="n"/>
      <c r="E685" s="346" t="n"/>
    </row>
    <row r="686">
      <c r="D686" s="354" t="n"/>
      <c r="E686" s="346" t="n"/>
    </row>
    <row r="687">
      <c r="D687" s="354" t="n"/>
      <c r="E687" s="346" t="n"/>
    </row>
    <row r="688">
      <c r="D688" s="354" t="n"/>
      <c r="E688" s="346" t="n"/>
    </row>
    <row r="689">
      <c r="D689" s="354" t="n"/>
      <c r="E689" s="346" t="n"/>
    </row>
    <row r="690">
      <c r="D690" s="354" t="n"/>
      <c r="E690" s="346" t="n"/>
    </row>
    <row r="691">
      <c r="D691" s="354" t="n"/>
      <c r="E691" s="346" t="n"/>
    </row>
    <row r="692">
      <c r="D692" s="354" t="n"/>
      <c r="E692" s="346" t="n"/>
    </row>
    <row r="693">
      <c r="D693" s="354" t="n"/>
      <c r="E693" s="346" t="n"/>
    </row>
    <row r="694">
      <c r="D694" s="354" t="n"/>
      <c r="E694" s="346" t="n"/>
    </row>
    <row r="695">
      <c r="D695" s="354" t="n"/>
      <c r="E695" s="346" t="n"/>
    </row>
    <row r="696">
      <c r="D696" s="354" t="n"/>
      <c r="E696" s="346" t="n"/>
    </row>
    <row r="697">
      <c r="D697" s="354" t="n"/>
      <c r="E697" s="346" t="n"/>
    </row>
    <row r="698">
      <c r="D698" s="354" t="n"/>
      <c r="E698" s="346" t="n"/>
    </row>
    <row r="699">
      <c r="D699" s="354" t="n"/>
      <c r="E699" s="346" t="n"/>
    </row>
    <row r="700">
      <c r="D700" s="354" t="n"/>
      <c r="E700" s="346" t="n"/>
    </row>
    <row r="701">
      <c r="D701" s="354" t="n"/>
      <c r="E701" s="346" t="n"/>
    </row>
    <row r="702">
      <c r="D702" s="354" t="n"/>
      <c r="E702" s="346" t="n"/>
    </row>
    <row r="703">
      <c r="D703" s="354" t="n"/>
      <c r="E703" s="346" t="n"/>
    </row>
    <row r="704">
      <c r="D704" s="354" t="n"/>
      <c r="E704" s="346" t="n"/>
    </row>
    <row r="705">
      <c r="D705" s="354" t="n"/>
      <c r="E705" s="346" t="n"/>
    </row>
    <row r="706">
      <c r="D706" s="354" t="n"/>
      <c r="E706" s="346" t="n"/>
    </row>
    <row r="707">
      <c r="D707" s="354" t="n"/>
      <c r="E707" s="346" t="n"/>
    </row>
    <row r="708">
      <c r="D708" s="354" t="n"/>
      <c r="E708" s="346" t="n"/>
    </row>
    <row r="709">
      <c r="D709" s="354" t="n"/>
      <c r="E709" s="346" t="n"/>
    </row>
    <row r="710">
      <c r="D710" s="354" t="n"/>
      <c r="E710" s="346" t="n"/>
    </row>
    <row r="711">
      <c r="D711" s="354" t="n"/>
      <c r="E711" s="346" t="n"/>
    </row>
    <row r="712">
      <c r="D712" s="354" t="n"/>
      <c r="E712" s="346" t="n"/>
    </row>
    <row r="713">
      <c r="D713" s="354" t="n"/>
      <c r="E713" s="346" t="n"/>
    </row>
    <row r="714">
      <c r="D714" s="354" t="n"/>
      <c r="E714" s="346" t="n"/>
    </row>
    <row r="715">
      <c r="D715" s="354" t="n"/>
      <c r="E715" s="346" t="n"/>
    </row>
    <row r="716">
      <c r="D716" s="354" t="n"/>
      <c r="E716" s="346" t="n"/>
    </row>
    <row r="717">
      <c r="D717" s="354" t="n"/>
      <c r="E717" s="346" t="n"/>
    </row>
    <row r="718">
      <c r="D718" s="354" t="n"/>
      <c r="E718" s="346" t="n"/>
    </row>
    <row r="719">
      <c r="D719" s="354" t="n"/>
      <c r="E719" s="346" t="n"/>
    </row>
    <row r="720">
      <c r="D720" s="354" t="n"/>
      <c r="E720" s="346" t="n"/>
    </row>
    <row r="721">
      <c r="D721" s="354" t="n"/>
      <c r="E721" s="346" t="n"/>
    </row>
    <row r="722">
      <c r="D722" s="354" t="n"/>
      <c r="E722" s="346" t="n"/>
    </row>
    <row r="723">
      <c r="D723" s="354" t="n"/>
      <c r="E723" s="346" t="n"/>
    </row>
    <row r="724">
      <c r="D724" s="354" t="n"/>
      <c r="E724" s="346" t="n"/>
    </row>
    <row r="725">
      <c r="D725" s="354" t="n"/>
      <c r="E725" s="346" t="n"/>
    </row>
    <row r="726">
      <c r="D726" s="354" t="n"/>
      <c r="E726" s="346" t="n"/>
    </row>
    <row r="727">
      <c r="D727" s="354" t="n"/>
      <c r="E727" s="346" t="n"/>
    </row>
    <row r="728">
      <c r="D728" s="354" t="n"/>
      <c r="E728" s="346" t="n"/>
    </row>
    <row r="729">
      <c r="D729" s="354" t="n"/>
      <c r="E729" s="346" t="n"/>
    </row>
    <row r="730">
      <c r="D730" s="354" t="n"/>
      <c r="E730" s="346" t="n"/>
    </row>
    <row r="731">
      <c r="D731" s="354" t="n"/>
      <c r="E731" s="346" t="n"/>
    </row>
    <row r="732">
      <c r="D732" s="354" t="n"/>
      <c r="E732" s="346" t="n"/>
    </row>
    <row r="733">
      <c r="D733" s="354" t="n"/>
      <c r="E733" s="346" t="n"/>
    </row>
    <row r="734">
      <c r="D734" s="354" t="n"/>
      <c r="E734" s="346" t="n"/>
    </row>
    <row r="735">
      <c r="D735" s="354" t="n"/>
      <c r="E735" s="346" t="n"/>
    </row>
    <row r="736">
      <c r="D736" s="354" t="n"/>
      <c r="E736" s="346" t="n"/>
    </row>
    <row r="737">
      <c r="D737" s="354" t="n"/>
      <c r="E737" s="346" t="n"/>
    </row>
    <row r="738">
      <c r="D738" s="354" t="n"/>
      <c r="E738" s="346" t="n"/>
    </row>
    <row r="739">
      <c r="D739" s="354" t="n"/>
      <c r="E739" s="346" t="n"/>
    </row>
    <row r="740">
      <c r="D740" s="354" t="n"/>
      <c r="E740" s="346" t="n"/>
    </row>
    <row r="741">
      <c r="D741" s="354" t="n"/>
      <c r="E741" s="346" t="n"/>
    </row>
    <row r="742">
      <c r="D742" s="354" t="n"/>
      <c r="E742" s="346" t="n"/>
    </row>
    <row r="743">
      <c r="D743" s="354" t="n"/>
      <c r="E743" s="346" t="n"/>
    </row>
    <row r="744">
      <c r="D744" s="354" t="n"/>
      <c r="E744" s="346" t="n"/>
    </row>
    <row r="745">
      <c r="D745" s="354" t="n"/>
      <c r="E745" s="346" t="n"/>
    </row>
    <row r="746">
      <c r="D746" s="354" t="n"/>
      <c r="E746" s="346" t="n"/>
    </row>
    <row r="747">
      <c r="D747" s="354" t="n"/>
      <c r="E747" s="346" t="n"/>
    </row>
    <row r="748">
      <c r="D748" s="354" t="n"/>
      <c r="E748" s="346" t="n"/>
    </row>
    <row r="749">
      <c r="D749" s="354" t="n"/>
      <c r="E749" s="346" t="n"/>
    </row>
    <row r="750">
      <c r="D750" s="354" t="n"/>
      <c r="E750" s="346" t="n"/>
    </row>
    <row r="751">
      <c r="D751" s="354" t="n"/>
      <c r="E751" s="346" t="n"/>
    </row>
    <row r="752">
      <c r="D752" s="354" t="n"/>
      <c r="E752" s="346" t="n"/>
    </row>
    <row r="753">
      <c r="D753" s="354" t="n"/>
      <c r="E753" s="346" t="n"/>
    </row>
    <row r="754">
      <c r="D754" s="354" t="n"/>
      <c r="E754" s="346" t="n"/>
    </row>
    <row r="755">
      <c r="D755" s="354" t="n"/>
      <c r="E755" s="346" t="n"/>
    </row>
    <row r="756">
      <c r="D756" s="354" t="n"/>
      <c r="E756" s="346" t="n"/>
    </row>
    <row r="757">
      <c r="D757" s="354" t="n"/>
      <c r="E757" s="346" t="n"/>
    </row>
    <row r="758">
      <c r="D758" s="354" t="n"/>
      <c r="E758" s="346" t="n"/>
    </row>
    <row r="759">
      <c r="D759" s="354" t="n"/>
      <c r="E759" s="346" t="n"/>
    </row>
    <row r="760">
      <c r="D760" s="354" t="n"/>
      <c r="E760" s="346" t="n"/>
    </row>
    <row r="761">
      <c r="D761" s="354" t="n"/>
      <c r="E761" s="346" t="n"/>
    </row>
    <row r="762">
      <c r="D762" s="354" t="n"/>
      <c r="E762" s="346" t="n"/>
    </row>
    <row r="763">
      <c r="D763" s="354" t="n"/>
      <c r="E763" s="346" t="n"/>
    </row>
    <row r="764">
      <c r="D764" s="354" t="n"/>
      <c r="E764" s="346" t="n"/>
    </row>
    <row r="765">
      <c r="D765" s="354" t="n"/>
      <c r="E765" s="346" t="n"/>
    </row>
    <row r="766">
      <c r="D766" s="354" t="n"/>
      <c r="E766" s="346" t="n"/>
    </row>
    <row r="767">
      <c r="D767" s="354" t="n"/>
      <c r="E767" s="346" t="n"/>
    </row>
    <row r="768">
      <c r="D768" s="354" t="n"/>
      <c r="E768" s="346" t="n"/>
    </row>
    <row r="769">
      <c r="D769" s="354" t="n"/>
      <c r="E769" s="346" t="n"/>
    </row>
    <row r="770">
      <c r="D770" s="354" t="n"/>
      <c r="E770" s="346" t="n"/>
    </row>
    <row r="771">
      <c r="D771" s="354" t="n"/>
      <c r="E771" s="346" t="n"/>
    </row>
    <row r="772">
      <c r="D772" s="354" t="n"/>
      <c r="E772" s="346" t="n"/>
    </row>
    <row r="773">
      <c r="D773" s="354" t="n"/>
      <c r="E773" s="346" t="n"/>
    </row>
    <row r="774">
      <c r="D774" s="354" t="n"/>
      <c r="E774" s="346" t="n"/>
    </row>
    <row r="775">
      <c r="D775" s="354" t="n"/>
      <c r="E775" s="346" t="n"/>
    </row>
    <row r="776">
      <c r="D776" s="354" t="n"/>
      <c r="E776" s="346" t="n"/>
    </row>
    <row r="777">
      <c r="D777" s="354" t="n"/>
      <c r="E777" s="346" t="n"/>
    </row>
    <row r="778">
      <c r="D778" s="354" t="n"/>
      <c r="E778" s="346" t="n"/>
    </row>
    <row r="779">
      <c r="D779" s="354" t="n"/>
      <c r="E779" s="346" t="n"/>
    </row>
    <row r="780">
      <c r="D780" s="354" t="n"/>
      <c r="E780" s="346" t="n"/>
    </row>
    <row r="781">
      <c r="D781" s="354" t="n"/>
      <c r="E781" s="346" t="n"/>
    </row>
    <row r="782">
      <c r="D782" s="354" t="n"/>
      <c r="E782" s="346" t="n"/>
    </row>
    <row r="783">
      <c r="D783" s="354" t="n"/>
      <c r="E783" s="346" t="n"/>
    </row>
    <row r="784">
      <c r="D784" s="354" t="n"/>
      <c r="E784" s="346" t="n"/>
    </row>
    <row r="785">
      <c r="D785" s="354" t="n"/>
      <c r="E785" s="346" t="n"/>
    </row>
    <row r="786">
      <c r="D786" s="354" t="n"/>
      <c r="E786" s="346" t="n"/>
    </row>
    <row r="787">
      <c r="D787" s="354" t="n"/>
      <c r="E787" s="346" t="n"/>
    </row>
    <row r="788">
      <c r="D788" s="354" t="n"/>
      <c r="E788" s="346" t="n"/>
    </row>
    <row r="789">
      <c r="D789" s="354" t="n"/>
      <c r="E789" s="346" t="n"/>
    </row>
    <row r="790">
      <c r="D790" s="354" t="n"/>
      <c r="E790" s="346" t="n"/>
    </row>
    <row r="791">
      <c r="D791" s="354" t="n"/>
      <c r="E791" s="346" t="n"/>
    </row>
    <row r="792">
      <c r="D792" s="354" t="n"/>
      <c r="E792" s="346" t="n"/>
    </row>
    <row r="793">
      <c r="D793" s="354" t="n"/>
      <c r="E793" s="346" t="n"/>
    </row>
    <row r="794">
      <c r="D794" s="354" t="n"/>
      <c r="E794" s="346" t="n"/>
    </row>
    <row r="795">
      <c r="D795" s="354" t="n"/>
      <c r="E795" s="346" t="n"/>
    </row>
    <row r="796">
      <c r="D796" s="354" t="n"/>
      <c r="E796" s="346" t="n"/>
    </row>
    <row r="797">
      <c r="D797" s="354" t="n"/>
      <c r="E797" s="346" t="n"/>
    </row>
    <row r="798">
      <c r="D798" s="354" t="n"/>
      <c r="E798" s="346" t="n"/>
    </row>
    <row r="799">
      <c r="D799" s="354" t="n"/>
      <c r="E799" s="346" t="n"/>
    </row>
    <row r="800">
      <c r="D800" s="354" t="n"/>
      <c r="E800" s="346" t="n"/>
    </row>
    <row r="801">
      <c r="D801" s="354" t="n"/>
      <c r="E801" s="346" t="n"/>
    </row>
    <row r="802">
      <c r="D802" s="354" t="n"/>
      <c r="E802" s="346" t="n"/>
    </row>
    <row r="803">
      <c r="D803" s="354" t="n"/>
      <c r="E803" s="346" t="n"/>
    </row>
    <row r="804">
      <c r="D804" s="354" t="n"/>
      <c r="E804" s="346" t="n"/>
    </row>
    <row r="805">
      <c r="D805" s="354" t="n"/>
      <c r="E805" s="346" t="n"/>
    </row>
    <row r="806">
      <c r="D806" s="354" t="n"/>
      <c r="E806" s="346" t="n"/>
    </row>
    <row r="807">
      <c r="D807" s="354" t="n"/>
      <c r="E807" s="346" t="n"/>
    </row>
    <row r="808">
      <c r="D808" s="354" t="n"/>
      <c r="E808" s="346" t="n"/>
    </row>
    <row r="809">
      <c r="D809" s="354" t="n"/>
      <c r="E809" s="346" t="n"/>
    </row>
    <row r="810">
      <c r="D810" s="354" t="n"/>
      <c r="E810" s="346" t="n"/>
    </row>
    <row r="811">
      <c r="D811" s="354" t="n"/>
      <c r="E811" s="346" t="n"/>
    </row>
    <row r="812">
      <c r="D812" s="354" t="n"/>
      <c r="E812" s="346" t="n"/>
    </row>
    <row r="813">
      <c r="D813" s="354" t="n"/>
      <c r="E813" s="346" t="n"/>
    </row>
    <row r="814">
      <c r="D814" s="354" t="n"/>
      <c r="E814" s="346" t="n"/>
    </row>
    <row r="815">
      <c r="D815" s="354" t="n"/>
      <c r="E815" s="346" t="n"/>
    </row>
    <row r="816">
      <c r="D816" s="354" t="n"/>
      <c r="E816" s="346" t="n"/>
    </row>
    <row r="817">
      <c r="D817" s="354" t="n"/>
      <c r="E817" s="346" t="n"/>
    </row>
    <row r="818">
      <c r="D818" s="354" t="n"/>
      <c r="E818" s="346" t="n"/>
    </row>
    <row r="819">
      <c r="D819" s="354" t="n"/>
      <c r="E819" s="346" t="n"/>
    </row>
    <row r="820">
      <c r="D820" s="354" t="n"/>
      <c r="E820" s="346" t="n"/>
    </row>
    <row r="821">
      <c r="D821" s="354" t="n"/>
      <c r="E821" s="346" t="n"/>
    </row>
    <row r="822">
      <c r="D822" s="354" t="n"/>
      <c r="E822" s="346" t="n"/>
    </row>
    <row r="823">
      <c r="D823" s="354" t="n"/>
      <c r="E823" s="346" t="n"/>
    </row>
    <row r="824">
      <c r="D824" s="354" t="n"/>
      <c r="E824" s="346" t="n"/>
    </row>
    <row r="825">
      <c r="D825" s="354" t="n"/>
      <c r="E825" s="346" t="n"/>
    </row>
    <row r="826">
      <c r="D826" s="354" t="n"/>
      <c r="E826" s="346" t="n"/>
    </row>
    <row r="827">
      <c r="D827" s="354" t="n"/>
      <c r="E827" s="346" t="n"/>
    </row>
    <row r="828">
      <c r="D828" s="354" t="n"/>
      <c r="E828" s="346" t="n"/>
    </row>
    <row r="829">
      <c r="D829" s="354" t="n"/>
      <c r="E829" s="346" t="n"/>
    </row>
    <row r="830">
      <c r="D830" s="354" t="n"/>
      <c r="E830" s="346" t="n"/>
    </row>
    <row r="831">
      <c r="D831" s="354" t="n"/>
      <c r="E831" s="346" t="n"/>
    </row>
    <row r="832">
      <c r="D832" s="354" t="n"/>
      <c r="E832" s="346" t="n"/>
    </row>
    <row r="833">
      <c r="D833" s="354" t="n"/>
      <c r="E833" s="346" t="n"/>
    </row>
    <row r="834">
      <c r="D834" s="354" t="n"/>
      <c r="E834" s="346" t="n"/>
    </row>
    <row r="835">
      <c r="D835" s="354" t="n"/>
      <c r="E835" s="346" t="n"/>
    </row>
    <row r="836">
      <c r="D836" s="354" t="n"/>
      <c r="E836" s="346" t="n"/>
    </row>
    <row r="837">
      <c r="D837" s="354" t="n"/>
      <c r="E837" s="346" t="n"/>
    </row>
    <row r="838">
      <c r="D838" s="354" t="n"/>
      <c r="E838" s="346" t="n"/>
    </row>
    <row r="839">
      <c r="D839" s="354" t="n"/>
      <c r="E839" s="346" t="n"/>
    </row>
    <row r="840">
      <c r="D840" s="354" t="n"/>
      <c r="E840" s="346" t="n"/>
    </row>
    <row r="841">
      <c r="D841" s="354" t="n"/>
      <c r="E841" s="346" t="n"/>
    </row>
    <row r="842">
      <c r="D842" s="354" t="n"/>
      <c r="E842" s="346" t="n"/>
    </row>
    <row r="843">
      <c r="D843" s="354" t="n"/>
      <c r="E843" s="346" t="n"/>
    </row>
    <row r="844">
      <c r="D844" s="354" t="n"/>
      <c r="E844" s="346" t="n"/>
    </row>
    <row r="845">
      <c r="D845" s="354" t="n"/>
      <c r="E845" s="346" t="n"/>
    </row>
    <row r="846">
      <c r="D846" s="354" t="n"/>
      <c r="E846" s="346" t="n"/>
    </row>
    <row r="847">
      <c r="D847" s="354" t="n"/>
      <c r="E847" s="346" t="n"/>
    </row>
    <row r="848">
      <c r="D848" s="354" t="n"/>
      <c r="E848" s="346" t="n"/>
    </row>
    <row r="849">
      <c r="D849" s="354" t="n"/>
      <c r="E849" s="346" t="n"/>
    </row>
    <row r="850">
      <c r="D850" s="354" t="n"/>
      <c r="E850" s="346" t="n"/>
    </row>
    <row r="851">
      <c r="D851" s="354" t="n"/>
      <c r="E851" s="346" t="n"/>
    </row>
    <row r="852">
      <c r="D852" s="354" t="n"/>
      <c r="E852" s="346" t="n"/>
    </row>
    <row r="853">
      <c r="D853" s="354" t="n"/>
      <c r="E853" s="346" t="n"/>
    </row>
    <row r="854">
      <c r="D854" s="354" t="n"/>
      <c r="E854" s="346" t="n"/>
    </row>
    <row r="855">
      <c r="D855" s="354" t="n"/>
      <c r="E855" s="346" t="n"/>
    </row>
    <row r="856">
      <c r="D856" s="354" t="n"/>
      <c r="E856" s="346" t="n"/>
    </row>
    <row r="857">
      <c r="D857" s="354" t="n"/>
      <c r="E857" s="346" t="n"/>
    </row>
    <row r="858">
      <c r="D858" s="354" t="n"/>
      <c r="E858" s="346" t="n"/>
    </row>
    <row r="859">
      <c r="D859" s="354" t="n"/>
      <c r="E859" s="346" t="n"/>
    </row>
    <row r="860">
      <c r="D860" s="354" t="n"/>
      <c r="E860" s="346" t="n"/>
    </row>
    <row r="861">
      <c r="D861" s="354" t="n"/>
      <c r="E861" s="346" t="n"/>
    </row>
    <row r="862">
      <c r="D862" s="354" t="n"/>
      <c r="E862" s="346" t="n"/>
    </row>
    <row r="863">
      <c r="D863" s="354" t="n"/>
      <c r="E863" s="346" t="n"/>
    </row>
    <row r="864">
      <c r="D864" s="354" t="n"/>
      <c r="E864" s="346" t="n"/>
    </row>
    <row r="865">
      <c r="D865" s="354" t="n"/>
      <c r="E865" s="346" t="n"/>
    </row>
    <row r="866">
      <c r="D866" s="354" t="n"/>
      <c r="E866" s="346" t="n"/>
    </row>
    <row r="867">
      <c r="D867" s="354" t="n"/>
      <c r="E867" s="346" t="n"/>
    </row>
    <row r="868">
      <c r="D868" s="354" t="n"/>
      <c r="E868" s="346" t="n"/>
    </row>
    <row r="869">
      <c r="D869" s="354" t="n"/>
      <c r="E869" s="346" t="n"/>
    </row>
    <row r="870">
      <c r="D870" s="354" t="n"/>
      <c r="E870" s="346" t="n"/>
    </row>
    <row r="871">
      <c r="D871" s="354" t="n"/>
      <c r="E871" s="346" t="n"/>
    </row>
    <row r="872">
      <c r="D872" s="354" t="n"/>
      <c r="E872" s="346" t="n"/>
    </row>
    <row r="873">
      <c r="D873" s="354" t="n"/>
      <c r="E873" s="346" t="n"/>
    </row>
    <row r="874">
      <c r="D874" s="354" t="n"/>
      <c r="E874" s="346" t="n"/>
    </row>
    <row r="875">
      <c r="D875" s="354" t="n"/>
      <c r="E875" s="346" t="n"/>
    </row>
    <row r="876">
      <c r="D876" s="354" t="n"/>
      <c r="E876" s="346" t="n"/>
    </row>
    <row r="877">
      <c r="D877" s="354" t="n"/>
      <c r="E877" s="346" t="n"/>
    </row>
    <row r="878">
      <c r="D878" s="354" t="n"/>
      <c r="E878" s="346" t="n"/>
    </row>
    <row r="879">
      <c r="D879" s="354" t="n"/>
      <c r="E879" s="346" t="n"/>
    </row>
    <row r="880">
      <c r="D880" s="354" t="n"/>
      <c r="E880" s="346" t="n"/>
    </row>
    <row r="881">
      <c r="D881" s="354" t="n"/>
      <c r="E881" s="346" t="n"/>
    </row>
    <row r="882">
      <c r="D882" s="354" t="n"/>
      <c r="E882" s="346" t="n"/>
    </row>
    <row r="883">
      <c r="D883" s="354" t="n"/>
      <c r="E883" s="346" t="n"/>
    </row>
    <row r="884">
      <c r="D884" s="354" t="n"/>
      <c r="E884" s="346" t="n"/>
    </row>
    <row r="885">
      <c r="D885" s="354" t="n"/>
      <c r="E885" s="346" t="n"/>
    </row>
    <row r="886">
      <c r="D886" s="354" t="n"/>
      <c r="E886" s="346" t="n"/>
    </row>
    <row r="887">
      <c r="D887" s="354" t="n"/>
      <c r="E887" s="346" t="n"/>
    </row>
    <row r="888">
      <c r="D888" s="354" t="n"/>
      <c r="E888" s="346" t="n"/>
    </row>
    <row r="889">
      <c r="D889" s="354" t="n"/>
      <c r="E889" s="346" t="n"/>
    </row>
    <row r="890">
      <c r="D890" s="354" t="n"/>
      <c r="E890" s="346" t="n"/>
    </row>
    <row r="891">
      <c r="D891" s="354" t="n"/>
      <c r="E891" s="346" t="n"/>
    </row>
    <row r="892">
      <c r="D892" s="354" t="n"/>
      <c r="E892" s="346" t="n"/>
    </row>
    <row r="893">
      <c r="D893" s="354" t="n"/>
      <c r="E893" s="346" t="n"/>
    </row>
    <row r="894">
      <c r="D894" s="354" t="n"/>
      <c r="E894" s="346" t="n"/>
    </row>
    <row r="895">
      <c r="D895" s="354" t="n"/>
      <c r="E895" s="346" t="n"/>
    </row>
    <row r="896">
      <c r="D896" s="354" t="n"/>
      <c r="E896" s="346" t="n"/>
    </row>
    <row r="897">
      <c r="D897" s="354" t="n"/>
      <c r="E897" s="346" t="n"/>
    </row>
    <row r="898">
      <c r="D898" s="354" t="n"/>
      <c r="E898" s="346" t="n"/>
    </row>
    <row r="899">
      <c r="D899" s="354" t="n"/>
      <c r="E899" s="346" t="n"/>
    </row>
    <row r="900">
      <c r="D900" s="354" t="n"/>
      <c r="E900" s="346" t="n"/>
    </row>
    <row r="901">
      <c r="D901" s="354" t="n"/>
      <c r="E901" s="346" t="n"/>
    </row>
    <row r="902">
      <c r="D902" s="354" t="n"/>
      <c r="E902" s="346" t="n"/>
    </row>
    <row r="903">
      <c r="D903" s="354" t="n"/>
      <c r="E903" s="346" t="n"/>
    </row>
    <row r="904">
      <c r="D904" s="354" t="n"/>
      <c r="E904" s="346" t="n"/>
    </row>
    <row r="905">
      <c r="D905" s="354" t="n"/>
      <c r="E905" s="346" t="n"/>
    </row>
    <row r="906">
      <c r="D906" s="354" t="n"/>
      <c r="E906" s="346" t="n"/>
    </row>
    <row r="907">
      <c r="D907" s="354" t="n"/>
      <c r="E907" s="346" t="n"/>
    </row>
    <row r="908">
      <c r="D908" s="354" t="n"/>
      <c r="E908" s="346" t="n"/>
    </row>
    <row r="909">
      <c r="D909" s="354" t="n"/>
      <c r="E909" s="346" t="n"/>
    </row>
    <row r="910">
      <c r="D910" s="354" t="n"/>
      <c r="E910" s="346" t="n"/>
    </row>
    <row r="911">
      <c r="D911" s="354" t="n"/>
      <c r="E911" s="346" t="n"/>
    </row>
    <row r="912">
      <c r="D912" s="354" t="n"/>
      <c r="E912" s="346" t="n"/>
    </row>
    <row r="913">
      <c r="D913" s="354" t="n"/>
      <c r="E913" s="346" t="n"/>
    </row>
    <row r="914">
      <c r="D914" s="354" t="n"/>
      <c r="E914" s="346" t="n"/>
    </row>
    <row r="915">
      <c r="D915" s="354" t="n"/>
      <c r="E915" s="346" t="n"/>
    </row>
    <row r="916">
      <c r="D916" s="354" t="n"/>
      <c r="E916" s="346" t="n"/>
    </row>
    <row r="917">
      <c r="D917" s="354" t="n"/>
      <c r="E917" s="346" t="n"/>
    </row>
    <row r="918">
      <c r="D918" s="354" t="n"/>
      <c r="E918" s="346" t="n"/>
    </row>
    <row r="919">
      <c r="D919" s="354" t="n"/>
      <c r="E919" s="346" t="n"/>
    </row>
    <row r="920">
      <c r="D920" s="354" t="n"/>
      <c r="E920" s="346" t="n"/>
    </row>
    <row r="921">
      <c r="D921" s="354" t="n"/>
      <c r="E921" s="346" t="n"/>
    </row>
    <row r="922">
      <c r="D922" s="354" t="n"/>
      <c r="E922" s="346" t="n"/>
    </row>
    <row r="923">
      <c r="D923" s="354" t="n"/>
      <c r="E923" s="346" t="n"/>
    </row>
    <row r="924">
      <c r="D924" s="354" t="n"/>
      <c r="E924" s="346" t="n"/>
    </row>
    <row r="925">
      <c r="D925" s="354" t="n"/>
      <c r="E925" s="346" t="n"/>
    </row>
    <row r="926">
      <c r="D926" s="354" t="n"/>
      <c r="E926" s="346" t="n"/>
    </row>
    <row r="927">
      <c r="D927" s="354" t="n"/>
      <c r="E927" s="346" t="n"/>
    </row>
    <row r="928">
      <c r="D928" s="354" t="n"/>
      <c r="E928" s="346" t="n"/>
    </row>
    <row r="929">
      <c r="D929" s="354" t="n"/>
      <c r="E929" s="346" t="n"/>
    </row>
    <row r="930">
      <c r="D930" s="354" t="n"/>
      <c r="E930" s="346" t="n"/>
    </row>
    <row r="931">
      <c r="D931" s="354" t="n"/>
      <c r="E931" s="346" t="n"/>
    </row>
    <row r="932">
      <c r="D932" s="354" t="n"/>
      <c r="E932" s="346" t="n"/>
    </row>
    <row r="933">
      <c r="D933" s="354" t="n"/>
      <c r="E933" s="346" t="n"/>
    </row>
    <row r="934">
      <c r="D934" s="354" t="n"/>
      <c r="E934" s="346" t="n"/>
    </row>
    <row r="935">
      <c r="D935" s="354" t="n"/>
      <c r="E935" s="346" t="n"/>
    </row>
    <row r="936">
      <c r="D936" s="354" t="n"/>
      <c r="E936" s="346" t="n"/>
    </row>
    <row r="937">
      <c r="D937" s="354" t="n"/>
      <c r="E937" s="346" t="n"/>
    </row>
    <row r="938">
      <c r="D938" s="354" t="n"/>
      <c r="E938" s="346" t="n"/>
    </row>
    <row r="939">
      <c r="D939" s="354" t="n"/>
      <c r="E939" s="346" t="n"/>
    </row>
    <row r="940">
      <c r="D940" s="354" t="n"/>
      <c r="E940" s="346" t="n"/>
    </row>
    <row r="941">
      <c r="D941" s="354" t="n"/>
      <c r="E941" s="346" t="n"/>
    </row>
    <row r="942">
      <c r="D942" s="354" t="n"/>
      <c r="E942" s="346" t="n"/>
    </row>
    <row r="943">
      <c r="D943" s="354" t="n"/>
      <c r="E943" s="346" t="n"/>
    </row>
    <row r="944">
      <c r="D944" s="354" t="n"/>
      <c r="E944" s="346" t="n"/>
    </row>
    <row r="945">
      <c r="D945" s="354" t="n"/>
      <c r="E945" s="346" t="n"/>
    </row>
    <row r="946">
      <c r="D946" s="354" t="n"/>
      <c r="E946" s="346" t="n"/>
    </row>
    <row r="947">
      <c r="D947" s="354" t="n"/>
      <c r="E947" s="346" t="n"/>
    </row>
    <row r="948">
      <c r="D948" s="354" t="n"/>
      <c r="E948" s="346" t="n"/>
    </row>
    <row r="949">
      <c r="D949" s="354" t="n"/>
      <c r="E949" s="346" t="n"/>
    </row>
    <row r="950">
      <c r="D950" s="354" t="n"/>
      <c r="E950" s="346" t="n"/>
    </row>
    <row r="951">
      <c r="D951" s="354" t="n"/>
      <c r="E951" s="346" t="n"/>
    </row>
    <row r="952">
      <c r="D952" s="354" t="n"/>
      <c r="E952" s="346" t="n"/>
    </row>
    <row r="953">
      <c r="D953" s="354" t="n"/>
      <c r="E953" s="346" t="n"/>
    </row>
    <row r="954">
      <c r="D954" s="354" t="n"/>
      <c r="E954" s="346" t="n"/>
    </row>
    <row r="955">
      <c r="D955" s="354" t="n"/>
      <c r="E955" s="346" t="n"/>
    </row>
    <row r="956">
      <c r="D956" s="354" t="n"/>
      <c r="E956" s="346" t="n"/>
    </row>
    <row r="957">
      <c r="D957" s="354" t="n"/>
      <c r="E957" s="346" t="n"/>
    </row>
    <row r="958">
      <c r="D958" s="354" t="n"/>
      <c r="E958" s="346" t="n"/>
    </row>
    <row r="959">
      <c r="D959" s="354" t="n"/>
      <c r="E959" s="346" t="n"/>
    </row>
    <row r="960">
      <c r="D960" s="354" t="n"/>
      <c r="E960" s="346" t="n"/>
    </row>
    <row r="961">
      <c r="D961" s="354" t="n"/>
      <c r="E961" s="346" t="n"/>
    </row>
    <row r="962">
      <c r="D962" s="354" t="n"/>
      <c r="E962" s="346" t="n"/>
    </row>
    <row r="963">
      <c r="D963" s="354" t="n"/>
      <c r="E963" s="346" t="n"/>
    </row>
    <row r="964">
      <c r="D964" s="354" t="n"/>
      <c r="E964" s="346" t="n"/>
    </row>
    <row r="965">
      <c r="D965" s="354" t="n"/>
      <c r="E965" s="346" t="n"/>
    </row>
    <row r="966">
      <c r="D966" s="354" t="n"/>
      <c r="E966" s="346" t="n"/>
    </row>
    <row r="967">
      <c r="D967" s="354" t="n"/>
      <c r="E967" s="346" t="n"/>
    </row>
    <row r="968">
      <c r="D968" s="354" t="n"/>
      <c r="E968" s="346" t="n"/>
    </row>
    <row r="969">
      <c r="D969" s="354" t="n"/>
      <c r="E969" s="346" t="n"/>
    </row>
    <row r="970">
      <c r="D970" s="354" t="n"/>
      <c r="E970" s="346" t="n"/>
    </row>
    <row r="971">
      <c r="D971" s="354" t="n"/>
      <c r="E971" s="346" t="n"/>
    </row>
    <row r="972">
      <c r="D972" s="354" t="n"/>
      <c r="E972" s="346" t="n"/>
    </row>
    <row r="973">
      <c r="D973" s="354" t="n"/>
      <c r="E973" s="346" t="n"/>
    </row>
    <row r="974">
      <c r="D974" s="354" t="n"/>
      <c r="E974" s="346" t="n"/>
    </row>
    <row r="975">
      <c r="D975" s="354" t="n"/>
      <c r="E975" s="346" t="n"/>
    </row>
    <row r="976">
      <c r="D976" s="354" t="n"/>
      <c r="E976" s="346" t="n"/>
    </row>
    <row r="977">
      <c r="D977" s="354" t="n"/>
      <c r="E977" s="346" t="n"/>
    </row>
    <row r="978">
      <c r="D978" s="354" t="n"/>
      <c r="E978" s="346" t="n"/>
    </row>
    <row r="979">
      <c r="D979" s="354" t="n"/>
      <c r="E979" s="346" t="n"/>
    </row>
    <row r="980">
      <c r="D980" s="354" t="n"/>
      <c r="E980" s="346" t="n"/>
    </row>
    <row r="981">
      <c r="D981" s="354" t="n"/>
      <c r="E981" s="346" t="n"/>
    </row>
    <row r="982">
      <c r="D982" s="354" t="n"/>
      <c r="E982" s="346" t="n"/>
    </row>
    <row r="983">
      <c r="D983" s="354" t="n"/>
      <c r="E983" s="346" t="n"/>
    </row>
    <row r="984">
      <c r="D984" s="354" t="n"/>
      <c r="E984" s="346" t="n"/>
    </row>
    <row r="985">
      <c r="D985" s="354" t="n"/>
      <c r="E985" s="346" t="n"/>
    </row>
    <row r="986">
      <c r="D986" s="354" t="n"/>
      <c r="E986" s="346" t="n"/>
    </row>
    <row r="987">
      <c r="D987" s="354" t="n"/>
      <c r="E987" s="346" t="n"/>
    </row>
    <row r="988">
      <c r="D988" s="354" t="n"/>
      <c r="E988" s="346" t="n"/>
    </row>
    <row r="989">
      <c r="D989" s="354" t="n"/>
      <c r="E989" s="346" t="n"/>
    </row>
    <row r="990">
      <c r="D990" s="354" t="n"/>
      <c r="E990" s="346" t="n"/>
    </row>
    <row r="991">
      <c r="D991" s="354" t="n"/>
      <c r="E991" s="346" t="n"/>
    </row>
    <row r="992">
      <c r="D992" s="354" t="n"/>
      <c r="E992" s="346" t="n"/>
    </row>
    <row r="993">
      <c r="D993" s="354" t="n"/>
      <c r="E993" s="346" t="n"/>
    </row>
    <row r="994">
      <c r="D994" s="354" t="n"/>
      <c r="E994" s="346" t="n"/>
    </row>
    <row r="995">
      <c r="D995" s="354" t="n"/>
      <c r="E995" s="346" t="n"/>
    </row>
    <row r="996">
      <c r="D996" s="354" t="n"/>
      <c r="E996" s="346" t="n"/>
    </row>
    <row r="997">
      <c r="D997" s="354" t="n"/>
      <c r="E997" s="346" t="n"/>
    </row>
    <row r="998">
      <c r="D998" s="354" t="n"/>
      <c r="E998" s="346" t="n"/>
    </row>
    <row r="999">
      <c r="D999" s="354" t="n"/>
      <c r="E999" s="346" t="n"/>
    </row>
    <row r="1000">
      <c r="D1000" s="354" t="n"/>
      <c r="E1000" s="346" t="n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FF595959"/>
    <outlinePr summaryBelow="0" summaryRight="0"/>
    <pageSetUpPr/>
  </sheetPr>
  <dimension ref="A1:P235"/>
  <sheetViews>
    <sheetView workbookViewId="0">
      <selection activeCell="A1" sqref="A1"/>
    </sheetView>
  </sheetViews>
  <sheetFormatPr baseColWidth="8" defaultColWidth="12.63" defaultRowHeight="15.75" customHeight="1"/>
  <cols>
    <col width="77.63" customWidth="1" style="461" min="1" max="1"/>
    <col width="25.25" customWidth="1" style="461" min="2" max="2"/>
    <col width="31.5" customWidth="1" style="461" min="3" max="3"/>
    <col width="22.5" customWidth="1" style="461" min="4" max="4"/>
    <col width="21" customWidth="1" style="461" min="5" max="5"/>
    <col width="32.88" customWidth="1" style="461" min="6" max="6"/>
    <col width="20.5" customWidth="1" style="461" min="7" max="7"/>
    <col width="24.13" customWidth="1" style="461" min="8" max="8"/>
    <col width="32.63" customWidth="1" style="461" min="9" max="9"/>
    <col width="21.38" customWidth="1" style="461" min="10" max="10"/>
    <col width="14.38" customWidth="1" style="461" min="11" max="11"/>
    <col width="23.13" customWidth="1" style="461" min="12" max="12"/>
    <col width="23.5" customWidth="1" style="461" min="13" max="13"/>
    <col width="32.13" customWidth="1" style="461" min="14" max="14"/>
    <col width="14.5" customWidth="1" style="461" min="16" max="16"/>
  </cols>
  <sheetData>
    <row r="1">
      <c r="A1" s="218" t="inlineStr">
        <is>
          <t>SYSTEM_TODAY</t>
        </is>
      </c>
      <c r="B1" s="227">
        <f>DATE(2026, 9, 29)</f>
        <v/>
      </c>
      <c r="C1" s="218" t="n"/>
      <c r="D1" s="218" t="n"/>
      <c r="E1" s="218" t="n"/>
      <c r="F1" s="218" t="n"/>
      <c r="G1" s="218" t="n"/>
      <c r="P1" s="218">
        <f>'📊 Data_Quality'!C8</f>
        <v/>
      </c>
    </row>
    <row r="2">
      <c r="A2" s="218" t="n">
        <v>1</v>
      </c>
      <c r="B2" s="218">
        <f>COUNTIF(raw_deals!$D$2:$D50000, 1)</f>
        <v/>
      </c>
      <c r="C2" s="218">
        <f>SUMIF(raw_deals!$D$2:$D50000, 1, raw_deals!$C$2:$C50000)</f>
        <v/>
      </c>
      <c r="D2" s="218">
        <f>SUMIF(raw_deals!$D$2:$D50000, 1, raw_deals!$S$2:$S50000)</f>
        <v/>
      </c>
      <c r="E2" s="218">
        <f>COUNTIF(raw_deals!$D$2:$D50000, "&gt;=1")</f>
        <v/>
      </c>
      <c r="F2" s="218">
        <f>IFERROR(E3/MAX(E2,1), 0)</f>
        <v/>
      </c>
      <c r="G2" s="218">
        <f>IFERROR(E2/MAX($E$2,1), 0)</f>
        <v/>
      </c>
      <c r="P2" s="218">
        <f>'📊 Data_Quality'!C9</f>
        <v/>
      </c>
    </row>
    <row r="3">
      <c r="A3" s="218" t="n">
        <v>2</v>
      </c>
      <c r="B3" s="218">
        <f>COUNTIF(raw_deals!$D$2:$D50000, 2)</f>
        <v/>
      </c>
      <c r="C3" s="218">
        <f>SUMIF(raw_deals!$D$2:$D50000, 2, raw_deals!$C$2:$C50000)</f>
        <v/>
      </c>
      <c r="D3" s="218">
        <f>SUMIF(raw_deals!$D$2:$D50000, 2, raw_deals!$S$2:$S50000)</f>
        <v/>
      </c>
      <c r="E3" s="218">
        <f>COUNTIF(raw_deals!$D$2:$D50000, "&gt;=2")</f>
        <v/>
      </c>
      <c r="F3" s="218">
        <f>IFERROR(E4/MAX(E3,1), 0)</f>
        <v/>
      </c>
      <c r="G3" s="218">
        <f>IFERROR(E3/MAX($E$2,1), 0)</f>
        <v/>
      </c>
    </row>
    <row r="4">
      <c r="A4" s="218" t="n">
        <v>3</v>
      </c>
      <c r="B4" s="218">
        <f>COUNTIF(raw_deals!$D$2:$D50000, 3)</f>
        <v/>
      </c>
      <c r="C4" s="218">
        <f>SUMIF(raw_deals!$D$2:$D50000, 3, raw_deals!$C$2:$C50000)</f>
        <v/>
      </c>
      <c r="D4" s="218">
        <f>SUMIF(raw_deals!$D$2:$D50000, 3, raw_deals!$S$2:$S50000)</f>
        <v/>
      </c>
      <c r="E4" s="218">
        <f>COUNTIF(raw_deals!$D$2:$D50000, "&gt;=3")</f>
        <v/>
      </c>
      <c r="F4" s="218">
        <f>IFERROR(E5/MAX(E4,1), 0)</f>
        <v/>
      </c>
      <c r="G4" s="218">
        <f>IFERROR(E4/MAX($E$2,1), 0)</f>
        <v/>
      </c>
    </row>
    <row r="5">
      <c r="A5" s="218" t="n">
        <v>4</v>
      </c>
      <c r="B5" s="218">
        <f>COUNTIF(raw_deals!$D$2:$D50000, 4)</f>
        <v/>
      </c>
      <c r="C5" s="218">
        <f>SUMIF(raw_deals!$D$2:$D50000, 4, raw_deals!$C$2:$C50000)</f>
        <v/>
      </c>
      <c r="D5" s="218">
        <f>SUMIF(raw_deals!$D$2:$D50000, 4, raw_deals!$S$2:$S50000)</f>
        <v/>
      </c>
      <c r="E5" s="218">
        <f>COUNTIF(raw_deals!$D$2:$D50000, "&gt;=4")</f>
        <v/>
      </c>
      <c r="F5" s="218">
        <f>IFERROR(E6/MAX(E5,1), 0)</f>
        <v/>
      </c>
      <c r="G5" s="218">
        <f>IFERROR(E5/MAX($E$2,1), 0)</f>
        <v/>
      </c>
    </row>
    <row r="6">
      <c r="A6" s="218" t="n">
        <v>5</v>
      </c>
      <c r="B6" s="218">
        <f>COUNTIF(raw_deals!$D$2:$D50000, 5)</f>
        <v/>
      </c>
      <c r="C6" s="218">
        <f>SUMIF(raw_deals!$D$2:$D50000, 5, raw_deals!$C$2:$C50000)</f>
        <v/>
      </c>
      <c r="D6" s="218">
        <f>SUMIF(raw_deals!$D$2:$D50000, 5, raw_deals!$S$2:$S50000)</f>
        <v/>
      </c>
      <c r="E6" s="218">
        <f>COUNTIF(raw_deals!$D$2:$D50000, "&gt;=5")</f>
        <v/>
      </c>
      <c r="F6" s="218">
        <f>IFERROR(E7/MAX(E6,1), 0)</f>
        <v/>
      </c>
      <c r="G6" s="218">
        <f>IFERROR(E6/MAX($E$2,1), 0)</f>
        <v/>
      </c>
    </row>
    <row r="7">
      <c r="A7" s="218" t="n">
        <v>6</v>
      </c>
      <c r="B7" s="218">
        <f>COUNTIF(raw_deals!$D$2:$D50000, 6)</f>
        <v/>
      </c>
      <c r="C7" s="218">
        <f>SUMIF(raw_deals!$D$2:$D50000, 6, raw_deals!$C$2:$C50000)</f>
        <v/>
      </c>
      <c r="D7" s="218">
        <f>SUMIF(raw_deals!$D$2:$D50000, 6, raw_deals!$S$2:$S50000)</f>
        <v/>
      </c>
      <c r="E7" s="218">
        <f>COUNTIF(raw_deals!$D$2:$D50000, 6)</f>
        <v/>
      </c>
      <c r="F7" s="218" t="inlineStr">
        <is>
          <t>—</t>
        </is>
      </c>
      <c r="G7" s="218">
        <f>IFERROR(E7/MAX($E$2,1), 0)</f>
        <v/>
      </c>
    </row>
    <row r="8">
      <c r="A8" s="218" t="n">
        <v>7</v>
      </c>
      <c r="B8" s="218">
        <f>COUNTIF(raw_deals!$D$2:$D50000, 7)</f>
        <v/>
      </c>
      <c r="C8" s="218">
        <f>SUMIF(raw_deals!$D$2:$D50000, 7, raw_deals!$C$2:$C50000)</f>
        <v/>
      </c>
      <c r="D8" s="218">
        <f>SUMIF(raw_deals!$D$2:$D50000, 7, raw_deals!$S$2:$S50000)</f>
        <v/>
      </c>
      <c r="E8" s="218">
        <f>COUNTIF(raw_deals!$D$2:$D50000, 7)</f>
        <v/>
      </c>
      <c r="F8" s="218" t="inlineStr">
        <is>
          <t>—</t>
        </is>
      </c>
      <c r="G8" s="218">
        <f>IFERROR(E8/MAX($E$2,1), 0)</f>
        <v/>
      </c>
    </row>
    <row r="9"/>
    <row r="10"/>
    <row r="11"/>
    <row r="12"/>
    <row r="13"/>
    <row r="14"/>
    <row r="15"/>
    <row r="16">
      <c r="A16" s="218" t="inlineStr">
        <is>
          <t>[МЕТРИКА] Сделок в работе (Active Pipeline Deals)</t>
        </is>
      </c>
      <c r="B16" s="218">
        <f>COUNTIF(raw_deals!$D$2:$D50000, "&lt;=5")</f>
        <v/>
      </c>
      <c r="C16" s="218" t="inlineStr">
        <is>
          <t>Подсчет сделок на стадиях 1..5 воронки CRM</t>
        </is>
      </c>
    </row>
    <row r="17">
      <c r="A17" s="218" t="inlineStr">
        <is>
          <t>[МЕТРИКА] Сумма активного пайплайна (Pipeline Amount, ₽)</t>
        </is>
      </c>
      <c r="B17" s="218">
        <f>SUMIF(raw_deals!$D$2:$D50000, "&lt;=5", raw_deals!$C$2:$C50000)</f>
        <v/>
      </c>
      <c r="C17" s="218" t="inlineStr">
        <is>
          <t>Сумма бюджетов сделок в активной работе</t>
        </is>
      </c>
    </row>
    <row r="18">
      <c r="A18" s="218" t="inlineStr">
        <is>
          <t>[МЕТРИКА] Взвешенный пайплайн (Weighted Pipeline, ₽)</t>
        </is>
      </c>
      <c r="B18" s="218">
        <f>SUMIF(raw_deals!$D$2:$D50000, "&lt;=5", raw_deals!$S$2:$S50000)</f>
        <v/>
      </c>
      <c r="C18" s="218" t="inlineStr">
        <is>
          <t>Сумма взвешенных вероятностями бюджетов пайплайна</t>
        </is>
      </c>
    </row>
    <row r="19">
      <c r="A19" s="218" t="inlineStr">
        <is>
          <t>[МЕТРИКА] Факт закрытой выручки (Closed Won Revenue, ₽)</t>
        </is>
      </c>
      <c r="B19" s="218">
        <f>SUMIF(raw_deals!$D$2:$D50000, 6, raw_deals!$C$2:$C50000)</f>
        <v/>
      </c>
      <c r="C19" s="218" t="inlineStr">
        <is>
          <t>Сумма бюджетов успешно выигранных сделок (стадия 6)</t>
        </is>
      </c>
    </row>
    <row r="20">
      <c r="A20" s="218" t="inlineStr">
        <is>
          <t>[МЕТРИКА] Выполнение плана продаж (% Target)</t>
        </is>
      </c>
      <c r="B20" s="218">
        <f>IFERROR(B19/'⚙️ Настройки'!$B$9, 0)</f>
        <v/>
      </c>
      <c r="C20" s="218" t="inlineStr">
        <is>
          <t>Отношение факта выручки к месячному плану из Настроек</t>
        </is>
      </c>
    </row>
    <row r="21">
      <c r="A21" s="218" t="inlineStr">
        <is>
          <t>[МЕТРИКА] Средний чек закрытой сделки (Average Deal Size, ₽)</t>
        </is>
      </c>
      <c r="B21" s="218">
        <f>IFERROR(B19/MAX(B22,1), 0)</f>
        <v/>
      </c>
      <c r="C21" s="218" t="inlineStr">
        <is>
          <t>Факт выручки / Количество выигранных сделок (MAX 1)</t>
        </is>
      </c>
    </row>
    <row r="22">
      <c r="A22" s="218" t="inlineStr">
        <is>
          <t>[МЕТРИКА] Количество выигранных сделок (Won Deals Count)</t>
        </is>
      </c>
      <c r="B22" s="218">
        <f>COUNTIF(raw_deals!$D$2:$D50000, 6)</f>
        <v/>
      </c>
      <c r="C22" s="218" t="inlineStr">
        <is>
          <t>Счетчик сделок на стадии 6 (Успешно реализовано)</t>
        </is>
      </c>
    </row>
    <row r="23">
      <c r="A23" s="218" t="inlineStr">
        <is>
          <t>[МЕТРИКА] Количество проигранных сделок (Lost Deals Count)</t>
        </is>
      </c>
      <c r="B23" s="218">
        <f>COUNTIF(raw_deals!$D$2:$D50000, 7)</f>
        <v/>
      </c>
      <c r="C23" s="218" t="inlineStr">
        <is>
          <t>Счетчик сделок на стадии 7 (Закрыто и не реализовано)</t>
        </is>
      </c>
    </row>
    <row r="24">
      <c r="A24" s="218" t="inlineStr">
        <is>
          <t>[МЕТРИКА] Конверсия закрытия воронки (Win Rate %)</t>
        </is>
      </c>
      <c r="B24" s="218">
        <f>IFERROR(B22/MAX(B22+B23,1), 0)</f>
        <v/>
      </c>
      <c r="C24" s="218" t="inlineStr">
        <is>
          <t>Конверсия: выигранные / (выигранные + проигранные)</t>
        </is>
      </c>
    </row>
    <row r="25">
      <c r="A25" s="218" t="inlineStr">
        <is>
          <t>[МЕТРИКА] Средний цикл сделки, дни (Sales Cycle Days)</t>
        </is>
      </c>
      <c r="B25" s="218">
        <f>IFERROR(AVERAGEIFS(raw_deals!$T$2:$T50000, raw_deals!$D$2:$D50000, 6), 11)</f>
        <v/>
      </c>
      <c r="C25" s="218" t="inlineStr">
        <is>
          <t>Fallback: 11 дней (нормативный цикл B2B сделки)</t>
        </is>
      </c>
    </row>
    <row r="26">
      <c r="A26" s="218" t="inlineStr">
        <is>
          <t>[МЕТРИКА] Активные сделки без зомби (Non-Zombie Pipeline)</t>
        </is>
      </c>
      <c r="B26" s="218">
        <f>COUNTIFS(raw_deals!$D$2:$D50000, "&lt;=5", raw_deals!$R$2:$R50000, "&lt;&gt;zombie")</f>
        <v/>
      </c>
      <c r="C26" s="218" t="inlineStr">
        <is>
          <t>Активные сделки за вычетом зомби-когорты</t>
        </is>
      </c>
    </row>
    <row r="27">
      <c r="A27" s="218" t="inlineStr">
        <is>
          <t>[МЕТРИКА] Скорость пайплайна в день (Pipeline Velocity / day, ₽)</t>
        </is>
      </c>
      <c r="B27" s="218">
        <f>IFERROR(B26*B21*B24/MAX(B25,1), 0)</f>
        <v/>
      </c>
      <c r="C27" s="218" t="inlineStr">
        <is>
          <t>Формула скорости выручки: (Deals * AOV * WinRate) / Cycle</t>
        </is>
      </c>
    </row>
    <row r="28">
      <c r="A28" s="218" t="inlineStr">
        <is>
          <t>[МЕТРИКА] Прогноз выручки на 30 дней (Pipeline Velocity / 30d, ₽)</t>
        </is>
      </c>
      <c r="B28" s="218">
        <f>B27*30</f>
        <v/>
      </c>
      <c r="C28" s="218" t="inlineStr">
        <is>
          <t>Проекция суточной скорости пайплайна на 30 календарных дней</t>
        </is>
      </c>
    </row>
    <row r="29">
      <c r="A29" s="218" t="inlineStr">
        <is>
          <t>[МЕТРИКА] Месячный Run-Rate прогноз (Run-Rate Forecast, ₽)</t>
        </is>
      </c>
      <c r="B29" s="218">
        <f>IFERROR((B19/MAX(DAY($B$1),1))*DAY(EOMONTH($B$1,0)), B19)</f>
        <v/>
      </c>
      <c r="C29" s="218" t="inlineStr">
        <is>
          <t>Экстраполяция текущего темпа продаж до конца месяца</t>
        </is>
      </c>
    </row>
    <row r="30">
      <c r="A30" s="218" t="inlineStr">
        <is>
          <t>[МЕТРИКА] Факт + Взвешенный остаток (Fact + Weighted Pipeline, ₽)</t>
        </is>
      </c>
      <c r="B30" s="218">
        <f>B19+B18</f>
        <v/>
      </c>
      <c r="C30" s="218" t="inlineStr">
        <is>
          <t>Консервативная сумма: закрытый факт + взвешенный остаток</t>
        </is>
      </c>
    </row>
    <row r="31">
      <c r="A31" s="218" t="inlineStr">
        <is>
          <t>[МЕТРИКА] Соблюдение SLA этапов CRM (% SLA Compliance)</t>
        </is>
      </c>
      <c r="B31" s="218">
        <f>IFERROR(COUNTIF('📊 Stage_History'!$G$2:$G$50000, "🟢 В НОРМЕ") / MAX(COUNTA('📊 Stage_History'!$A$2:$A$50000), 1), 0.92)</f>
        <v/>
      </c>
      <c r="C31" s="218" t="inlineStr">
        <is>
          <t>Fallback: 0.92 (92% норматив соблюдения SLA стадий)</t>
        </is>
      </c>
    </row>
    <row r="32">
      <c r="A32" s="218" t="inlineStr">
        <is>
          <t>[МЕТРИКА] Средний балл качества речи (Avg Speech Score)</t>
        </is>
      </c>
      <c r="B32" s="218">
        <f>IFERROR(AVERAGE(raw_calls!$T$2:$T50000), 9.5)</f>
        <v/>
      </c>
      <c r="C32" s="218" t="inlineStr">
        <is>
          <t>Fallback: 9.5 баллов (минимальный стандарт речи из 13)</t>
        </is>
      </c>
    </row>
    <row r="33">
      <c r="A33" s="218" t="inlineStr">
        <is>
          <t>[МЕТРИКА] Доля звонков без брака (% Speech Quality Rate)</t>
        </is>
      </c>
      <c r="B33" s="218">
        <f>IFERROR(COUNTIF(raw_calls!$U$2:$U50000, TRUE)/MAX(COUNT(raw_calls!$T$2:$T50000),1), 0.67)</f>
        <v/>
      </c>
      <c r="C33" s="218" t="inlineStr">
        <is>
          <t>Fallback: 0.67 (67% отраслевой бенчмарк чистых звонков)</t>
        </is>
      </c>
    </row>
    <row r="34">
      <c r="A34" s="218" t="inlineStr">
        <is>
          <t>[МЕТРИКА] Интегральный RevOps Health Score (0..1)</t>
        </is>
      </c>
      <c r="B34" s="218">
        <f>0.4*MIN(1,B20)+0.35*B31+0.25*IFERROR(B32/13,0)</f>
        <v/>
      </c>
      <c r="C34" s="218" t="inlineStr">
        <is>
          <t>Взвешенный индекс: 40% план + 35% SLA + 25% качество речи</t>
        </is>
      </c>
    </row>
    <row r="35">
      <c r="A35" s="218" t="inlineStr">
        <is>
          <t>[МЕТРИКА] Утилизация емкости менеджера 101 (% Capacity)</t>
        </is>
      </c>
      <c r="B35" s="439">
        <f>'👥 Ресурсный_План'!$L$8</f>
        <v/>
      </c>
      <c r="C35" s="218" t="inlineStr">
        <is>
          <t>Загрузка КАМа сделками относительно лимита из Настроек</t>
        </is>
      </c>
    </row>
    <row r="36">
      <c r="A36" s="218" t="inlineStr">
        <is>
          <t>[МЕТРИКА] Стоимость привлечения лида CPL, ₽ (Cost Per Lead)</t>
        </is>
      </c>
      <c r="B36" s="218">
        <f>IFERROR(SUM(raw_marketing!$E$2:$E50000)/MAX(SUM(raw_marketing!$H$2:$H50000),1), 2330)</f>
        <v/>
      </c>
      <c r="C36" s="218" t="inlineStr">
        <is>
          <t>Fallback: 2330 ₽ (нормативная стоимость B2B лида)</t>
        </is>
      </c>
    </row>
    <row r="37">
      <c r="A37" s="218" t="inlineStr">
        <is>
          <t>[МЕТРИКА] Стоимость привлечения клиента CAC, ₽ (Customer Acquisition Cost)</t>
        </is>
      </c>
      <c r="B37" s="218">
        <f>IFERROR(SUM(raw_marketing!$E$2:$E50000)/MAX(B22,1), 120000)</f>
        <v/>
      </c>
      <c r="C37" s="218" t="inlineStr">
        <is>
          <t>Fallback: 120 000 ₽ (нормативная стоимость привлечения клиента)</t>
        </is>
      </c>
    </row>
    <row r="38">
      <c r="A38" s="218" t="inlineStr">
        <is>
          <t>[МЕТРИКА] Жизненный цикл клиента LTV, ₽ (Customer Lifetime Value)</t>
        </is>
      </c>
      <c r="B38" s="218">
        <f>IFERROR(SUM(raw_payments!$E$2:$E50000)/MAX(B22,1), B21*1.2)</f>
        <v/>
      </c>
      <c r="C38" s="218" t="inlineStr">
        <is>
          <t>Расчетный LTV клиента с учетом повторных платежей</t>
        </is>
      </c>
    </row>
    <row r="39">
      <c r="A39" s="218" t="inlineStr">
        <is>
          <t>[МЕТРИКА] Отношение LTV / CAC (Unit Economics Ratio)</t>
        </is>
      </c>
      <c r="B39" s="218">
        <f>IFERROR(B38/MAX(B37,1), 0)</f>
        <v/>
      </c>
      <c r="C39" s="218" t="inlineStr">
        <is>
          <t>Ключевое соотношение Unit-экономики (норматив &gt;= 3.0)</t>
        </is>
      </c>
    </row>
    <row r="40">
      <c r="A40" s="218" t="inlineStr">
        <is>
          <t>[МЕТРИКА] Доля CAC от среднего чека (CAC / AOV)</t>
        </is>
      </c>
      <c r="B40" s="218">
        <f>IFERROR(B37/MAX(B21,1), 0)</f>
        <v/>
      </c>
      <c r="C40" s="218" t="inlineStr">
        <is>
          <t>Доля маркетинговых затрат на клиента в среднем чеке</t>
        </is>
      </c>
    </row>
    <row r="41">
      <c r="A41" s="218" t="inlineStr">
        <is>
          <t>[МЕТРИКА] Общее количество проанализированных звонков (Total Calls)</t>
        </is>
      </c>
      <c r="B41" s="218">
        <f>COUNT(raw_calls!$T$2:$T50000)</f>
        <v/>
      </c>
      <c r="C41" s="218" t="inlineStr">
        <is>
          <t>Счетчик оцененных звонков в сырой таблице телефонии</t>
        </is>
      </c>
    </row>
    <row r="42">
      <c r="A42" s="218" t="n"/>
      <c r="B42" s="218" t="n"/>
      <c r="C42" s="218" t="n"/>
      <c r="D42" s="218" t="n"/>
      <c r="E42" s="218" t="n"/>
      <c r="F42" s="218" t="n"/>
      <c r="G42" s="218" t="n"/>
      <c r="H42" s="218" t="n"/>
      <c r="I42" s="218" t="n"/>
      <c r="J42" s="218" t="n"/>
    </row>
    <row r="43">
      <c r="D43" s="218">
        <f>COUNTIFS(raw_deals!$H$2:$H50000, 101, raw_deals!$D$2:$D50000, "&lt;=5")</f>
        <v/>
      </c>
      <c r="E43" s="218">
        <f>SUMIFS(raw_deals!$C$2:$C50000, raw_deals!$H$2:$H50000, 101, raw_deals!$D$2:$D50000, "&lt;=5")</f>
        <v/>
      </c>
      <c r="F43" s="218">
        <f>COUNTIF(raw_calls!$C$2:$C50000, 101)</f>
        <v/>
      </c>
      <c r="G43" s="218">
        <f>IFERROR(AVERAGEIFS(raw_calls!$T$2:$T50000, raw_calls!$C$2:$C50000, 101), 0)</f>
        <v/>
      </c>
      <c r="H43" s="218">
        <f>IFERROR(COUNTIFS(raw_calls!$C$2:$C50000, 101, raw_calls!$U$2:$U50000, TRUE)/MAX(F43,1), 0)</f>
        <v/>
      </c>
      <c r="I43" s="218">
        <f>IFERROR(D43/5, 0)</f>
        <v/>
      </c>
    </row>
    <row r="44">
      <c r="D44" s="218">
        <f>COUNTIFS(raw_deals!$H$2:$H50000, 102, raw_deals!$D$2:$D50000, "&lt;=5")</f>
        <v/>
      </c>
      <c r="E44" s="218">
        <f>SUMIFS(raw_deals!$C$2:$C50000, raw_deals!$H$2:$H50000, 102, raw_deals!$D$2:$D50000, "&lt;=5")</f>
        <v/>
      </c>
      <c r="F44" s="218">
        <f>COUNTIF(raw_calls!$C$2:$C50000, 102)</f>
        <v/>
      </c>
      <c r="G44" s="218">
        <f>IFERROR(AVERAGEIFS(raw_calls!$T$2:$T50000, raw_calls!$C$2:$C50000, 102), 0)</f>
        <v/>
      </c>
      <c r="H44" s="218">
        <f>IFERROR(COUNTIFS(raw_calls!$C$2:$C50000, 102, raw_calls!$U$2:$U50000, TRUE)/MAX(F44,1), 0)</f>
        <v/>
      </c>
      <c r="I44" s="218">
        <f>IFERROR(D44/25, 0)</f>
        <v/>
      </c>
    </row>
    <row r="45">
      <c r="D45" s="218">
        <f>COUNTIFS(raw_deals!$H$2:$H50000, 103, raw_deals!$D$2:$D50000, "&lt;=5")</f>
        <v/>
      </c>
      <c r="E45" s="218">
        <f>SUMIFS(raw_deals!$C$2:$C50000, raw_deals!$H$2:$H50000, 103, raw_deals!$D$2:$D50000, "&lt;=5")</f>
        <v/>
      </c>
      <c r="F45" s="218">
        <f>COUNTIF(raw_calls!$C$2:$C50000, 103)</f>
        <v/>
      </c>
      <c r="G45" s="218">
        <f>IFERROR(AVERAGEIFS(raw_calls!$T$2:$T50000, raw_calls!$C$2:$C50000, 103), 0)</f>
        <v/>
      </c>
      <c r="H45" s="218">
        <f>IFERROR(COUNTIFS(raw_calls!$C$2:$C50000, 103, raw_calls!$U$2:$U50000, TRUE)/MAX(F45,1), 0)</f>
        <v/>
      </c>
      <c r="I45" s="218">
        <f>IFERROR(D45/40, 0)</f>
        <v/>
      </c>
    </row>
    <row r="46"/>
    <row r="47"/>
    <row r="48"/>
    <row r="49"/>
    <row r="50">
      <c r="A50" s="218" t="inlineStr">
        <is>
          <t>📊 АНАЛИЗ ПРИЧИН ОТКАЗОВ (LOSS CODES)</t>
        </is>
      </c>
    </row>
    <row r="51">
      <c r="A51" s="218" t="inlineStr">
        <is>
          <t>Код</t>
        </is>
      </c>
      <c r="B51" s="218" t="inlineStr">
        <is>
          <t>Причина отказа</t>
        </is>
      </c>
      <c r="C51" s="218" t="inlineStr">
        <is>
          <t>Кол-во сделок</t>
        </is>
      </c>
      <c r="D51" s="218" t="inlineStr">
        <is>
          <t>Объем потерь, ₽</t>
        </is>
      </c>
      <c r="E51" s="218" t="inlineStr">
        <is>
          <t>Вероятность реактивации</t>
        </is>
      </c>
    </row>
    <row r="52">
      <c r="A52" s="218" t="inlineStr">
        <is>
          <t>L1</t>
        </is>
      </c>
      <c r="B52" s="218" t="inlineStr">
        <is>
          <t>Дорого / нет бюджета</t>
        </is>
      </c>
      <c r="C52" s="218">
        <f>COUNTIF(raw_deals!$M$2:$M$50000,"L1")</f>
        <v/>
      </c>
      <c r="D52" s="218">
        <f>SUMIF(raw_deals!$M$2:$M$50000,"L1",raw_deals!$C$2:$C$50000)</f>
        <v/>
      </c>
      <c r="E52" s="355">
        <f>'⚙️ Настройки'!C26</f>
        <v/>
      </c>
    </row>
    <row r="53">
      <c r="A53" s="218" t="inlineStr">
        <is>
          <t>L2</t>
        </is>
      </c>
      <c r="B53" s="218" t="inlineStr">
        <is>
          <t>Выбрали конкурента</t>
        </is>
      </c>
      <c r="C53" s="218">
        <f>COUNTIF(raw_deals!$M$2:$M$50000,"L2")</f>
        <v/>
      </c>
      <c r="D53" s="218">
        <f>SUMIF(raw_deals!$M$2:$M$50000,"L2",raw_deals!$C$2:$C$50000)</f>
        <v/>
      </c>
      <c r="E53" s="355">
        <f>'⚙️ Настройки'!C27</f>
        <v/>
      </c>
    </row>
    <row r="54">
      <c r="A54" s="218" t="inlineStr">
        <is>
          <t>L3</t>
        </is>
      </c>
      <c r="B54" s="218" t="inlineStr">
        <is>
          <t>Не формат / нет потребности</t>
        </is>
      </c>
      <c r="C54" s="218">
        <f>COUNTIF(raw_deals!$M$2:$M$50000,"L3")</f>
        <v/>
      </c>
      <c r="D54" s="218">
        <f>SUMIF(raw_deals!$M$2:$M$50000,"L3",raw_deals!$C$2:$C$50000)</f>
        <v/>
      </c>
      <c r="E54" s="355">
        <f>'⚙️ Настройки'!C28</f>
        <v/>
      </c>
    </row>
    <row r="55">
      <c r="A55" s="218" t="inlineStr">
        <is>
          <t>L4</t>
        </is>
      </c>
      <c r="B55" s="218" t="inlineStr">
        <is>
          <t>Потеря контакта / недозвон</t>
        </is>
      </c>
      <c r="C55" s="218">
        <f>COUNTIF(raw_deals!$M$2:$M$50000,"L4")</f>
        <v/>
      </c>
      <c r="D55" s="218">
        <f>SUMIF(raw_deals!$M$2:$M$50000,"L4",raw_deals!$C$2:$C$50000)</f>
        <v/>
      </c>
      <c r="E55" s="355">
        <f>'⚙️ Настройки'!C29</f>
        <v/>
      </c>
    </row>
    <row r="56">
      <c r="B56" s="218" t="inlineStr">
        <is>
          <t>ИТОГО потенциал реактивации:</t>
        </is>
      </c>
      <c r="C56" s="218">
        <f>SUM(C52:C55)</f>
        <v/>
      </c>
      <c r="D56" s="218">
        <f>SUMPRODUCT(D52:D55, E52:E55)</f>
        <v/>
      </c>
    </row>
    <row r="57"/>
    <row r="58"/>
    <row r="59"/>
    <row r="60">
      <c r="A60" s="218" t="inlineStr">
        <is>
          <t>📊 МАРКЕТИНГ И ТРАФИК (CONSOLIDATED CORE)</t>
        </is>
      </c>
    </row>
    <row r="61">
      <c r="A61" s="218" t="inlineStr">
        <is>
          <t>Метрика</t>
        </is>
      </c>
      <c r="B61" s="218" t="inlineStr">
        <is>
          <t>Значение</t>
        </is>
      </c>
      <c r="C61" s="218" t="inlineStr">
        <is>
          <t>Формула / Источник</t>
        </is>
      </c>
      <c r="D61" s="218" t="inlineStr">
        <is>
          <t>Период</t>
        </is>
      </c>
      <c r="E61" s="218" t="inlineStr">
        <is>
          <t>Статус</t>
        </is>
      </c>
    </row>
    <row r="62">
      <c r="A62" s="218" t="inlineStr">
        <is>
          <t>Маркетинговый бюджет (Total Spend)</t>
        </is>
      </c>
      <c r="B62" s="346">
        <f>SUM(raw_marketing!$E$2:$E$50000)</f>
        <v/>
      </c>
      <c r="C62" s="218" t="inlineStr">
        <is>
          <t>raw_marketing!E</t>
        </is>
      </c>
      <c r="D62" s="218" t="inlineStr">
        <is>
          <t>Месяц</t>
        </is>
      </c>
      <c r="E62" s="218" t="inlineStr">
        <is>
          <t>Факт</t>
        </is>
      </c>
    </row>
    <row r="63">
      <c r="A63" s="218" t="inlineStr">
        <is>
          <t>Входящих кликов (Total Clicks)</t>
        </is>
      </c>
      <c r="B63" s="218">
        <f>SUM(raw_marketing!$F$2:$F$50000)</f>
        <v/>
      </c>
      <c r="C63" s="218" t="inlineStr">
        <is>
          <t>raw_marketing!F</t>
        </is>
      </c>
      <c r="D63" s="218" t="inlineStr">
        <is>
          <t>Месяц</t>
        </is>
      </c>
      <c r="E63" s="218" t="inlineStr">
        <is>
          <t>Факт</t>
        </is>
      </c>
    </row>
    <row r="64">
      <c r="A64" s="218" t="inlineStr">
        <is>
          <t>Всего показов (Total Impressions)</t>
        </is>
      </c>
      <c r="B64" s="218">
        <f>SUM(raw_marketing!$G$2:$G$50000)</f>
        <v/>
      </c>
      <c r="C64" s="218" t="inlineStr">
        <is>
          <t>raw_marketing!G</t>
        </is>
      </c>
      <c r="D64" s="218" t="inlineStr">
        <is>
          <t>Месяц</t>
        </is>
      </c>
      <c r="E64" s="218" t="inlineStr">
        <is>
          <t>Факт</t>
        </is>
      </c>
    </row>
    <row r="65">
      <c r="A65" s="218" t="inlineStr">
        <is>
          <t>Всего лидов с рекламы (Ad Leads)</t>
        </is>
      </c>
      <c r="B65" s="218">
        <f>SUM(raw_marketing!$H$2:$H$50000)</f>
        <v/>
      </c>
      <c r="C65" s="218" t="inlineStr">
        <is>
          <t>raw_marketing!H</t>
        </is>
      </c>
      <c r="D65" s="218" t="inlineStr">
        <is>
          <t>Месяц</t>
        </is>
      </c>
      <c r="E65" s="218" t="inlineStr">
        <is>
          <t>Факт</t>
        </is>
      </c>
    </row>
    <row r="66">
      <c r="A66" s="356" t="n"/>
      <c r="B66" s="218">
        <f>COUNTIFS(raw_deals!$R$2:$R50000, "4-7", raw_deals!$D$2:$D50000, "&lt;=5")</f>
        <v/>
      </c>
      <c r="C66" s="218">
        <f>SUMIFS(raw_deals!$C$2:$C50000, raw_deals!$R$2:$R50000, "4-7", raw_deals!$D$2:$D50000, "&lt;=5")</f>
        <v/>
      </c>
    </row>
    <row r="67">
      <c r="A67" s="356" t="n"/>
      <c r="B67" s="218">
        <f>COUNTIFS(raw_deals!$R$2:$R50000, "8-14", raw_deals!$D$2:$D50000, "&lt;=5")</f>
        <v/>
      </c>
      <c r="C67" s="218">
        <f>SUMIFS(raw_deals!$C$2:$C50000, raw_deals!$R$2:$R50000, "8-14", raw_deals!$D$2:$D50000, "&lt;=5")</f>
        <v/>
      </c>
    </row>
    <row r="68">
      <c r="A68" s="218" t="n"/>
      <c r="B68" s="218">
        <f>COUNTIFS(raw_deals!$R$2:$R50000, "15-30", raw_deals!$D$2:$D50000, "&lt;=5")</f>
        <v/>
      </c>
      <c r="C68" s="218">
        <f>SUMIFS(raw_deals!$C$2:$C50000, raw_deals!$R$2:$R50000, "15-30", raw_deals!$D$2:$D50000, "&lt;=5")</f>
        <v/>
      </c>
    </row>
    <row r="69">
      <c r="A69" s="218" t="n"/>
      <c r="B69" s="218">
        <f>COUNTIFS(raw_deals!$R$2:$R50000, "zombie", raw_deals!$D$2:$D50000, "&lt;=5")</f>
        <v/>
      </c>
      <c r="C69" s="218">
        <f>SUMIFS(raw_deals!$C$2:$C50000, raw_deals!$R$2:$R50000, "zombie", raw_deals!$D$2:$D50000, "&lt;=5")</f>
        <v/>
      </c>
    </row>
    <row r="70"/>
    <row r="71"/>
    <row r="72"/>
    <row r="73">
      <c r="A73" s="218" t="n"/>
      <c r="B73" s="218" t="n"/>
      <c r="C73" s="218" t="n"/>
      <c r="D73" s="218" t="n"/>
      <c r="E73" s="218" t="n"/>
      <c r="F73" s="218" t="n"/>
    </row>
    <row r="74">
      <c r="A74" s="218" t="n"/>
      <c r="C74" s="218">
        <f>COUNTIFS(raw_deals!$M$2:$M50000, "L1", raw_deals!$D$2:$D50000, 7)</f>
        <v/>
      </c>
      <c r="D74" s="218">
        <f>SUMIFS(raw_deals!$C$2:$C50000, raw_deals!$M$2:$M50000, "L1", raw_deals!$D$2:$D50000, 7)</f>
        <v/>
      </c>
    </row>
    <row r="75">
      <c r="A75" s="218" t="n"/>
      <c r="C75" s="218">
        <f>COUNTIFS(raw_deals!$M$2:$M50000, "L2", raw_deals!$D$2:$D50000, 7)</f>
        <v/>
      </c>
      <c r="D75" s="218">
        <f>SUMIFS(raw_deals!$C$2:$C50000, raw_deals!$M$2:$M50000, "L2", raw_deals!$D$2:$D50000, 7)</f>
        <v/>
      </c>
    </row>
    <row r="76">
      <c r="A76" s="218" t="n"/>
      <c r="C76" s="218">
        <f>COUNTIFS(raw_deals!$M$2:$M50000, "L3", raw_deals!$D$2:$D50000, 7)</f>
        <v/>
      </c>
      <c r="D76" s="218">
        <f>SUMIFS(raw_deals!$C$2:$C50000, raw_deals!$M$2:$M50000, "L3", raw_deals!$D$2:$D50000, 7)</f>
        <v/>
      </c>
    </row>
    <row r="77">
      <c r="A77" s="218" t="n"/>
      <c r="C77" s="218">
        <f>COUNTIFS(raw_deals!$M$2:$M50000, "L4", raw_deals!$D$2:$D50000, 7)</f>
        <v/>
      </c>
      <c r="D77" s="218">
        <f>SUMIFS(raw_deals!$C$2:$C50000, raw_deals!$M$2:$M50000, "L4", raw_deals!$D$2:$D50000, 7)</f>
        <v/>
      </c>
    </row>
    <row r="78"/>
    <row r="79"/>
    <row r="80"/>
    <row r="81"/>
    <row r="82"/>
    <row r="83"/>
    <row r="84">
      <c r="A84" s="218" t="n"/>
      <c r="B84" s="218" t="n"/>
      <c r="C84" s="218" t="n"/>
      <c r="D84" s="218" t="n"/>
      <c r="E84" s="218" t="n"/>
      <c r="F84" s="218" t="n"/>
    </row>
    <row r="85">
      <c r="A85" s="218" t="inlineStr">
        <is>
          <t>Яндекс Директ</t>
        </is>
      </c>
      <c r="B85" s="218">
        <f>SUMIF(raw_marketing!$B$2:$B50000, $A85, raw_marketing!$E$2:$E50000)</f>
        <v/>
      </c>
      <c r="C85" s="218">
        <f>SUMIF(raw_marketing!$B$2:$B50000, $A85, raw_marketing!$H$2:$H50000)</f>
        <v/>
      </c>
      <c r="D85" s="218">
        <f>SUMIFS(raw_deals!$C$2:$C50000, raw_deals!$J$2:$J50000, $A85, raw_deals!$D$2:$D50000, 6)</f>
        <v/>
      </c>
      <c r="E85" s="218">
        <f>IFERROR(B85/MAX(C85,1), 0)</f>
        <v/>
      </c>
      <c r="F85" s="218">
        <f>IFERROR((D85-B85)/MAX(B85,1), 0)</f>
        <v/>
      </c>
    </row>
    <row r="86">
      <c r="A86" s="218" t="inlineStr">
        <is>
          <t>Контур.Фокус</t>
        </is>
      </c>
      <c r="B86" s="218">
        <f>SUMIF(raw_marketing!$B$2:$B50000, $A86, raw_marketing!$E$2:$E50000)</f>
        <v/>
      </c>
      <c r="C86" s="218">
        <f>SUMIF(raw_marketing!$B$2:$B50000, $A86, raw_marketing!$H$2:$H50000)</f>
        <v/>
      </c>
      <c r="D86" s="218">
        <f>SUMIFS(raw_deals!$C$2:$C50000, raw_deals!$J$2:$J50000, $A86, raw_deals!$D$2:$D50000, 6)</f>
        <v/>
      </c>
      <c r="E86" s="218">
        <f>IFERROR(B86/MAX(C86,1), 0)</f>
        <v/>
      </c>
      <c r="F86" s="218">
        <f>IFERROR((D86-B86)/MAX(B86,1), 0)</f>
        <v/>
      </c>
    </row>
    <row r="87">
      <c r="A87" s="218" t="inlineStr">
        <is>
          <t>Google Ads</t>
        </is>
      </c>
      <c r="B87" s="218">
        <f>SUMIF(raw_marketing!$B$2:$B50000, $A87, raw_marketing!$E$2:$E50000)</f>
        <v/>
      </c>
      <c r="C87" s="218">
        <f>SUMIF(raw_marketing!$B$2:$B50000, $A87, raw_marketing!$H$2:$H50000)</f>
        <v/>
      </c>
      <c r="D87" s="218">
        <f>SUMIFS(raw_deals!$C$2:$C50000, raw_deals!$J$2:$J50000, $A87, raw_deals!$D$2:$D50000, 6)</f>
        <v/>
      </c>
      <c r="E87" s="218">
        <f>IFERROR(B87/MAX(C87,1), 0)</f>
        <v/>
      </c>
      <c r="F87" s="218">
        <f>IFERROR((D87-B87)/MAX(B87,1), 0)</f>
        <v/>
      </c>
    </row>
    <row r="88"/>
    <row r="89"/>
    <row r="90">
      <c r="A90" s="218" t="n"/>
      <c r="C90" s="218" t="n"/>
      <c r="E90" s="218" t="n"/>
    </row>
    <row r="91">
      <c r="A91" s="357" t="inlineStr">
        <is>
          <t>📊 КОГОРТНЫЙ NRR И УДЕРЖАНИЕ ВЫРУЧКИ (M0–M3)</t>
        </is>
      </c>
    </row>
    <row r="92">
      <c r="A92" s="358" t="inlineStr">
        <is>
          <t>Когорта</t>
        </is>
      </c>
      <c r="B92" s="358" t="inlineStr">
        <is>
          <t>Клиентов</t>
        </is>
      </c>
      <c r="C92" s="358" t="inlineStr">
        <is>
          <t>M0 (Старт)</t>
        </is>
      </c>
      <c r="D92" s="358" t="inlineStr">
        <is>
          <t>M1</t>
        </is>
      </c>
      <c r="E92" s="358" t="inlineStr">
        <is>
          <t>M2</t>
        </is>
      </c>
      <c r="F92" s="358" t="inlineStr">
        <is>
          <t>M3</t>
        </is>
      </c>
      <c r="G92" s="358" t="inlineStr">
        <is>
          <t>NRR кумулятивный</t>
        </is>
      </c>
    </row>
    <row r="93">
      <c r="A93" s="218" t="inlineStr">
        <is>
          <t>Сентябрь 2026</t>
        </is>
      </c>
      <c r="B93" s="197">
        <f>COUNTIF(raw_deals!$D$2:$D50000, 6)</f>
        <v/>
      </c>
      <c r="C93" s="346">
        <f>SUMIFS(raw_payments!$E$2:$E50000, raw_payments!$F$2:$F50000, "initial")</f>
        <v/>
      </c>
      <c r="D93" s="346">
        <f>SUMIFS(raw_payments!$E$2:$E50000, raw_payments!$F$2:$F50000, "&lt;&gt;initial", raw_payments!$D$2:$D50000, "&gt;="&amp;DATE(2026,10,1), raw_payments!$D$2:$D50000, "&lt;="&amp;DATE(2026,10,31))</f>
        <v/>
      </c>
      <c r="E93" s="346">
        <f>SUMIFS(raw_payments!$E$2:$E50000, raw_payments!$F$2:$F50000, "&lt;&gt;initial", raw_payments!$D$2:$D50000, "&gt;="&amp;DATE(2026,11,1), raw_payments!$D$2:$D50000, "&lt;="&amp;DATE(2026,11,30))</f>
        <v/>
      </c>
      <c r="F93" s="346" t="n">
        <v>0</v>
      </c>
      <c r="G93" s="439">
        <f>IFERROR((C93+D93+E93+F93)/MAX(C93,1), 1)</f>
        <v/>
      </c>
    </row>
    <row r="94">
      <c r="A94" s="218" t="n"/>
    </row>
    <row r="95">
      <c r="A95" s="218" t="n"/>
    </row>
    <row r="96">
      <c r="A96" s="218" t="n"/>
    </row>
    <row r="97">
      <c r="A97" s="218" t="n"/>
    </row>
    <row r="98">
      <c r="A98" s="218" t="n"/>
    </row>
    <row r="99">
      <c r="A99" s="218" t="n"/>
    </row>
    <row r="100">
      <c r="A100" s="218" t="n"/>
    </row>
    <row r="101">
      <c r="A101" s="218" t="n"/>
      <c r="B101" s="218" t="n"/>
      <c r="C101" s="218" t="n"/>
    </row>
    <row r="102">
      <c r="A102" s="218" t="n"/>
      <c r="B102" s="218" t="n"/>
      <c r="C102" s="218" t="n"/>
    </row>
    <row r="103">
      <c r="A103" s="218" t="n"/>
    </row>
    <row r="104">
      <c r="A104" s="218" t="n"/>
    </row>
    <row r="105">
      <c r="A105" s="218" t="n"/>
    </row>
    <row r="106">
      <c r="A106" s="218" t="n"/>
    </row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>
      <c r="A130" s="360" t="inlineStr">
        <is>
          <t>СВОДНАЯ МУЛЬТИКАНАЛЬНАЯ АТРИБУЦИЯ (FIRST-TOUCH vs LAST-TOUCH vs W-SHAPED)</t>
        </is>
      </c>
    </row>
    <row r="131">
      <c r="A131" s="361" t="inlineStr">
        <is>
          <t>channel</t>
        </is>
      </c>
      <c r="B131" s="361" t="inlineStr">
        <is>
          <t>spend</t>
        </is>
      </c>
      <c r="C131" s="361" t="inlineStr">
        <is>
          <t>first_touch_rev</t>
        </is>
      </c>
      <c r="D131" s="361" t="inlineStr">
        <is>
          <t>last_touch_rev</t>
        </is>
      </c>
      <c r="E131" s="361" t="inlineStr">
        <is>
          <t>w_shaped_rev</t>
        </is>
      </c>
      <c r="F131" s="361" t="inlineStr">
        <is>
          <t>ft_romi</t>
        </is>
      </c>
      <c r="G131" s="361" t="inlineStr">
        <is>
          <t>lt_romi</t>
        </is>
      </c>
      <c r="H131" s="361" t="inlineStr">
        <is>
          <t>w_romi</t>
        </is>
      </c>
      <c r="I131" s="361" t="inlineStr">
        <is>
          <t>status_verdict</t>
        </is>
      </c>
    </row>
    <row r="132">
      <c r="A132" s="218" t="inlineStr">
        <is>
          <t>Яндекс Директ</t>
        </is>
      </c>
      <c r="B132" s="218">
        <f>SUMIF(raw_marketing!$B$2:$B50000, "Яндекс Директ", raw_marketing!$E$2:$E50000)</f>
        <v/>
      </c>
      <c r="C132" s="218">
        <f>SUMIFS(raw_touchpoints!$I$2:$I$50000, raw_touchpoints!$E$2:$E$50000, A132, raw_touchpoints!$G$2:$G$50000, "1. First Touch", raw_touchpoints!$J$2:$J$50000, TRUE)</f>
        <v/>
      </c>
      <c r="D132" s="218">
        <f>SUMIFS(raw_touchpoints!$I$2:$I$50000, raw_touchpoints!$E$2:$E$50000, A132, raw_touchpoints!$G$2:$G$50000, "4. Deal Close", raw_touchpoints!$J$2:$J$50000, TRUE)</f>
        <v/>
      </c>
      <c r="E132" s="218">
        <f>SUMIFS(raw_touchpoints!$K$2:$K$50000, raw_touchpoints!$E$2:$E$50000, A132)</f>
        <v/>
      </c>
      <c r="F132" s="218">
        <f>IF(B132&gt;0, (C132-B132)/B132, 0)</f>
        <v/>
      </c>
      <c r="G132" s="218">
        <f>IF(B132&gt;0, (D132-B132)/B132, 0)</f>
        <v/>
      </c>
      <c r="H132" s="218">
        <f>IF(B132&gt;0, (E132-B132)/B132, 0)</f>
        <v/>
      </c>
      <c r="I132" s="218">
        <f>IF(B132=0, "🌱 ОРГАНИЧЕСКИЙ ДРАЙВЕР", IF(E132&gt;D132, "🛡️ ЗАКРЫВАЕТ СДЕЛКИ (НЕ ОТКЛЮЧАТЬ!)", IF(G132&gt;5, "🚀 ЛИДЕР МАСШТАБИРОВАНИЯ", "🟢 СБАЛАНСИРОВАН")))</f>
        <v/>
      </c>
    </row>
    <row r="133">
      <c r="A133" s="218" t="inlineStr">
        <is>
          <t>Контур.Фокус</t>
        </is>
      </c>
      <c r="B133" s="218">
        <f>SUMIF(raw_marketing!$B$2:$B50000, "Контур.Фокус", raw_marketing!$E$2:$E50000)</f>
        <v/>
      </c>
      <c r="C133" s="218">
        <f>SUMIFS(raw_touchpoints!$I$2:$I$50000, raw_touchpoints!$E$2:$E$50000, A133, raw_touchpoints!$G$2:$G$50000, "1. First Touch", raw_touchpoints!$J$2:$J$50000, TRUE)</f>
        <v/>
      </c>
      <c r="D133" s="218">
        <f>SUMIFS(raw_touchpoints!$I$2:$I$50000, raw_touchpoints!$E$2:$E$50000, A133, raw_touchpoints!$G$2:$G$50000, "4. Deal Close", raw_touchpoints!$J$2:$J$50000, TRUE)</f>
        <v/>
      </c>
      <c r="E133" s="218">
        <f>SUMIFS(raw_touchpoints!$K$2:$K$50000, raw_touchpoints!$E$2:$E$50000, A133)</f>
        <v/>
      </c>
      <c r="F133" s="218">
        <f>IF(B133&gt;0, (C133-B133)/B133, 0)</f>
        <v/>
      </c>
      <c r="G133" s="218">
        <f>IF(B133&gt;0, (D133-B133)/B133, 0)</f>
        <v/>
      </c>
      <c r="H133" s="218">
        <f>IF(B133&gt;0, (E133-B133)/B133, 0)</f>
        <v/>
      </c>
      <c r="I133" s="218">
        <f>IF(B133=0, "🌱 ОРГАНИЧЕСКИЙ ДРАЙВЕР", IF(E133&gt;D133, "🛡️ ЗАКРЫВАЕТ СДЕЛКИ (НЕ ОТКЛЮЧАТЬ!)", IF(G133&gt;5, "🚀 ЛИДЕР МАСШТАБИРОВАНИЯ", "🟢 СБАЛАНСИРОВАН")))</f>
        <v/>
      </c>
    </row>
    <row r="134">
      <c r="A134" s="218" t="inlineStr">
        <is>
          <t>Google Ads</t>
        </is>
      </c>
      <c r="B134" s="218">
        <f>SUMIF(raw_marketing!$B$2:$B50000, "Google Ads", raw_marketing!$E$2:$E50000)</f>
        <v/>
      </c>
      <c r="C134" s="218">
        <f>SUMIFS(raw_touchpoints!$I$2:$I$50000, raw_touchpoints!$E$2:$E$50000, A134, raw_touchpoints!$G$2:$G$50000, "1. First Touch", raw_touchpoints!$J$2:$J$50000, TRUE)</f>
        <v/>
      </c>
      <c r="D134" s="218">
        <f>SUMIFS(raw_touchpoints!$I$2:$I$50000, raw_touchpoints!$E$2:$E$50000, A134, raw_touchpoints!$G$2:$G$50000, "4. Deal Close", raw_touchpoints!$J$2:$J$50000, TRUE)</f>
        <v/>
      </c>
      <c r="E134" s="218">
        <f>SUMIFS(raw_touchpoints!$K$2:$K$50000, raw_touchpoints!$E$2:$E$50000, A134)</f>
        <v/>
      </c>
      <c r="F134" s="218">
        <f>IF(B134&gt;0, (C134-B134)/B134, 0)</f>
        <v/>
      </c>
      <c r="G134" s="218">
        <f>IF(B134&gt;0, (D134-B134)/B134, 0)</f>
        <v/>
      </c>
      <c r="H134" s="218">
        <f>IF(B134&gt;0, (E134-B134)/B134, 0)</f>
        <v/>
      </c>
      <c r="I134" s="218">
        <f>IF(B134=0, "🌱 ОРГАНИЧЕСКИЙ ДРАЙВЕР", IF(E134&gt;D134, "🛡️ ЗАКРЫВАЕТ СДЕЛКИ (НЕ ОТКЛЮЧАТЬ!)", IF(G134&gt;5, "🚀 ЛИДЕР МАСШТАБИРОВАНИЯ", "🟢 СБАЛАНСИРОВАН")))</f>
        <v/>
      </c>
    </row>
    <row r="135">
      <c r="A135" s="218" t="inlineStr">
        <is>
          <t>Органика SEO</t>
        </is>
      </c>
      <c r="B135" s="218">
        <f>0</f>
        <v/>
      </c>
      <c r="C135" s="218">
        <f>SUMIFS(raw_touchpoints!$I$2:$I$50000, raw_touchpoints!$E$2:$E$50000, A135, raw_touchpoints!$G$2:$G$50000, "1. First Touch", raw_touchpoints!$J$2:$J$50000, TRUE)</f>
        <v/>
      </c>
      <c r="D135" s="218">
        <f>SUMIFS(raw_touchpoints!$I$2:$I$50000, raw_touchpoints!$E$2:$E$50000, A135, raw_touchpoints!$G$2:$G$50000, "4. Deal Close", raw_touchpoints!$J$2:$J$50000, TRUE)</f>
        <v/>
      </c>
      <c r="E135" s="218">
        <f>SUMIFS(raw_touchpoints!$K$2:$K$50000, raw_touchpoints!$E$2:$E$50000, A135)</f>
        <v/>
      </c>
      <c r="F135" s="218">
        <f>IF(B135&gt;0, (C135-B135)/B135, 0)</f>
        <v/>
      </c>
      <c r="G135" s="218">
        <f>IF(B135&gt;0, (D135-B135)/B135, 0)</f>
        <v/>
      </c>
      <c r="H135" s="218">
        <f>IF(B135&gt;0, (E135-B135)/B135, 0)</f>
        <v/>
      </c>
      <c r="I135" s="218">
        <f>IF(B135=0, "🌱 ОРГАНИЧЕСКИЙ ДРАЙВЕР", IF(E135&gt;D135, "🛡️ ЗАКРЫВАЕТ СДЕЛКИ (НЕ ОТКЛЮЧАТЬ!)", IF(G135&gt;5, "🚀 ЛИДЕР МАСШТАБИРОВАНИЯ", "🟢 СБАЛАНСИРОВАН")))</f>
        <v/>
      </c>
    </row>
    <row r="136">
      <c r="A136" s="218" t="inlineStr">
        <is>
          <t>Партнеры</t>
        </is>
      </c>
      <c r="B136" s="218">
        <f>0</f>
        <v/>
      </c>
      <c r="C136" s="218">
        <f>SUMIFS(raw_touchpoints!$I$2:$I$50000, raw_touchpoints!$E$2:$E$50000, A136, raw_touchpoints!$G$2:$G$50000, "1. First Touch", raw_touchpoints!$J$2:$J$50000, TRUE)</f>
        <v/>
      </c>
      <c r="D136" s="218">
        <f>SUMIFS(raw_touchpoints!$I$2:$I$50000, raw_touchpoints!$E$2:$E$50000, A136, raw_touchpoints!$G$2:$G$50000, "4. Deal Close", raw_touchpoints!$J$2:$J$50000, TRUE)</f>
        <v/>
      </c>
      <c r="E136" s="218">
        <f>SUMIFS(raw_touchpoints!$K$2:$K$50000, raw_touchpoints!$E$2:$E$50000, A136)</f>
        <v/>
      </c>
      <c r="F136" s="218">
        <f>IF(B136&gt;0, (C136-B136)/B136, 0)</f>
        <v/>
      </c>
      <c r="G136" s="218">
        <f>IF(B136&gt;0, (D136-B136)/B136, 0)</f>
        <v/>
      </c>
      <c r="H136" s="218">
        <f>IF(B136&gt;0, (E136-B136)/B136, 0)</f>
        <v/>
      </c>
      <c r="I136" s="218">
        <f>IF(B136=0, "🌱 ОРГАНИЧЕСКИЙ ДРАЙВЕР", IF(E136&gt;D136, "🛡️ ЗАКРЫВАЕТ СДЕЛКИ (НЕ ОТКЛЮЧАТЬ!)", IF(G136&gt;5, "🚀 ЛИДЕР МАСШТАБИРОВАНИЯ", "🟢 СБАЛАНСИРОВАН")))</f>
        <v/>
      </c>
    </row>
    <row r="137">
      <c r="A137" s="335" t="inlineStr">
        <is>
          <t>ИТОГО:</t>
        </is>
      </c>
      <c r="B137" s="335">
        <f>SUM(B132:B136)</f>
        <v/>
      </c>
      <c r="C137" s="335">
        <f>SUM(C132:C136)</f>
        <v/>
      </c>
      <c r="D137" s="335">
        <f>SUM(D132:D136)</f>
        <v/>
      </c>
      <c r="E137" s="335">
        <f>SUM(E132:E136)</f>
        <v/>
      </c>
      <c r="F137" s="335">
        <f>IF(B137&gt;0, (C137-B137)/B137, 0)</f>
        <v/>
      </c>
      <c r="G137" s="335">
        <f>IF(B137&gt;0, (D137-B137)/B137, 0)</f>
        <v/>
      </c>
      <c r="H137" s="335">
        <f>IF(B137&gt;0, (E137-B137)/B137, 0)</f>
        <v/>
      </c>
    </row>
    <row r="138"/>
    <row r="139"/>
    <row r="140"/>
    <row r="141"/>
    <row r="142">
      <c r="A142" s="357" t="inlineStr">
        <is>
          <t>💳 ФИНАНСОВЫЙ ДВИЖОК: CASH FLOW, ДЕБИТОРСКАЯ ЗАДОЛЖЕННОСТЬ И DSO</t>
        </is>
      </c>
    </row>
    <row r="143">
      <c r="A143" s="396" t="inlineStr">
        <is>
          <t>invoices_total_issued</t>
        </is>
      </c>
      <c r="B143" s="281">
        <f>SUM(raw_invoices!$G$2:$G50000)</f>
        <v/>
      </c>
      <c r="C143" s="218" t="inlineStr">
        <is>
          <t>Всего выставлено счетов, ₽</t>
        </is>
      </c>
    </row>
    <row r="144">
      <c r="A144" s="396" t="inlineStr">
        <is>
          <t>invoices_paid_fact</t>
        </is>
      </c>
      <c r="B144" s="281">
        <f>SUMIF(raw_invoices!$H$2:$H50000, "paid", raw_invoices!$G$2:$G50000)</f>
        <v/>
      </c>
      <c r="C144" s="218" t="inlineStr">
        <is>
          <t>Фактически оплачено (Cash-In), ₽</t>
        </is>
      </c>
    </row>
    <row r="145">
      <c r="A145" s="396" t="inlineStr">
        <is>
          <t>invoices_pending_ar</t>
        </is>
      </c>
      <c r="B145" s="281">
        <f>SUMIF(raw_invoices!$H$2:$H50000, "pending", raw_invoices!$G$2:$G50000)</f>
        <v/>
      </c>
      <c r="C145" s="218" t="inlineStr">
        <is>
          <t>Текущая дебиторка (Pending AR), ₽</t>
        </is>
      </c>
    </row>
    <row r="146">
      <c r="A146" s="396" t="inlineStr">
        <is>
          <t>invoices_overdue_debt</t>
        </is>
      </c>
      <c r="B146" s="281">
        <f>SUMIF(raw_invoices!$H$2:$H50000, "overdue", raw_invoices!$G$2:$G50000)</f>
        <v/>
      </c>
      <c r="C146" s="218" t="inlineStr">
        <is>
          <t>Просроченная задолженность, ₽</t>
        </is>
      </c>
    </row>
    <row r="147">
      <c r="A147" s="396" t="inlineStr">
        <is>
          <t>invoices_pipeline_cashin</t>
        </is>
      </c>
      <c r="B147" s="281">
        <f>SUMIF(raw_invoices!$H$2:$H50000, "forecast", raw_invoices!$G$2:$G50000)</f>
        <v/>
      </c>
      <c r="C147" s="218" t="inlineStr">
        <is>
          <t>Ожидаемый Cash-In (30-60 дн), ₽</t>
        </is>
      </c>
    </row>
    <row r="148">
      <c r="A148" s="396" t="inlineStr">
        <is>
          <t>dso_days_outstanding</t>
        </is>
      </c>
      <c r="B148" s="406">
        <f>IFERROR((B145+B146)/MAX(B144,1)*30, 14)</f>
        <v/>
      </c>
      <c r="C148" s="218" t="inlineStr">
        <is>
          <t>DSO (Оборачиваемость дебиторки, дни)</t>
        </is>
      </c>
    </row>
    <row r="149">
      <c r="A149" s="396" t="inlineStr">
        <is>
          <t>cash_flow_net_balance</t>
        </is>
      </c>
      <c r="B149" s="281">
        <f>B144+B145-SUM(raw_marketing!$E$2:$E50000)</f>
        <v/>
      </c>
      <c r="C149" s="218" t="inlineStr">
        <is>
          <t>Чистый денежный остаток (Net Cash), ₽</t>
        </is>
      </c>
    </row>
    <row r="150"/>
    <row r="151"/>
    <row r="152">
      <c r="A152" s="407" t="inlineStr">
        <is>
          <t>🤖 АГЕНТНЫЙ RECOVERY ENGINE: МОНЕТИЗАЦИЯ ОТКАЗНИКОВ L1–L4</t>
        </is>
      </c>
    </row>
    <row r="153">
      <c r="A153" s="218" t="inlineStr">
        <is>
          <t>loss_total_written_off</t>
        </is>
      </c>
      <c r="B153" s="346">
        <f>SUMIF(raw_deals!$P$2:$P50000, TRUE, raw_deals!$C$2:$C50000)</f>
        <v/>
      </c>
    </row>
    <row r="154">
      <c r="A154" s="218" t="inlineStr">
        <is>
          <t>recovery_pipeline_potential</t>
        </is>
      </c>
      <c r="B154" s="346">
        <f>SUM(D73:D76)</f>
        <v/>
      </c>
    </row>
    <row r="155">
      <c r="A155" s="218" t="inlineStr">
        <is>
          <t>ready_for_ai_push_count</t>
        </is>
      </c>
      <c r="B155" s="197">
        <f>COUNTIF(raw_deals!$P$2:$P50000, TRUE)</f>
        <v/>
      </c>
    </row>
    <row r="156"/>
    <row r="157"/>
    <row r="158"/>
    <row r="159"/>
    <row r="160">
      <c r="A160" s="357" t="inlineStr">
        <is>
          <t>🛡️ ИТЕРАЦИЯ 5: МОНИТОРИНГ ЗДОРОВЬЯ КЛИЕНТОВ (ACCOUNT HEALTH SCORE &amp; CHURN RISK)</t>
        </is>
      </c>
    </row>
    <row r="161">
      <c r="A161" s="408" t="inlineStr">
        <is>
          <t>client_id</t>
        </is>
      </c>
      <c r="B161" s="408" t="inlineStr">
        <is>
          <t>client_name</t>
        </is>
      </c>
      <c r="C161" s="408" t="inlineStr">
        <is>
          <t>mrr_retainer</t>
        </is>
      </c>
      <c r="D161" s="408" t="inlineStr">
        <is>
          <t>payment_delay_days</t>
        </is>
      </c>
      <c r="E161" s="408" t="inlineStr">
        <is>
          <t>speech_defects</t>
        </is>
      </c>
      <c r="F161" s="408" t="inlineStr">
        <is>
          <t>health_score</t>
        </is>
      </c>
      <c r="G161" s="408" t="inlineStr">
        <is>
          <t>churn_risk_tier</t>
        </is>
      </c>
      <c r="H161" s="408" t="inlineStr">
        <is>
          <t>action_trigger</t>
        </is>
      </c>
    </row>
    <row r="162">
      <c r="A162" s="218" t="inlineStr">
        <is>
          <t>ga_11</t>
        </is>
      </c>
      <c r="B162" s="218" t="inlineStr">
        <is>
          <t>ООО "Альфа Трейд"</t>
        </is>
      </c>
      <c r="C162" s="346" t="n">
        <v>75000</v>
      </c>
      <c r="D162" s="218" t="n">
        <v>0</v>
      </c>
      <c r="E162" s="218" t="n">
        <v>0</v>
      </c>
      <c r="F162" s="197">
        <f>MAX(0, 100 - D162*3 - E162*15)</f>
        <v/>
      </c>
      <c r="G162" s="218">
        <f>IF(F162&gt;=80, "🟢 ЗДОРОВ", IF(F162&gt;=60, "🟡 РИСК ЗАМЕДЛЕНИЯ", "🔴 ПРЕДОТТОК"))</f>
        <v/>
      </c>
      <c r="H162" s="218" t="inlineStr">
        <is>
          <t>Регулярный саппорт SLA</t>
        </is>
      </c>
    </row>
    <row r="163">
      <c r="A163" s="218" t="inlineStr">
        <is>
          <t>ga_12</t>
        </is>
      </c>
      <c r="B163" s="218" t="inlineStr">
        <is>
          <t>АО "Северсталь Ресурс"</t>
        </is>
      </c>
      <c r="C163" s="346" t="n">
        <v>150000</v>
      </c>
      <c r="D163" s="218" t="n">
        <v>0</v>
      </c>
      <c r="E163" s="218" t="n">
        <v>0</v>
      </c>
      <c r="F163" s="197">
        <f>MAX(0, 100 - D163*3 - E163*15)</f>
        <v/>
      </c>
      <c r="G163" s="218">
        <f>IF(F163&gt;=80, "🟢 ЗДОРОВ", IF(F163&gt;=60, "🟡 РИСК ЗАМЕДЛЕНИЯ", "🔴 ПРЕДОТТОК"))</f>
        <v/>
      </c>
      <c r="H163" s="218" t="inlineStr">
        <is>
          <t>Квартальный QBR-ревью</t>
        </is>
      </c>
    </row>
    <row r="164">
      <c r="A164" s="218" t="inlineStr">
        <is>
          <t>ga_13</t>
        </is>
      </c>
      <c r="B164" s="218" t="inlineStr">
        <is>
          <t>ИП Смирнов О.В.</t>
        </is>
      </c>
      <c r="C164" s="346" t="n">
        <v>0</v>
      </c>
      <c r="D164" s="218" t="n">
        <v>1</v>
      </c>
      <c r="E164" s="218" t="n">
        <v>0</v>
      </c>
      <c r="F164" s="197">
        <f>MAX(0, 100 - D164*3 - E164*15)</f>
        <v/>
      </c>
      <c r="G164" s="218">
        <f>IF(F164&gt;=80, "🟢 ЗДОРОВ", IF(F164&gt;=60, "🟡 РИСК ЗАМЕДЛЕНИЯ", "🔴 ПРЕДОТТОК"))</f>
        <v/>
      </c>
      <c r="H164" s="218" t="inlineStr">
        <is>
          <t>Контроль оплаты инвойса</t>
        </is>
      </c>
    </row>
    <row r="165">
      <c r="A165" s="218" t="inlineStr">
        <is>
          <t>ga_08</t>
        </is>
      </c>
      <c r="B165" s="218" t="inlineStr">
        <is>
          <t>ООО "ПромСбыт"</t>
        </is>
      </c>
      <c r="C165" s="346" t="n">
        <v>0</v>
      </c>
      <c r="D165" s="218" t="n">
        <v>27</v>
      </c>
      <c r="E165" s="218" t="n">
        <v>1</v>
      </c>
      <c r="F165" s="197">
        <f>MAX(0, 100 - D165*3 - E165*15)</f>
        <v/>
      </c>
      <c r="G165" s="218">
        <f>IF(F165&gt;=80, "🟢 ЗДОРОВ", IF(F165&gt;=60, "🟡 РИСК ЗАМЕДЛЕНИЯ", "🔴 ПРЕДОТТОК"))</f>
        <v/>
      </c>
      <c r="H165" s="218" t="inlineStr">
        <is>
          <t>Эскалация CEO: угроза оттока</t>
        </is>
      </c>
    </row>
    <row r="166"/>
    <row r="167"/>
    <row r="168"/>
    <row r="169"/>
    <row r="170">
      <c r="A170" s="334" t="inlineStr">
        <is>
          <t>👥 ИТЕРАЦИЯ 6: ДВИЖОК ДИНАМИЧЕСКИХ КОМИССИЙ И ЗАРПЛАТНОГО ФОНДА (PAYROLL ENGINE)</t>
        </is>
      </c>
    </row>
    <row r="171">
      <c r="A171" s="411" t="inlineStr">
        <is>
          <t>manager_id</t>
        </is>
      </c>
      <c r="B171" s="411" t="inlineStr">
        <is>
          <t>manager_name</t>
        </is>
      </c>
      <c r="C171" s="411" t="inlineStr">
        <is>
          <t>base_salary</t>
        </is>
      </c>
      <c r="D171" s="411" t="inlineStr">
        <is>
          <t>won_revenue</t>
        </is>
      </c>
      <c r="E171" s="411" t="inlineStr">
        <is>
          <t>base_commission_pct</t>
        </is>
      </c>
      <c r="F171" s="411" t="inlineStr">
        <is>
          <t>k_sla_factor</t>
        </is>
      </c>
      <c r="G171" s="411" t="inlineStr">
        <is>
          <t>k_speech_factor</t>
        </is>
      </c>
      <c r="H171" s="411" t="inlineStr">
        <is>
          <t>total_payout</t>
        </is>
      </c>
    </row>
    <row r="172">
      <c r="A172" s="218" t="n">
        <v>101</v>
      </c>
      <c r="B172" s="218" t="inlineStr">
        <is>
          <t>Иванов Дмитрий (РОП)</t>
        </is>
      </c>
      <c r="C172" s="346" t="n">
        <v>150000</v>
      </c>
      <c r="D172" s="346">
        <f>SUMIFS(raw_deals!$C$2:$C50000, raw_deals!$H$2:$H50000, 101, raw_deals!$O$2:$O50000, TRUE)</f>
        <v/>
      </c>
      <c r="E172" s="412" t="n">
        <v>0.03</v>
      </c>
      <c r="F172" s="412" t="n">
        <v>1</v>
      </c>
      <c r="G172" s="412" t="n">
        <v>1.05</v>
      </c>
      <c r="H172" s="346">
        <f>C172 + (D172*E172*F172*G172)</f>
        <v/>
      </c>
    </row>
    <row r="173">
      <c r="A173" s="218" t="n">
        <v>102</v>
      </c>
      <c r="B173" s="218" t="inlineStr">
        <is>
          <t>Петров Александр (КАМ)</t>
        </is>
      </c>
      <c r="C173" s="346" t="n">
        <v>100000</v>
      </c>
      <c r="D173" s="346">
        <f>SUMIFS(raw_deals!$C$2:$C50000, raw_deals!$H$2:$H50000, 102, raw_deals!$O$2:$O50000, TRUE)</f>
        <v/>
      </c>
      <c r="E173" s="412" t="n">
        <v>0.05</v>
      </c>
      <c r="F173" s="412" t="n">
        <v>1</v>
      </c>
      <c r="G173" s="412" t="n">
        <v>0.7</v>
      </c>
      <c r="H173" s="346">
        <f>C173 + (D173*E173*F173*G173)</f>
        <v/>
      </c>
    </row>
    <row r="174">
      <c r="A174" s="218" t="n">
        <v>103</v>
      </c>
      <c r="B174" s="218" t="inlineStr">
        <is>
          <t>Сидоров Роман (SDR)</t>
        </is>
      </c>
      <c r="C174" s="346" t="n">
        <v>70000</v>
      </c>
      <c r="D174" s="346">
        <f>0</f>
        <v/>
      </c>
      <c r="E174" s="412" t="n">
        <v>0</v>
      </c>
      <c r="F174" s="412" t="n">
        <v>1</v>
      </c>
      <c r="G174" s="412" t="n">
        <v>1.1</v>
      </c>
      <c r="H174" s="346">
        <f>C174 + 25000*G174</f>
        <v/>
      </c>
    </row>
    <row r="175"/>
    <row r="176"/>
    <row r="177"/>
    <row r="178"/>
    <row r="179"/>
    <row r="180">
      <c r="A180" s="414" t="inlineStr">
        <is>
          <t>🔮 ИТЕРАЦИЯ 7: ФОРМУЛЬНОЕ ЯДРО СЦЕНАРНОГО МОДЕЛИРОВАНИЯ (WHAT-IF ENGINE)</t>
        </is>
      </c>
    </row>
    <row r="181">
      <c r="A181" s="218" t="inlineStr">
        <is>
          <t>sim_new_leads</t>
        </is>
      </c>
      <c r="B181" s="197">
        <f>'🔮 Симулятор_Роста'!$H$6</f>
        <v/>
      </c>
    </row>
    <row r="182">
      <c r="A182" s="218" t="inlineStr">
        <is>
          <t>sim_win_rate</t>
        </is>
      </c>
      <c r="B182" s="439">
        <f>'🔮 Симулятор_Роста'!$D$7</f>
        <v/>
      </c>
    </row>
    <row r="183">
      <c r="A183" s="218" t="inlineStr">
        <is>
          <t>sim_won_deals</t>
        </is>
      </c>
      <c r="B183" s="197">
        <f>'🔮 Симулятор_Роста'!$H$7</f>
        <v/>
      </c>
    </row>
    <row r="184">
      <c r="A184" s="218" t="inlineStr">
        <is>
          <t>sim_projected_revenue</t>
        </is>
      </c>
      <c r="B184" s="346">
        <f>'🔮 Симулятор_Роста'!$H$8</f>
        <v/>
      </c>
    </row>
    <row r="185">
      <c r="A185" s="218" t="inlineStr">
        <is>
          <t>sim_revenue_delta</t>
        </is>
      </c>
      <c r="B185" s="346">
        <f>'🔮 Симулятор_Роста'!$I$8</f>
        <v/>
      </c>
    </row>
    <row r="186"/>
    <row r="187"/>
    <row r="188"/>
    <row r="189"/>
    <row r="190">
      <c r="A190" s="218" t="inlineStr">
        <is>
          <t>👑 МАТРИЦА АДАПТИВНЫХ ДАШБОРДОВ (ROLE &amp; VIEW CUSTOMIZER ENGINE)</t>
        </is>
      </c>
    </row>
    <row r="191">
      <c r="A191" s="218" t="inlineStr">
        <is>
          <t>Preset_ID</t>
        </is>
      </c>
      <c r="B191" s="218" t="inlineStr">
        <is>
          <t>K1_Name</t>
        </is>
      </c>
      <c r="C191" s="218" t="inlineStr">
        <is>
          <t>K1_Val</t>
        </is>
      </c>
      <c r="D191" s="218" t="inlineStr">
        <is>
          <t>K2_Name</t>
        </is>
      </c>
      <c r="E191" s="218" t="inlineStr">
        <is>
          <t>K2_Val</t>
        </is>
      </c>
      <c r="F191" s="218" t="inlineStr">
        <is>
          <t>K3_Name</t>
        </is>
      </c>
      <c r="G191" s="218" t="inlineStr">
        <is>
          <t>K3_Val</t>
        </is>
      </c>
      <c r="H191" s="218" t="inlineStr">
        <is>
          <t>K4_Name</t>
        </is>
      </c>
      <c r="I191" s="218" t="inlineStr">
        <is>
          <t>K4_Val</t>
        </is>
      </c>
      <c r="J191" s="218" t="inlineStr">
        <is>
          <t>K5_Name</t>
        </is>
      </c>
      <c r="K191" s="218" t="inlineStr">
        <is>
          <t>K5_Val</t>
        </is>
      </c>
      <c r="L191" s="218" t="inlineStr">
        <is>
          <t>K6_Name</t>
        </is>
      </c>
      <c r="M191" s="218" t="inlineStr">
        <is>
          <t>K6_Val</t>
        </is>
      </c>
      <c r="N191" s="218" t="inlineStr">
        <is>
          <t>Profile_Name</t>
        </is>
      </c>
    </row>
    <row r="192">
      <c r="A192" s="218" t="inlineStr">
        <is>
          <t>CEO_R1</t>
        </is>
      </c>
      <c r="B192" s="218" t="inlineStr">
        <is>
          <t>Выручка (факт)</t>
        </is>
      </c>
      <c r="C192" s="218">
        <f>B19</f>
        <v/>
      </c>
      <c r="D192" s="218" t="inlineStr">
        <is>
          <t>% выполнения плана</t>
        </is>
      </c>
      <c r="E192" s="218">
        <f>B20</f>
        <v/>
      </c>
      <c r="F192" s="218" t="inlineStr">
        <is>
          <t>Прогноз Run-Rate</t>
        </is>
      </c>
      <c r="G192" s="218">
        <f>B29</f>
        <v/>
      </c>
      <c r="H192" s="218" t="inlineStr">
        <is>
          <t>Взвешенный прогноз</t>
        </is>
      </c>
      <c r="I192" s="218">
        <f>B30</f>
        <v/>
      </c>
      <c r="J192" s="218" t="inlineStr">
        <is>
          <t>Активный пайплайн</t>
        </is>
      </c>
      <c r="K192" s="218">
        <f>B17</f>
        <v/>
      </c>
      <c r="L192" s="218" t="inlineStr">
        <is>
          <t>Индекс здоровья</t>
        </is>
      </c>
      <c r="M192" s="218">
        <f>B34</f>
        <v/>
      </c>
      <c r="N192" s="218" t="inlineStr">
        <is>
          <t>Собственник: Капитализация и прибыль</t>
        </is>
      </c>
    </row>
    <row r="193">
      <c r="A193" s="218" t="inlineStr">
        <is>
          <t>CEO_R2</t>
        </is>
      </c>
      <c r="B193" s="218" t="inlineStr">
        <is>
          <t>Сквозной ROMI</t>
        </is>
      </c>
      <c r="C193" s="218">
        <f>B137</f>
        <v/>
      </c>
      <c r="D193" s="218" t="inlineStr">
        <is>
          <t>LTV / CAC воронки</t>
        </is>
      </c>
      <c r="E193" s="218">
        <f>TEXT(B39, "0.0") &amp; " x"</f>
        <v/>
      </c>
      <c r="F193" s="218" t="inlineStr">
        <is>
          <t>Средний чек сделки</t>
        </is>
      </c>
      <c r="G193" s="218">
        <f>B21</f>
        <v/>
      </c>
      <c r="H193" s="218" t="inlineStr">
        <is>
          <t>Стоимость лида (CPL)</t>
        </is>
      </c>
      <c r="I193" s="218">
        <f>B36</f>
        <v/>
      </c>
      <c r="J193" s="218" t="inlineStr">
        <is>
          <t>Кумулятивный NRR</t>
        </is>
      </c>
      <c r="K193" s="346">
        <f>F93</f>
        <v/>
      </c>
      <c r="L193" s="218" t="inlineStr">
        <is>
          <t>Срок окупаемости</t>
        </is>
      </c>
      <c r="M193" s="218">
        <f>TEXT(B40, "0.0") &amp; " мес"</f>
        <v/>
      </c>
      <c r="N193" s="218" t="inlineStr">
        <is>
          <t>Чистая прибыль и окупаемость</t>
        </is>
      </c>
    </row>
    <row r="194">
      <c r="A194" s="218" t="inlineStr">
        <is>
          <t>ROP_R1</t>
        </is>
      </c>
      <c r="B194" s="218" t="inlineStr">
        <is>
          <t>Выручка ОП (факт)</t>
        </is>
      </c>
      <c r="C194" s="218">
        <f>B19</f>
        <v/>
      </c>
      <c r="D194" s="218" t="inlineStr">
        <is>
          <t>План ОП на месяц</t>
        </is>
      </c>
      <c r="E194" s="346">
        <f>'⚙️ Настройки'!$B$9</f>
        <v/>
      </c>
      <c r="F194" s="218" t="inlineStr">
        <is>
          <t>Сделок в работе ОП</t>
        </is>
      </c>
      <c r="G194" s="218">
        <f>B16</f>
        <v/>
      </c>
      <c r="H194" s="218" t="inlineStr">
        <is>
          <t>Win Rate воронки</t>
        </is>
      </c>
      <c r="I194" s="218">
        <f>B24</f>
        <v/>
      </c>
      <c r="J194" s="218" t="inlineStr">
        <is>
          <t>Ср. цикл сделки</t>
        </is>
      </c>
      <c r="K194" s="218">
        <f>TEXT(B25, "0.0") &amp; " дн"</f>
        <v/>
      </c>
      <c r="L194" s="218" t="inlineStr">
        <is>
          <t>Sales Velocity / мес</t>
        </is>
      </c>
      <c r="M194" s="218">
        <f>B28</f>
        <v/>
      </c>
      <c r="N194" s="218" t="inlineStr">
        <is>
          <t>РОП: Конверсии и дисциплина ОП</t>
        </is>
      </c>
    </row>
    <row r="195">
      <c r="A195" s="218" t="inlineStr">
        <is>
          <t>ROP_R2</t>
        </is>
      </c>
      <c r="B195" s="218" t="inlineStr">
        <is>
          <t>Звонков в аудите</t>
        </is>
      </c>
      <c r="C195" s="218">
        <f>B26</f>
        <v/>
      </c>
      <c r="D195" s="218" t="inlineStr">
        <is>
          <t>Диалогов с браком (&lt;9)</t>
        </is>
      </c>
      <c r="E195" s="218">
        <f>'📋 Пульт_РОПа_15_Минут'!B5</f>
        <v/>
      </c>
      <c r="F195" s="218" t="inlineStr">
        <is>
          <t>Сделок в риске срыва</t>
        </is>
      </c>
      <c r="G195" s="218">
        <f>'📋 Пульт_РОПа_15_Минут'!C5</f>
        <v/>
      </c>
      <c r="H195" s="218" t="inlineStr">
        <is>
          <t>Деньги в зоне риска</t>
        </is>
      </c>
      <c r="I195" s="418">
        <f>'📋 Пульт_РОПа_15_Минут'!D5</f>
        <v/>
      </c>
      <c r="J195" s="218" t="inlineStr">
        <is>
          <t>Доля фиксации Next Step</t>
        </is>
      </c>
      <c r="K195" s="218">
        <f>B33</f>
        <v/>
      </c>
      <c r="L195" s="218" t="inlineStr">
        <is>
          <t>Нагрузка на РОПа</t>
        </is>
      </c>
      <c r="M195" s="439">
        <f>B35</f>
        <v/>
      </c>
      <c r="N195" s="218" t="inlineStr">
        <is>
          <t>Оперативный контроль: 15 минут в день</t>
        </is>
      </c>
    </row>
    <row r="196">
      <c r="A196" s="218" t="inlineStr">
        <is>
          <t>KAM_R1</t>
        </is>
      </c>
      <c r="B196" s="218" t="inlineStr">
        <is>
          <t>Личная закрытая касса</t>
        </is>
      </c>
      <c r="C196" s="346">
        <f>D173</f>
        <v/>
      </c>
      <c r="D196" s="218" t="inlineStr">
        <is>
          <t>Личный план на месяц</t>
        </is>
      </c>
      <c r="E196" s="218" t="n">
        <v>1500000</v>
      </c>
      <c r="F196" s="218" t="inlineStr">
        <is>
          <t>Пайплайн на ведении</t>
        </is>
      </c>
      <c r="G196" s="218">
        <f>E18</f>
        <v/>
      </c>
      <c r="H196" s="218" t="inlineStr">
        <is>
          <t>Личный Win Rate</t>
        </is>
      </c>
      <c r="I196" s="419" t="n">
        <v>0.667</v>
      </c>
      <c r="J196" s="218" t="inlineStr">
        <is>
          <t>Сделок в работе</t>
        </is>
      </c>
      <c r="K196" s="218">
        <f>D18</f>
        <v/>
      </c>
      <c r="L196" s="218" t="inlineStr">
        <is>
          <t>Начисленный бонус</t>
        </is>
      </c>
      <c r="M196" s="346">
        <f>H173</f>
        <v/>
      </c>
      <c r="N196" s="218" t="inlineStr">
        <is>
          <t>Менеджер: Личный кабинет</t>
        </is>
      </c>
    </row>
    <row r="197">
      <c r="A197" s="218" t="inlineStr">
        <is>
          <t>KAM_R2</t>
        </is>
      </c>
      <c r="B197" s="218" t="inlineStr">
        <is>
          <t>Сделка в фокусе (D-104)</t>
        </is>
      </c>
      <c r="C197" s="218" t="inlineStr">
        <is>
          <t>850,000 ₽</t>
        </is>
      </c>
      <c r="D197" s="218" t="inlineStr">
        <is>
          <t>Счет на оплате (INV-201)</t>
        </is>
      </c>
      <c r="E197" s="218" t="inlineStr">
        <is>
          <t>450,000 ₽</t>
        </is>
      </c>
      <c r="F197" s="218" t="inlineStr">
        <is>
          <t>Личный балл речи</t>
        </is>
      </c>
      <c r="G197" s="218" t="inlineStr">
        <is>
          <t>10.0 из 13</t>
        </is>
      </c>
      <c r="H197" s="218" t="inlineStr">
        <is>
          <t>Просроченных оплат</t>
        </is>
      </c>
      <c r="I197" s="218" t="n">
        <v>0</v>
      </c>
      <c r="J197" s="218" t="inlineStr">
        <is>
          <t>Конверсия во встречу</t>
        </is>
      </c>
      <c r="K197" s="419" t="n">
        <v>1</v>
      </c>
      <c r="L197" s="218" t="inlineStr">
        <is>
          <t>Статус дня</t>
        </is>
      </c>
      <c r="M197" s="218" t="inlineStr">
        <is>
          <t>🚨 Дожать D-104 до 14:00</t>
        </is>
      </c>
      <c r="N197" s="218" t="inlineStr">
        <is>
          <t>Сделки менеджера и бонусы</t>
        </is>
      </c>
    </row>
    <row r="198">
      <c r="A198" s="218" t="inlineStr">
        <is>
          <t>CMO_R1</t>
        </is>
      </c>
      <c r="B198" s="218" t="inlineStr">
        <is>
          <t>Маркетинговый бюджет</t>
        </is>
      </c>
      <c r="C198" s="346">
        <f>B62</f>
        <v/>
      </c>
      <c r="D198" s="218" t="inlineStr">
        <is>
          <t>Привлечено лидов</t>
        </is>
      </c>
      <c r="E198" s="218">
        <f>B65</f>
        <v/>
      </c>
      <c r="F198" s="218" t="inlineStr">
        <is>
          <t>Стоимость лида (CPL)</t>
        </is>
      </c>
      <c r="G198" s="218">
        <f>B36</f>
        <v/>
      </c>
      <c r="H198" s="218" t="inlineStr">
        <is>
          <t>Стоимость клиента (CAC)</t>
        </is>
      </c>
      <c r="I198" s="218">
        <f>B37</f>
        <v/>
      </c>
      <c r="J198" s="218" t="inlineStr">
        <is>
          <t>Сквозной ROMI</t>
        </is>
      </c>
      <c r="K198" s="218">
        <f>B137</f>
        <v/>
      </c>
      <c r="L198" s="218" t="inlineStr">
        <is>
          <t>Кликов по рекламе</t>
        </is>
      </c>
      <c r="M198" s="218">
        <f>B63</f>
        <v/>
      </c>
      <c r="N198" s="218" t="inlineStr">
        <is>
          <t>Маркетинг: Перформанс трафика</t>
        </is>
      </c>
    </row>
    <row r="199">
      <c r="A199" s="218" t="inlineStr">
        <is>
          <t>CMO_R2</t>
        </is>
      </c>
      <c r="B199" s="218" t="inlineStr">
        <is>
          <t>Конверсия сайта в лид</t>
        </is>
      </c>
      <c r="C199" s="419" t="n">
        <v>0.056</v>
      </c>
      <c r="D199" s="218" t="inlineStr">
        <is>
          <t>Конверсия лида в сделку</t>
        </is>
      </c>
      <c r="E199" s="419" t="n">
        <v>0.035</v>
      </c>
      <c r="F199" s="218" t="inlineStr">
        <is>
          <t>Слив на 1-м звонке</t>
        </is>
      </c>
      <c r="G199" s="419" t="n">
        <v>0.333</v>
      </c>
      <c r="H199" s="218" t="inlineStr">
        <is>
          <t>Топ-канал по выручке</t>
        </is>
      </c>
      <c r="I199" s="218" t="inlineStr">
        <is>
          <t>Контур.Фокус (1.2 млн)</t>
        </is>
      </c>
      <c r="J199" s="218" t="inlineStr">
        <is>
          <t>Топ-канал по ROMI</t>
        </is>
      </c>
      <c r="K199" s="218" t="inlineStr">
        <is>
          <t>SEO (+2300%)</t>
        </is>
      </c>
      <c r="L199" s="218" t="inlineStr">
        <is>
          <t>Статус кампаний</t>
        </is>
      </c>
      <c r="M199" s="218" t="inlineStr">
        <is>
          <t>🟢 CPL в норме</t>
        </is>
      </c>
      <c r="N199" s="218" t="inlineStr">
        <is>
          <t>Атрибуция трафика и лидогенерация</t>
        </is>
      </c>
    </row>
    <row r="200">
      <c r="A200" s="218" t="inlineStr">
        <is>
          <t>CFO_R1</t>
        </is>
      </c>
      <c r="B200" s="218" t="inlineStr">
        <is>
          <t>Поступило в кассу (Cash-In)</t>
        </is>
      </c>
      <c r="C200" s="218">
        <f>B19</f>
        <v/>
      </c>
      <c r="D200" s="218" t="inlineStr">
        <is>
          <t>Выставлено счетов (Сумма)</t>
        </is>
      </c>
      <c r="E200" s="218" t="n">
        <v>1980000</v>
      </c>
      <c r="F200" s="218" t="inlineStr">
        <is>
          <t>Дебиторская задолженность</t>
        </is>
      </c>
      <c r="G200" s="218" t="n">
        <v>330000</v>
      </c>
      <c r="H200" s="218" t="inlineStr">
        <is>
          <t>Просроченная дебиторка</t>
        </is>
      </c>
      <c r="I200" s="218" t="n">
        <v>150000</v>
      </c>
      <c r="J200" s="218" t="inlineStr">
        <is>
          <t>Дней оборота (DSO)</t>
        </is>
      </c>
      <c r="K200" s="218" t="inlineStr">
        <is>
          <t>18.0 дн</t>
        </is>
      </c>
      <c r="L200" s="218" t="inlineStr">
        <is>
          <t>Риск кассового разрыва</t>
        </is>
      </c>
      <c r="M200" s="218" t="inlineStr">
        <is>
          <t>0 ₽ (Низкий)</t>
        </is>
      </c>
      <c r="N200" s="218" t="inlineStr">
        <is>
          <t>Финдир: Касса и дебиторка</t>
        </is>
      </c>
    </row>
    <row r="201">
      <c r="A201" s="218" t="inlineStr">
        <is>
          <t>CFO_R2</t>
        </is>
      </c>
      <c r="B201" s="218" t="inlineStr">
        <is>
          <t>Кумулятивный NRR</t>
        </is>
      </c>
      <c r="C201" s="346">
        <f>F93</f>
        <v/>
      </c>
      <c r="D201" s="218" t="inlineStr">
        <is>
          <t>Средний чек контракта</t>
        </is>
      </c>
      <c r="E201" s="218">
        <f>B21</f>
        <v/>
      </c>
      <c r="F201" s="218" t="inlineStr">
        <is>
          <t>Маркетинговые расходы</t>
        </is>
      </c>
      <c r="G201" s="346">
        <f>B62</f>
        <v/>
      </c>
      <c r="H201" s="218" t="inlineStr">
        <is>
          <t>Фонд оплаты труда ОП</t>
        </is>
      </c>
      <c r="I201" s="218">
        <f>A4</f>
        <v/>
      </c>
      <c r="J201" s="218" t="inlineStr">
        <is>
          <t>Валовая маржинальность</t>
        </is>
      </c>
      <c r="K201" s="419" t="n">
        <v>0.806</v>
      </c>
      <c r="L201" s="218" t="inlineStr">
        <is>
          <t>Финансовый вердикт</t>
        </is>
      </c>
      <c r="M201" s="218" t="inlineStr">
        <is>
          <t>🟢 Касса устойчива</t>
        </is>
      </c>
      <c r="N201" s="218" t="inlineStr">
        <is>
          <t>Платежный календарь и ликвидность</t>
        </is>
      </c>
    </row>
    <row r="202">
      <c r="A202" s="218" t="inlineStr">
        <is>
          <t>FOCUS_REV_R1</t>
        </is>
      </c>
      <c r="B202" s="218" t="inlineStr">
        <is>
          <t>Выручка (факт)</t>
        </is>
      </c>
      <c r="C202" s="218">
        <f>B19</f>
        <v/>
      </c>
      <c r="D202" s="218" t="inlineStr">
        <is>
          <t>План выручки</t>
        </is>
      </c>
      <c r="E202" s="346">
        <f>'⚙️ Настройки'!$B$9</f>
        <v/>
      </c>
      <c r="F202" s="218" t="inlineStr">
        <is>
          <t>% выполнения плана</t>
        </is>
      </c>
      <c r="G202" s="218">
        <f>B20</f>
        <v/>
      </c>
      <c r="H202" s="218" t="inlineStr">
        <is>
          <t>Прогноз Run-Rate</t>
        </is>
      </c>
      <c r="I202" s="218">
        <f>B29</f>
        <v/>
      </c>
      <c r="J202" s="218" t="inlineStr">
        <is>
          <t>Взвешенный прогноз</t>
        </is>
      </c>
      <c r="K202" s="218">
        <f>B30</f>
        <v/>
      </c>
      <c r="L202" s="218" t="inlineStr">
        <is>
          <t>Активный пайплайн</t>
        </is>
      </c>
      <c r="M202" s="218">
        <f>B17</f>
        <v/>
      </c>
      <c r="N202" s="218" t="inlineStr">
        <is>
          <t>Фокус: Финансы и прибыль</t>
        </is>
      </c>
    </row>
    <row r="203">
      <c r="A203" s="218" t="inlineStr">
        <is>
          <t>FOCUS_REV_R2</t>
        </is>
      </c>
      <c r="B203" s="218" t="inlineStr">
        <is>
          <t>Сквозной ROMI</t>
        </is>
      </c>
      <c r="C203" s="218">
        <f>B137</f>
        <v/>
      </c>
      <c r="D203" s="218" t="inlineStr">
        <is>
          <t>LTV клиента</t>
        </is>
      </c>
      <c r="E203" s="218">
        <f>B38</f>
        <v/>
      </c>
      <c r="F203" s="218" t="inlineStr">
        <is>
          <t>LTV / CAC</t>
        </is>
      </c>
      <c r="G203" s="218">
        <f>TEXT(B39, "0.0") &amp; " x"</f>
        <v/>
      </c>
      <c r="H203" s="218" t="inlineStr">
        <is>
          <t>Средний чек сделки</t>
        </is>
      </c>
      <c r="I203" s="218">
        <f>B21</f>
        <v/>
      </c>
      <c r="J203" s="218" t="inlineStr">
        <is>
          <t>Кумулятивный NRR</t>
        </is>
      </c>
      <c r="K203" s="346">
        <f>F93</f>
        <v/>
      </c>
      <c r="L203" s="218" t="inlineStr">
        <is>
          <t>Валовая маржинальность</t>
        </is>
      </c>
      <c r="M203" s="419" t="n">
        <v>0.806</v>
      </c>
      <c r="N203" s="218" t="inlineStr">
        <is>
          <t>Фокус: Финансы и прибыль</t>
        </is>
      </c>
    </row>
    <row r="204">
      <c r="A204" s="218" t="inlineStr">
        <is>
          <t>FOCUS_FUN_R1</t>
        </is>
      </c>
      <c r="B204" s="218" t="inlineStr">
        <is>
          <t>Активный пайплайн</t>
        </is>
      </c>
      <c r="C204" s="218">
        <f>B17</f>
        <v/>
      </c>
      <c r="D204" s="218" t="inlineStr">
        <is>
          <t>Сделок в работе</t>
        </is>
      </c>
      <c r="E204" s="218">
        <f>B16</f>
        <v/>
      </c>
      <c r="F204" s="218" t="inlineStr">
        <is>
          <t>Win Rate воронки</t>
        </is>
      </c>
      <c r="G204" s="218">
        <f>B24</f>
        <v/>
      </c>
      <c r="H204" s="218" t="inlineStr">
        <is>
          <t>Ср. цикл сделки</t>
        </is>
      </c>
      <c r="I204" s="218">
        <f>TEXT(B25, "0.0") &amp; " дн"</f>
        <v/>
      </c>
      <c r="J204" s="218" t="inlineStr">
        <is>
          <t>Sales Velocity / мес</t>
        </is>
      </c>
      <c r="K204" s="218">
        <f>B28</f>
        <v/>
      </c>
      <c r="L204" s="218" t="inlineStr">
        <is>
          <t>Индекс здоровья CRM</t>
        </is>
      </c>
      <c r="M204" s="218">
        <f>B34</f>
        <v/>
      </c>
      <c r="N204" s="218" t="inlineStr">
        <is>
          <t>Фокус: Воронка CRM</t>
        </is>
      </c>
    </row>
    <row r="205">
      <c r="A205" s="218" t="inlineStr">
        <is>
          <t>FOCUS_FUN_R2</t>
        </is>
      </c>
      <c r="B205" s="218" t="inlineStr">
        <is>
          <t>1. Новый лид</t>
        </is>
      </c>
      <c r="C205" s="218">
        <f>C2</f>
        <v/>
      </c>
      <c r="D205" s="218" t="inlineStr">
        <is>
          <t>2. Квалификация</t>
        </is>
      </c>
      <c r="E205" s="218">
        <f>C3</f>
        <v/>
      </c>
      <c r="F205" s="218" t="inlineStr">
        <is>
          <t>3. Встреча / Демо</t>
        </is>
      </c>
      <c r="G205" s="218">
        <f>C4</f>
        <v/>
      </c>
      <c r="H205" s="218" t="inlineStr">
        <is>
          <t>4. КП и согласование</t>
        </is>
      </c>
      <c r="I205" s="218">
        <f>C5</f>
        <v/>
      </c>
      <c r="J205" s="218" t="inlineStr">
        <is>
          <t>5. Счет выставлен</t>
        </is>
      </c>
      <c r="K205" s="218">
        <f>C6</f>
        <v/>
      </c>
      <c r="L205" s="218" t="inlineStr">
        <is>
          <t>6. Реализовано</t>
        </is>
      </c>
      <c r="M205" s="218">
        <f>C7</f>
        <v/>
      </c>
      <c r="N205" s="218" t="inlineStr">
        <is>
          <t>Фокус: Воронка CRM</t>
        </is>
      </c>
    </row>
    <row r="206">
      <c r="A206" s="218" t="inlineStr">
        <is>
          <t>FOCUS_SPK_R1</t>
        </is>
      </c>
      <c r="B206" s="218" t="inlineStr">
        <is>
          <t>Звонков проанализировано</t>
        </is>
      </c>
      <c r="C206" s="218">
        <f>B26</f>
        <v/>
      </c>
      <c r="D206" s="218" t="inlineStr">
        <is>
          <t>Средний балл речи</t>
        </is>
      </c>
      <c r="E206" s="218">
        <f>TEXT(B32, "0.0") &amp; " из 13"</f>
        <v/>
      </c>
      <c r="F206" s="218" t="inlineStr">
        <is>
          <t>Доля фиксации Next Step</t>
        </is>
      </c>
      <c r="G206" s="218">
        <f>B33</f>
        <v/>
      </c>
      <c r="H206" s="218" t="inlineStr">
        <is>
          <t>Диалогов с браком (&lt;9)</t>
        </is>
      </c>
      <c r="I206" s="218">
        <f>'📋 Пульт_РОПа_15_Минут'!B5</f>
        <v/>
      </c>
      <c r="J206" s="218" t="inlineStr">
        <is>
          <t>Сделок под угрозой срыва</t>
        </is>
      </c>
      <c r="K206" s="218">
        <f>'📋 Пульт_РОПа_15_Минут'!C5</f>
        <v/>
      </c>
      <c r="L206" s="218" t="inlineStr">
        <is>
          <t>Сумма в риске прямо сейчас</t>
        </is>
      </c>
      <c r="M206" s="418">
        <f>'📋 Пульт_РОПа_15_Минут'!D5</f>
        <v/>
      </c>
      <c r="N206" s="218" t="inlineStr">
        <is>
          <t>Фокус: Качество речи</t>
        </is>
      </c>
    </row>
    <row r="207">
      <c r="A207" s="218" t="inlineStr">
        <is>
          <t>FOCUS_SPK_R2</t>
        </is>
      </c>
      <c r="B207" s="218" t="inlineStr">
        <is>
          <t>Срыв контакта (C-505)</t>
        </is>
      </c>
      <c r="C207" s="218" t="inlineStr">
        <is>
          <t>600,000 ₽</t>
        </is>
      </c>
      <c r="D207" s="218" t="inlineStr">
        <is>
          <t>Нет даты встречи (C-503)</t>
        </is>
      </c>
      <c r="E207" s="218" t="inlineStr">
        <is>
          <t>280,000 ₽</t>
        </is>
      </c>
      <c r="F207" s="218" t="inlineStr">
        <is>
          <t>Иванов Д. (Ср. балл)</t>
        </is>
      </c>
      <c r="G207" s="218" t="inlineStr">
        <is>
          <t>11.0 из 13</t>
        </is>
      </c>
      <c r="H207" s="218" t="inlineStr">
        <is>
          <t>Петров А. (Ср. балл)</t>
        </is>
      </c>
      <c r="I207" s="218" t="inlineStr">
        <is>
          <t>10.0 из 13</t>
        </is>
      </c>
      <c r="J207" s="218" t="inlineStr">
        <is>
          <t>Сидоров Р. (Ср. балл)</t>
        </is>
      </c>
      <c r="K207" s="218" t="inlineStr">
        <is>
          <t>2.0 из 13</t>
        </is>
      </c>
      <c r="L207" s="218" t="inlineStr">
        <is>
          <t>Вердикт ИИ-супервайзера</t>
        </is>
      </c>
      <c r="M207" s="218" t="inlineStr">
        <is>
          <t>🚨 Требуется разбор 2 звонков</t>
        </is>
      </c>
      <c r="N207" s="218" t="inlineStr">
        <is>
          <t>Фокус: Качество речи</t>
        </is>
      </c>
    </row>
    <row r="208">
      <c r="A208" s="218" t="inlineStr">
        <is>
          <t>FOCUS_DSO_R1</t>
        </is>
      </c>
      <c r="B208" s="218" t="inlineStr">
        <is>
          <t>Поступило в кассу (Cash-In)</t>
        </is>
      </c>
      <c r="C208" s="218">
        <f>B19</f>
        <v/>
      </c>
      <c r="D208" s="218" t="inlineStr">
        <is>
          <t>Выставлено счетов</t>
        </is>
      </c>
      <c r="E208" s="218" t="n">
        <v>1980000</v>
      </c>
      <c r="F208" s="218" t="inlineStr">
        <is>
          <t>Дебиторка к получению</t>
        </is>
      </c>
      <c r="G208" s="218" t="n">
        <v>330000</v>
      </c>
      <c r="H208" s="218" t="inlineStr">
        <is>
          <t>Просрочено &gt; 20 дней</t>
        </is>
      </c>
      <c r="I208" s="218" t="n">
        <v>150000</v>
      </c>
      <c r="J208" s="218" t="inlineStr">
        <is>
          <t>Оборачиваемость DSO</t>
        </is>
      </c>
      <c r="K208" s="218" t="inlineStr">
        <is>
          <t>18.0 дн</t>
        </is>
      </c>
      <c r="L208" s="218" t="inlineStr">
        <is>
          <t>Кассовый разрыв</t>
        </is>
      </c>
      <c r="M208" s="218" t="inlineStr">
        <is>
          <t>0 ₽</t>
        </is>
      </c>
      <c r="N208" s="218" t="inlineStr">
        <is>
          <t>Фокус: Дебиторка и касса</t>
        </is>
      </c>
    </row>
    <row r="209">
      <c r="A209" s="218" t="inlineStr">
        <is>
          <t>FOCUS_DSO_R2</t>
        </is>
      </c>
      <c r="B209" s="218" t="inlineStr">
        <is>
          <t>Счет INV-201 (Альфа)</t>
        </is>
      </c>
      <c r="C209" s="218" t="inlineStr">
        <is>
          <t>450 000 ₽ (Оплачен)</t>
        </is>
      </c>
      <c r="D209" s="218" t="inlineStr">
        <is>
          <t>Счет INV-202 (Бета)</t>
        </is>
      </c>
      <c r="E209" s="218" t="inlineStr">
        <is>
          <t>600 000 ₽ (Оплачен)</t>
        </is>
      </c>
      <c r="F209" s="218" t="inlineStr">
        <is>
          <t>Счет INV-203 (Смирнов)</t>
        </is>
      </c>
      <c r="G209" s="218" t="inlineStr">
        <is>
          <t>150 000 ₽ (Просрочен 9д)</t>
        </is>
      </c>
      <c r="H209" s="218" t="inlineStr">
        <is>
          <t>Счет INV-204 (Гамма)</t>
        </is>
      </c>
      <c r="I209" s="218" t="inlineStr">
        <is>
          <t>180 000 ₽ (На оплате)</t>
        </is>
      </c>
      <c r="J209" s="218" t="inlineStr">
        <is>
          <t>Дисциплина оплат</t>
        </is>
      </c>
      <c r="K209" s="419" t="n">
        <v>0.75</v>
      </c>
      <c r="L209" s="218" t="inlineStr">
        <is>
          <t>Статус дебиторки</t>
        </is>
      </c>
      <c r="M209" s="218" t="inlineStr">
        <is>
          <t>⚠️ 1 счет на контроле</t>
        </is>
      </c>
      <c r="N209" s="218" t="inlineStr">
        <is>
          <t>Фокус: Дебиторка и касса</t>
        </is>
      </c>
    </row>
    <row r="210">
      <c r="A210" s="218" t="inlineStr">
        <is>
          <t>FOCUS_TRF_R1</t>
        </is>
      </c>
      <c r="B210" s="218" t="inlineStr">
        <is>
          <t>Маркетинговый бюджет</t>
        </is>
      </c>
      <c r="C210" s="346">
        <f>B62</f>
        <v/>
      </c>
      <c r="D210" s="218" t="inlineStr">
        <is>
          <t>Лидов получено</t>
        </is>
      </c>
      <c r="E210" s="218">
        <f>B65</f>
        <v/>
      </c>
      <c r="F210" s="218" t="inlineStr">
        <is>
          <t>Стоимость лида (CPL)</t>
        </is>
      </c>
      <c r="G210" s="218">
        <f>B36</f>
        <v/>
      </c>
      <c r="H210" s="218" t="inlineStr">
        <is>
          <t>Стоимость клиента (CAC)</t>
        </is>
      </c>
      <c r="I210" s="218">
        <f>B37</f>
        <v/>
      </c>
      <c r="J210" s="218" t="inlineStr">
        <is>
          <t>Сквозной ROMI</t>
        </is>
      </c>
      <c r="K210" s="218">
        <f>B137</f>
        <v/>
      </c>
      <c r="L210" s="218" t="inlineStr">
        <is>
          <t>Кликов по рекламе</t>
        </is>
      </c>
      <c r="M210" s="218">
        <f>B63</f>
        <v/>
      </c>
      <c r="N210" s="218" t="inlineStr">
        <is>
          <t>Фокус: Маркетинг и трафик</t>
        </is>
      </c>
    </row>
    <row r="211">
      <c r="A211" s="218" t="inlineStr">
        <is>
          <t>FOCUS_TRF_R2</t>
        </is>
      </c>
      <c r="B211" s="218" t="inlineStr">
        <is>
          <t>Яндекс Директ (Бюджет)</t>
        </is>
      </c>
      <c r="C211" s="218" t="inlineStr">
        <is>
          <t>120 000 ₽ (48 лидов)</t>
        </is>
      </c>
      <c r="D211" s="218" t="inlineStr">
        <is>
          <t>Контур.Фокус (Бюджет)</t>
        </is>
      </c>
      <c r="E211" s="218" t="inlineStr">
        <is>
          <t>35 000 ₽ (24 лида)</t>
        </is>
      </c>
      <c r="F211" s="218" t="inlineStr">
        <is>
          <t>Google Ads (Бюджет)</t>
        </is>
      </c>
      <c r="G211" s="218" t="inlineStr">
        <is>
          <t>85 000 ₽ (31 лид)</t>
        </is>
      </c>
      <c r="H211" s="218" t="inlineStr">
        <is>
          <t>Органика SEO</t>
        </is>
      </c>
      <c r="I211" s="218" t="inlineStr">
        <is>
          <t>135 000 ₽ выручки</t>
        </is>
      </c>
      <c r="J211" s="218" t="inlineStr">
        <is>
          <t>Партнерский трафик</t>
        </is>
      </c>
      <c r="K211" s="218" t="inlineStr">
        <is>
          <t>45 000 ₽ выручки</t>
        </is>
      </c>
      <c r="L211" s="218" t="inlineStr">
        <is>
          <t>Эффективность каналов</t>
        </is>
      </c>
      <c r="M211" s="218" t="inlineStr">
        <is>
          <t>Контур.Фокус — Top ROMI</t>
        </is>
      </c>
      <c r="N211" s="218" t="inlineStr">
        <is>
          <t>Фокус: Маркетинг и трафик</t>
        </is>
      </c>
    </row>
    <row r="212">
      <c r="A212" s="218" t="inlineStr">
        <is>
          <t>CALC_SELECTOR</t>
        </is>
      </c>
      <c r="B212" s="218">
        <f>IF('⚙️ Настройки'!$F$10="102 - Петров Александр (КАМ)", 5, IF('⚙️ Настройки'!$D$10="💰 Выручка и чистая прибыль", 11, IF('⚙️ Настройки'!$D$10="🎯 Воронка продаж и конверсии CRM", 13, IF('⚙️ Настройки'!$D$10="🎙️ Контроль речи и качество звонков", 15, IF('⚙️ Настройки'!$D$10="💳 Дебиторка DSO и кассовые разрывы", 17, IF('⚙️ Настройки'!$D$10="🌐 Трафик, CPL и ROMI каналов", 19, IF(ISNUMBER(SEARCH("CEO", '⚙️ Настройки'!$B$10)), 1, IF(ISNUMBER(SEARCH("РОП", '⚙️ Настройки'!$B$10)), 3, IF(ISNUMBER(SEARCH("KAM", '⚙️ Настройки'!$B$10)), 5, IF(ISNUMBER(SEARCH("CMO", '⚙️ Настройки'!$B$10)), 7, 9))))))))))</f>
        <v/>
      </c>
    </row>
    <row r="213">
      <c r="A213" s="218" t="inlineStr">
        <is>
          <t>CALC_SELECTOR_R1</t>
        </is>
      </c>
      <c r="B213" s="218">
        <f>IF('⚙️ Настройки'!$F$10="102 - Петров Александр (КАМ)", "KAM_R1", IF('⚙️ Настройки'!$D$10="💰 Выручка и чистая прибыль", "FOCUS_REV_R1", IF('⚙️ Настройки'!$D$10="🎯 Воронка продаж и конверсии CRM", "FOCUS_FUN_R1", IF('⚙️ Настройки'!$D$10="🎙️ Контроль речи и качество звонков", "FOCUS_SPK_R1", IF('⚙️ Настройки'!$D$10="💳 Дебиторка DSO и кассовые разрывы", "FOCUS_DSO_R1", IF('⚙️ Настройки'!$D$10="🌐 Трафик, CPL и ROMI каналов", "FOCUS_TRF_R1", IF(ISNUMBER(SEARCH("CEO", '⚙️ Настройки'!$B$10)), "CEO_R1", IF(ISNUMBER(SEARCH("РОП", '⚙️ Настройки'!$B$10)), "ROP_R1", IF(ISNUMBER(SEARCH("KAM", '⚙️ Настройки'!$B$10)), "KAM_R1", IF(ISNUMBER(SEARCH("CMO", '⚙️ Настройки'!$B$10)), "CMO_R1", "CFO_R1"))))))))))</f>
        <v/>
      </c>
    </row>
    <row r="214">
      <c r="A214" s="218" t="inlineStr">
        <is>
          <t>CALC_SELECTOR_R2</t>
        </is>
      </c>
      <c r="B214" s="218">
        <f>IF('⚙️ Настройки'!$F$10="102 - Петров Александр (КАМ)", "KAM_R2", IF('⚙️ Настройки'!$D$10="💰 Выручка и чистая прибыль", "FOCUS_REV_R2", IF('⚙️ Настройки'!$D$10="🎯 Воронка продаж и конверсии CRM", "FOCUS_FUN_R2", IF('⚙️ Настройки'!$D$10="🎙️ Контроль речи и качество звонков", "FOCUS_SPK_R2", IF('⚙️ Настройки'!$D$10="💳 Дебиторка DSO и кассовые разрывы", "FOCUS_DSO_R2", IF('⚙️ Настройки'!$D$10="🌐 Трафик, CPL и ROMI каналов", "FOCUS_TRF_R2", IF(ISNUMBER(SEARCH("CEO", '⚙️ Настройки'!$B$10)), "CEO_R2", IF(ISNUMBER(SEARCH("РОП", '⚙️ Настройки'!$B$10)), "ROP_R2", IF(ISNUMBER(SEARCH("KAM", '⚙️ Настройки'!$B$10)), "KAM_R2", IF(ISNUMBER(SEARCH("CMO", '⚙️ Настройки'!$B$10)), "CMO_R2", "CFO_R2"))))))))))</f>
        <v/>
      </c>
    </row>
    <row r="215">
      <c r="A215" s="218" t="inlineStr">
        <is>
          <t>ACTIVE_R1</t>
        </is>
      </c>
      <c r="B215" s="218">
        <f>VLOOKUP($B$213, $A$192:$N$211, 2, FALSE)</f>
        <v/>
      </c>
      <c r="C215" s="218">
        <f>VLOOKUP($B$213, $A$192:$N$211, 3, FALSE)</f>
        <v/>
      </c>
      <c r="D215" s="218">
        <f>VLOOKUP($B$213, $A$192:$N$211, 4, FALSE)</f>
        <v/>
      </c>
      <c r="E215" s="218">
        <f>VLOOKUP($B$213, $A$192:$N$211, 5, FALSE)</f>
        <v/>
      </c>
      <c r="F215" s="218">
        <f>VLOOKUP($B$213, $A$192:$N$211, 6, FALSE)</f>
        <v/>
      </c>
      <c r="G215" s="218">
        <f>VLOOKUP($B$213, $A$192:$N$211, 7, FALSE)</f>
        <v/>
      </c>
      <c r="H215" s="218">
        <f>VLOOKUP($B$213, $A$192:$N$211, 8, FALSE)</f>
        <v/>
      </c>
      <c r="I215" s="218">
        <f>VLOOKUP($B$213, $A$192:$N$211, 9, FALSE)</f>
        <v/>
      </c>
      <c r="J215" s="218">
        <f>VLOOKUP($B$213, $A$192:$N$211, 10, FALSE)</f>
        <v/>
      </c>
      <c r="K215" s="218">
        <f>VLOOKUP($B$213, $A$192:$N$211, 11, FALSE)</f>
        <v/>
      </c>
      <c r="L215" s="218">
        <f>VLOOKUP($B$213, $A$192:$N$211, 12, FALSE)</f>
        <v/>
      </c>
      <c r="M215" s="218">
        <f>VLOOKUP($B$213, $A$192:$N$211, 13, FALSE)</f>
        <v/>
      </c>
      <c r="N215" s="218">
        <f>VLOOKUP($B$213, $A$192:$N$211, 14, FALSE)</f>
        <v/>
      </c>
    </row>
    <row r="216">
      <c r="A216" s="218" t="inlineStr">
        <is>
          <t>ACTIVE_R2</t>
        </is>
      </c>
      <c r="B216" s="218">
        <f>VLOOKUP($B$214, $A$192:$N$211, 2, FALSE)</f>
        <v/>
      </c>
      <c r="C216" s="218">
        <f>VLOOKUP($B$214, $A$192:$N$211, 3, FALSE)</f>
        <v/>
      </c>
      <c r="D216" s="218">
        <f>VLOOKUP($B$214, $A$192:$N$211, 4, FALSE)</f>
        <v/>
      </c>
      <c r="E216" s="218">
        <f>VLOOKUP($B$214, $A$192:$N$211, 5, FALSE)</f>
        <v/>
      </c>
      <c r="F216" s="218">
        <f>VLOOKUP($B$214, $A$192:$N$211, 6, FALSE)</f>
        <v/>
      </c>
      <c r="G216" s="218">
        <f>VLOOKUP($B$214, $A$192:$N$211, 7, FALSE)</f>
        <v/>
      </c>
      <c r="H216" s="218">
        <f>VLOOKUP($B$214, $A$192:$N$211, 8, FALSE)</f>
        <v/>
      </c>
      <c r="I216" s="218">
        <f>VLOOKUP($B$214, $A$192:$N$211, 9, FALSE)</f>
        <v/>
      </c>
      <c r="J216" s="218">
        <f>VLOOKUP($B$214, $A$192:$N$211, 10, FALSE)</f>
        <v/>
      </c>
      <c r="K216" s="346">
        <f>VLOOKUP($B$214, $A$192:$N$211, 11, FALSE)</f>
        <v/>
      </c>
      <c r="L216" s="218">
        <f>VLOOKUP($B$214, $A$192:$N$211, 12, FALSE)</f>
        <v/>
      </c>
      <c r="M216" s="218">
        <f>VLOOKUP($B$214, $A$192:$N$211, 13, FALSE)</f>
        <v/>
      </c>
      <c r="N216" s="218">
        <f>VLOOKUP($B$214, $A$192:$N$211, 14, FALSE)</f>
        <v/>
      </c>
    </row>
    <row r="217"/>
    <row r="218"/>
    <row r="219"/>
    <row r="220">
      <c r="A220" s="218" t="inlineStr">
        <is>
          <t>🎲 МОНТЕ-КАРЛО 3.0: ВЕРОЯТНОСТНЫЙ ПРОГНОЗ ВЫРУЧКИ (10 000 ИТЕРАЦИЙ)</t>
        </is>
      </c>
    </row>
    <row r="221">
      <c r="A221" s="218" t="inlineStr">
        <is>
          <t>Параметр симуляции</t>
        </is>
      </c>
      <c r="B221" s="218" t="inlineStr">
        <is>
          <t>Значение</t>
        </is>
      </c>
      <c r="C221" s="218" t="inlineStr">
        <is>
          <t>База расчета</t>
        </is>
      </c>
      <c r="D221" s="218" t="inlineStr">
        <is>
          <t>Коридор P10–P90</t>
        </is>
      </c>
      <c r="E221" s="218" t="inlineStr">
        <is>
          <t>Статус</t>
        </is>
      </c>
      <c r="F221" s="218" t="inlineStr">
        <is>
          <t>Комментарий</t>
        </is>
      </c>
    </row>
    <row r="222">
      <c r="A222" s="218" t="inlineStr">
        <is>
          <t>Фактическая выручка текущего периода</t>
        </is>
      </c>
      <c r="B222" s="218">
        <f>B19</f>
        <v/>
      </c>
      <c r="C222" s="218" t="inlineStr">
        <is>
          <t>Касса</t>
        </is>
      </c>
      <c r="D222" s="218">
        <f>B222</f>
        <v/>
      </c>
      <c r="E222" s="218" t="inlineStr">
        <is>
          <t>Факт</t>
        </is>
      </c>
      <c r="F222" s="218" t="inlineStr">
        <is>
          <t>Реальные закрытые сделки</t>
        </is>
      </c>
    </row>
    <row r="223">
      <c r="A223" s="218" t="inlineStr">
        <is>
          <t>Взвешенный пайплайн воронки</t>
        </is>
      </c>
      <c r="B223" s="218">
        <f>B18</f>
        <v/>
      </c>
      <c r="C223" s="218" t="inlineStr">
        <is>
          <t>Пайплайн</t>
        </is>
      </c>
      <c r="D223" s="218">
        <f>B223</f>
        <v/>
      </c>
      <c r="E223" s="218" t="inlineStr">
        <is>
          <t>Модель</t>
        </is>
      </c>
      <c r="F223" s="218" t="inlineStr">
        <is>
          <t>С учетом вероятностей этапов</t>
        </is>
      </c>
    </row>
    <row r="224">
      <c r="A224" s="218" t="inlineStr">
        <is>
          <t>Волатильность закрытия сделок (StdDev)</t>
        </is>
      </c>
      <c r="B224" s="218" t="n">
        <v>0.18</v>
      </c>
      <c r="C224" s="218" t="inlineStr">
        <is>
          <t>Дисперсия</t>
        </is>
      </c>
      <c r="D224" s="218" t="inlineStr">
        <is>
          <t>±18%</t>
        </is>
      </c>
      <c r="E224" s="218" t="inlineStr">
        <is>
          <t>Норма</t>
        </is>
      </c>
      <c r="F224" s="218" t="inlineStr">
        <is>
          <t>Историческая дисперсия ОП</t>
        </is>
      </c>
    </row>
    <row r="225">
      <c r="A225" s="218" t="inlineStr">
        <is>
          <t>Потенциал ликвидации утечек</t>
        </is>
      </c>
      <c r="B225" s="418">
        <f>'⚡ Экспресс_Калькулятор_3_Цифры'!D19 * '⚙️ Настройки'!$B$48</f>
        <v/>
      </c>
      <c r="C225" s="218" t="inlineStr">
        <is>
          <t>Quick ROI</t>
        </is>
      </c>
      <c r="D225" s="218">
        <f>D19*0.35</f>
        <v/>
      </c>
      <c r="E225" s="218" t="inlineStr">
        <is>
          <t>Upside</t>
        </is>
      </c>
      <c r="F225" s="218" t="inlineStr">
        <is>
          <t>Дополнительный возврат кассы</t>
        </is>
      </c>
    </row>
    <row r="226">
      <c r="A226" s="218" t="inlineStr">
        <is>
          <t>P10 (Пессимистичный сценарий - 90% гарантия)</t>
        </is>
      </c>
      <c r="B226" s="218">
        <f>calc_simulator!B10</f>
        <v/>
      </c>
      <c r="C226" s="218" t="inlineStr">
        <is>
          <t>Монте-Карло</t>
        </is>
      </c>
      <c r="D226" s="218">
        <f>B226</f>
        <v/>
      </c>
      <c r="E226" s="218" t="inlineStr">
        <is>
          <t>Гарантия 90%</t>
        </is>
      </c>
      <c r="F226" s="218" t="inlineStr">
        <is>
          <t>Минимальная планка выручки</t>
        </is>
      </c>
    </row>
    <row r="227">
      <c r="A227" s="218" t="inlineStr">
        <is>
          <t>P50 (Базовый наиболее вероятный исход)</t>
        </is>
      </c>
      <c r="B227" s="418">
        <f>calc_simulator!B11</f>
        <v/>
      </c>
      <c r="C227" s="218" t="inlineStr">
        <is>
          <t>Монте-Карло</t>
        </is>
      </c>
      <c r="D227" s="418">
        <f>B227</f>
        <v/>
      </c>
      <c r="E227" s="218" t="inlineStr">
        <is>
          <t>Ожидание</t>
        </is>
      </c>
      <c r="F227" s="218" t="inlineStr">
        <is>
          <t>Математическое ожидание</t>
        </is>
      </c>
    </row>
    <row r="228">
      <c r="A228" s="218" t="inlineStr">
        <is>
          <t>P90 (Оптимистичный сценарий с ИИ-дожимом)</t>
        </is>
      </c>
      <c r="B228" s="418">
        <f>calc_simulator!B12</f>
        <v/>
      </c>
      <c r="C228" s="218" t="inlineStr">
        <is>
          <t>Монте-Карло</t>
        </is>
      </c>
      <c r="D228" s="418">
        <f>B228</f>
        <v/>
      </c>
      <c r="E228" s="218" t="inlineStr">
        <is>
          <t>Таргет</t>
        </is>
      </c>
      <c r="F228" s="218" t="inlineStr">
        <is>
          <t>Выполнение плана 5.0M ₽</t>
        </is>
      </c>
    </row>
    <row r="229">
      <c r="A229" s="218" t="inlineStr">
        <is>
          <t>Вероятность выполнения плана (5 000 000 ₽)</t>
        </is>
      </c>
      <c r="B229" s="418">
        <f>calc_simulator!B13</f>
        <v/>
      </c>
      <c r="C229" s="218" t="inlineStr">
        <is>
          <t>Вероятность</t>
        </is>
      </c>
      <c r="D229" s="419">
        <f>B229</f>
        <v/>
      </c>
      <c r="E229" s="218" t="inlineStr">
        <is>
          <t>Высокая</t>
        </is>
      </c>
      <c r="F229" s="218" t="inlineStr">
        <is>
          <t>Вероятность достижения целевого плана</t>
        </is>
      </c>
    </row>
    <row r="230">
      <c r="A230" s="218" t="inlineStr">
        <is>
          <t>Ширина коридора риска (P90 - P10)</t>
        </is>
      </c>
      <c r="B230" s="418">
        <f>calc_simulator!B15</f>
        <v/>
      </c>
      <c r="C230" s="218" t="inlineStr">
        <is>
          <t>Спред риска</t>
        </is>
      </c>
      <c r="D230" s="418">
        <f>B230</f>
        <v/>
      </c>
      <c r="E230" s="218" t="inlineStr">
        <is>
          <t>Норма</t>
        </is>
      </c>
      <c r="F230" s="218" t="inlineStr">
        <is>
          <t>Буфер ликвидности для финдиректора</t>
        </is>
      </c>
    </row>
    <row r="231">
      <c r="A231" s="218" t="inlineStr">
        <is>
          <t>Сценарий Монте-Карло</t>
        </is>
      </c>
      <c r="B231" s="218" t="inlineStr">
        <is>
          <t>Выручка к концу месяца, ₽</t>
        </is>
      </c>
    </row>
    <row r="232">
      <c r="A232" s="218" t="inlineStr">
        <is>
          <t>P10 (Пессимистичный)</t>
        </is>
      </c>
      <c r="B232" s="218">
        <f>B226</f>
        <v/>
      </c>
    </row>
    <row r="233">
      <c r="A233" s="218" t="inlineStr">
        <is>
          <t>P50 (Базовый медианный)</t>
        </is>
      </c>
      <c r="B233" s="418">
        <f>B227</f>
        <v/>
      </c>
    </row>
    <row r="234">
      <c r="A234" s="218" t="inlineStr">
        <is>
          <t>P90 (Оптимистичный с ИИ)</t>
        </is>
      </c>
      <c r="B234" s="418">
        <f>B228</f>
        <v/>
      </c>
    </row>
    <row r="235">
      <c r="A235" s="218" t="inlineStr">
        <is>
          <t>План компании</t>
        </is>
      </c>
      <c r="B235" s="346">
        <f>'⚙️ Настройки'!$B$9</f>
        <v/>
      </c>
    </row>
  </sheetData>
  <mergeCells count="7">
    <mergeCell ref="A180:H180"/>
    <mergeCell ref="A91:G91"/>
    <mergeCell ref="A152:H152"/>
    <mergeCell ref="A160:H160"/>
    <mergeCell ref="A142:H142"/>
    <mergeCell ref="A170:H170"/>
    <mergeCell ref="A130:I130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FF14A56B"/>
    <outlinePr summaryBelow="0" summaryRight="0"/>
    <pageSetUpPr/>
  </sheetPr>
  <dimension ref="A1:J30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2.63" defaultRowHeight="15.75" customHeight="1"/>
  <cols>
    <col width="117.38" customWidth="1" style="461" min="1" max="1"/>
    <col width="29.5" customWidth="1" style="461" min="2" max="2"/>
    <col width="29.13" customWidth="1" style="461" min="3" max="3"/>
    <col width="31.75" customWidth="1" style="461" min="4" max="4"/>
    <col width="28.25" customWidth="1" style="461" min="5" max="5"/>
    <col width="26.63" customWidth="1" style="461" min="6" max="6"/>
    <col width="18.25" customWidth="1" style="461" min="7" max="7"/>
    <col width="12.63" customWidth="1" style="461" min="8" max="8"/>
  </cols>
  <sheetData>
    <row r="1" ht="42" customHeight="1" s="461">
      <c r="A1" s="8">
        <f>"⚡ ПУЛЬС БИЗНЕСА: " &amp; '⚙️ Настройки'!$B$10 &amp; "  |  Фокус: " &amp; '⚙️ Настройки'!$D$10 &amp; "  |  Срез: " &amp; '⚙️ Настройки'!$F$10</f>
        <v/>
      </c>
      <c r="G1" s="8" t="n"/>
      <c r="H1" s="8" t="n"/>
      <c r="I1" s="199" t="n"/>
      <c r="J1" s="199" t="n"/>
    </row>
    <row r="2" ht="24" customHeight="1" s="461">
      <c r="A2" s="496">
        <f>HYPERLINK("#'📄 Executive_OnePager'!A1", "📄 1. One-Pager")</f>
        <v/>
      </c>
      <c r="B2" s="496">
        <f>HYPERLINK("#'⚡ Пульс_Компании'!A1", "⚡ 2. Пульс компании")</f>
        <v/>
      </c>
      <c r="C2" s="496">
        <f>HYPERLINK("#'📋 Пульт_РОПа_15_Минут'!A1", "📋 3. Пульт РОПа")</f>
        <v/>
      </c>
      <c r="D2" s="496">
        <f>HYPERLINK("#'💸 Диагностика_Утечек_ОП'!A1", "💸 4. 7 Грехов ОП")</f>
        <v/>
      </c>
      <c r="E2" s="496">
        <f>HYPERLINK("#'🎯 Action_Center'!A1", "🎯 5. Action Center")</f>
        <v/>
      </c>
      <c r="F2" s="496">
        <f>HYPERLINK("#'🎙️ ИИ_Аудит'!A1", "🎙️ 6. ИИ-Аудит")</f>
        <v/>
      </c>
      <c r="G2" s="496">
        <f>HYPERLINK("#'⚡ Экспресс_Калькулятор_3_Цифры'!A1", "⚡ 7. Экспресс 3 цифры")</f>
        <v/>
      </c>
      <c r="H2" s="496">
        <f>HYPERLINK("#'🧪 QA_Suite'!A1", "🧪 8. QA Suite")</f>
        <v/>
      </c>
      <c r="I2" s="496">
        <f>HYPERLINK("#'⚙️ Настройки'!A1", "⚙️ 9. Настройки")</f>
        <v/>
      </c>
      <c r="J2" s="199" t="n"/>
    </row>
    <row r="3" ht="21" customHeight="1" s="461">
      <c r="A3" s="359">
        <f>calc_engine!B215</f>
        <v/>
      </c>
      <c r="B3" s="359">
        <f>calc_engine!D215</f>
        <v/>
      </c>
      <c r="C3" s="359">
        <f>calc_engine!F215</f>
        <v/>
      </c>
      <c r="D3" s="359">
        <f>calc_engine!H215</f>
        <v/>
      </c>
      <c r="E3" s="359">
        <f>calc_engine!J215</f>
        <v/>
      </c>
      <c r="F3" s="359">
        <f>calc_engine!L215</f>
        <v/>
      </c>
      <c r="G3" s="199" t="n"/>
      <c r="H3" s="199" t="n"/>
      <c r="I3" s="199" t="n"/>
      <c r="J3" s="199" t="n"/>
    </row>
    <row r="4" ht="22.5" customHeight="1" s="461">
      <c r="A4" s="362">
        <f>calc_engine!C215</f>
        <v/>
      </c>
      <c r="B4" s="363">
        <f>calc_engine!E215</f>
        <v/>
      </c>
      <c r="C4" s="362">
        <f>calc_engine!G215</f>
        <v/>
      </c>
      <c r="D4" s="362">
        <f>calc_engine!I215</f>
        <v/>
      </c>
      <c r="E4" s="362">
        <f>calc_engine!K215</f>
        <v/>
      </c>
      <c r="F4" s="363">
        <f>calc_engine!M215</f>
        <v/>
      </c>
      <c r="G4" s="199" t="n"/>
      <c r="H4" s="199" t="n"/>
      <c r="I4" s="199" t="n"/>
      <c r="J4" s="199" t="n"/>
    </row>
    <row r="5" ht="40.5" customHeight="1" s="461">
      <c r="A5" s="364">
        <f>calc_engine!B216</f>
        <v/>
      </c>
      <c r="B5" s="364">
        <f>calc_engine!D216</f>
        <v/>
      </c>
      <c r="C5" s="365">
        <f>calc_engine!F216</f>
        <v/>
      </c>
      <c r="D5" s="365">
        <f>calc_engine!H216</f>
        <v/>
      </c>
      <c r="E5" s="366">
        <f>calc_engine!J216</f>
        <v/>
      </c>
      <c r="F5" s="366">
        <f>calc_engine!L216</f>
        <v/>
      </c>
      <c r="G5" s="199" t="n"/>
      <c r="H5" s="199" t="n"/>
      <c r="I5" s="199" t="n"/>
      <c r="J5" s="199" t="n"/>
    </row>
    <row r="6" ht="22.5" customHeight="1" s="461">
      <c r="A6" s="367">
        <f>calc_engine!C216</f>
        <v/>
      </c>
      <c r="B6" s="368">
        <f>calc_engine!E216</f>
        <v/>
      </c>
      <c r="C6" s="367">
        <f>calc_engine!G216</f>
        <v/>
      </c>
      <c r="D6" s="367">
        <f>calc_engine!I216</f>
        <v/>
      </c>
      <c r="E6" s="369">
        <f>calc_engine!K216</f>
        <v/>
      </c>
      <c r="F6" s="370">
        <f>calc_engine!M216</f>
        <v/>
      </c>
      <c r="G6" s="199" t="n"/>
      <c r="H6" s="199" t="n"/>
      <c r="I6" s="199" t="n"/>
      <c r="J6" s="199" t="n"/>
    </row>
    <row r="7" ht="40.5" customHeight="1" s="461">
      <c r="A7" s="371" t="n"/>
      <c r="B7" s="371" t="n"/>
      <c r="C7" s="372" t="n"/>
      <c r="D7" s="372" t="n"/>
      <c r="E7" s="373" t="n"/>
      <c r="F7" s="373" t="n"/>
      <c r="G7" s="199" t="n"/>
      <c r="H7" s="199" t="n"/>
      <c r="I7" s="199" t="n"/>
      <c r="J7" s="199" t="n"/>
    </row>
    <row r="8" ht="30" customHeight="1" s="461">
      <c r="A8" s="375" t="inlineStr">
        <is>
          <t>📊 РАСПРЕДЕЛЕНИЕ ПАЙПЛАЙНА ПО ЭТАПАМ ВОРОНКИ</t>
        </is>
      </c>
      <c r="E8" s="375" t="n"/>
      <c r="F8" s="375" t="n"/>
      <c r="G8" s="199" t="n"/>
      <c r="H8" s="199" t="n"/>
      <c r="I8" s="199" t="n"/>
      <c r="J8" s="199" t="n"/>
    </row>
    <row r="9" ht="27" customHeight="1" s="461">
      <c r="A9" s="376" t="inlineStr">
        <is>
          <t>Этап сделки</t>
        </is>
      </c>
      <c r="B9" s="376" t="inlineStr">
        <is>
          <t>Сделок в работе</t>
        </is>
      </c>
      <c r="C9" s="377" t="inlineStr">
        <is>
          <t>Номинальный объем</t>
        </is>
      </c>
      <c r="D9" s="377" t="inlineStr">
        <is>
          <t>Взвешенный объем</t>
        </is>
      </c>
      <c r="E9" s="379" t="n"/>
      <c r="F9" s="379" t="inlineStr">
        <is>
          <t>План выручки</t>
        </is>
      </c>
      <c r="G9" s="380">
        <f>'⚙️ Настройки'!$B$9</f>
        <v/>
      </c>
      <c r="H9" s="199" t="n"/>
      <c r="I9" s="199" t="n"/>
      <c r="J9" s="199" t="n"/>
    </row>
    <row r="10" ht="24" customHeight="1" s="461">
      <c r="A10" s="381" t="inlineStr">
        <is>
          <t>1. Новый лид</t>
        </is>
      </c>
      <c r="B10" s="382">
        <f>calc_engine!B2</f>
        <v/>
      </c>
      <c r="C10" s="383">
        <f>calc_engine!C2</f>
        <v/>
      </c>
      <c r="D10" s="384">
        <f>calc_engine!D2</f>
        <v/>
      </c>
      <c r="E10" s="385" t="n"/>
      <c r="F10" s="120" t="inlineStr">
        <is>
          <t>Факт Closed-Won</t>
        </is>
      </c>
      <c r="G10" s="380">
        <f>A4</f>
        <v/>
      </c>
      <c r="H10" s="199" t="n"/>
      <c r="I10" s="199" t="n"/>
      <c r="J10" s="199" t="n"/>
    </row>
    <row r="11" ht="24" customHeight="1" s="461">
      <c r="A11" s="386" t="inlineStr">
        <is>
          <t>2. Квалификация / ЛПР</t>
        </is>
      </c>
      <c r="B11" s="387">
        <f>calc_engine!B3</f>
        <v/>
      </c>
      <c r="C11" s="389">
        <f>calc_engine!C3</f>
        <v/>
      </c>
      <c r="D11" s="390">
        <f>calc_engine!D3</f>
        <v/>
      </c>
      <c r="E11" s="391" t="n"/>
      <c r="F11" s="96" t="inlineStr">
        <is>
          <t>Run-Rate прогноз</t>
        </is>
      </c>
      <c r="G11" s="380">
        <f>C4</f>
        <v/>
      </c>
      <c r="H11" s="199" t="n"/>
      <c r="I11" s="199" t="n"/>
      <c r="J11" s="199" t="n"/>
    </row>
    <row r="12" ht="24" customHeight="1" s="461">
      <c r="A12" s="381" t="inlineStr">
        <is>
          <t>3. Встреча / Демо</t>
        </is>
      </c>
      <c r="B12" s="382">
        <f>calc_engine!B4</f>
        <v/>
      </c>
      <c r="C12" s="383">
        <f>calc_engine!C4</f>
        <v/>
      </c>
      <c r="D12" s="384">
        <f>calc_engine!D4</f>
        <v/>
      </c>
      <c r="E12" s="385" t="n"/>
      <c r="F12" s="120" t="inlineStr">
        <is>
          <t>Взвешенный прогноз</t>
        </is>
      </c>
      <c r="G12" s="380">
        <f>D4</f>
        <v/>
      </c>
      <c r="H12" s="199" t="n"/>
      <c r="I12" s="199" t="n"/>
      <c r="J12" s="199" t="n"/>
    </row>
    <row r="13" ht="24" customHeight="1" s="461">
      <c r="A13" s="386" t="inlineStr">
        <is>
          <t>4. КП и согласование</t>
        </is>
      </c>
      <c r="B13" s="387">
        <f>calc_engine!B5</f>
        <v/>
      </c>
      <c r="C13" s="389">
        <f>calc_engine!C5</f>
        <v/>
      </c>
      <c r="D13" s="390">
        <f>calc_engine!D5</f>
        <v/>
      </c>
      <c r="E13" s="391" t="n"/>
      <c r="F13" s="96" t="inlineStr">
        <is>
          <t>Активный пайплайн</t>
        </is>
      </c>
      <c r="G13" s="380">
        <f>E4</f>
        <v/>
      </c>
      <c r="H13" s="199" t="n"/>
      <c r="I13" s="199" t="n"/>
      <c r="J13" s="199" t="n"/>
    </row>
    <row r="14" ht="24" customHeight="1" s="461">
      <c r="A14" s="381" t="inlineStr">
        <is>
          <t>5. Счет выставлен</t>
        </is>
      </c>
      <c r="B14" s="382">
        <f>calc_engine!B6</f>
        <v/>
      </c>
      <c r="C14" s="383">
        <f>calc_engine!C6</f>
        <v/>
      </c>
      <c r="D14" s="384">
        <f>calc_engine!D6</f>
        <v/>
      </c>
      <c r="E14" s="385" t="n"/>
      <c r="F14" s="397" t="n"/>
      <c r="G14" s="199" t="n"/>
      <c r="H14" s="199" t="n"/>
      <c r="I14" s="199" t="n"/>
      <c r="J14" s="199" t="n"/>
    </row>
    <row r="15" ht="24" customHeight="1" s="461">
      <c r="A15" s="386" t="inlineStr">
        <is>
          <t>6. Успешно реализовано</t>
        </is>
      </c>
      <c r="B15" s="387">
        <f>calc_engine!B7</f>
        <v/>
      </c>
      <c r="C15" s="389">
        <f>calc_engine!C7</f>
        <v/>
      </c>
      <c r="D15" s="390">
        <f>calc_engine!D7</f>
        <v/>
      </c>
      <c r="E15" s="391" t="n"/>
      <c r="F15" s="398" t="n"/>
      <c r="G15" s="199" t="n"/>
      <c r="H15" s="199" t="n"/>
      <c r="I15" s="199" t="n"/>
      <c r="J15" s="199" t="n"/>
    </row>
    <row r="16" ht="24" customHeight="1" s="461">
      <c r="A16" s="399">
        <f>'⚙️ Настройки'!$B$18</f>
        <v/>
      </c>
      <c r="B16" s="400">
        <f>calc_engine!B8</f>
        <v/>
      </c>
      <c r="C16" s="401">
        <f>calc_engine!C8</f>
        <v/>
      </c>
      <c r="D16" s="402">
        <f>calc_engine!D8</f>
        <v/>
      </c>
      <c r="E16" s="403" t="n"/>
      <c r="F16" s="404" t="n"/>
      <c r="G16" s="199" t="n"/>
      <c r="H16" s="199" t="n"/>
      <c r="I16" s="199" t="n"/>
      <c r="J16" s="199" t="n"/>
    </row>
    <row r="17" ht="28.5" customHeight="1" s="461">
      <c r="A17" s="405" t="n"/>
      <c r="B17" s="405" t="n"/>
      <c r="C17" s="405" t="n"/>
      <c r="D17" s="405" t="n"/>
      <c r="E17" s="405" t="n"/>
      <c r="F17" s="405" t="n"/>
      <c r="G17" s="199" t="n"/>
      <c r="H17" s="199" t="n"/>
      <c r="I17" s="199" t="n"/>
      <c r="J17" s="199" t="n"/>
    </row>
    <row r="18" ht="15" customHeight="1" s="461">
      <c r="A18" s="199" t="n"/>
      <c r="B18" s="199" t="n"/>
      <c r="C18" s="380" t="n"/>
      <c r="D18" s="199" t="n"/>
      <c r="E18" s="199" t="n"/>
      <c r="F18" s="199" t="n"/>
      <c r="G18" s="199" t="n"/>
      <c r="H18" s="199" t="n"/>
      <c r="I18" s="199" t="n"/>
      <c r="J18" s="199" t="n"/>
    </row>
    <row r="19" ht="15" customHeight="1" s="461">
      <c r="A19" s="199" t="n"/>
      <c r="B19" s="199" t="n"/>
      <c r="C19" s="380" t="n"/>
      <c r="D19" s="199" t="n"/>
      <c r="E19" s="199" t="n"/>
      <c r="F19" s="199" t="n"/>
      <c r="G19" s="199" t="n"/>
      <c r="H19" s="199" t="n"/>
      <c r="I19" s="199" t="n"/>
      <c r="J19" s="199" t="n"/>
    </row>
    <row r="20" ht="15" customHeight="1" s="461">
      <c r="A20" s="199" t="n"/>
      <c r="B20" s="199" t="n"/>
      <c r="C20" s="380" t="n"/>
      <c r="D20" s="199" t="n"/>
      <c r="E20" s="199" t="n"/>
      <c r="F20" s="199" t="n"/>
      <c r="G20" s="199" t="n"/>
      <c r="H20" s="199" t="n"/>
      <c r="I20" s="199" t="n"/>
      <c r="J20" s="199" t="n"/>
    </row>
    <row r="21" ht="15" customHeight="1" s="461">
      <c r="A21" s="199" t="n"/>
      <c r="B21" s="199" t="n"/>
      <c r="C21" s="380" t="n"/>
      <c r="D21" s="199" t="n"/>
      <c r="E21" s="199" t="n"/>
      <c r="F21" s="199" t="n"/>
      <c r="G21" s="199" t="n"/>
      <c r="H21" s="199" t="n"/>
      <c r="I21" s="199" t="n"/>
      <c r="J21" s="199" t="n"/>
    </row>
    <row r="22" ht="15" customHeight="1" s="461">
      <c r="A22" s="199" t="n"/>
      <c r="B22" s="199" t="n"/>
      <c r="C22" s="380" t="n"/>
      <c r="D22" s="199" t="n"/>
      <c r="E22" s="199" t="n"/>
      <c r="F22" s="199" t="n"/>
      <c r="G22" s="199" t="n"/>
      <c r="H22" s="199" t="n"/>
      <c r="I22" s="199" t="n"/>
      <c r="J22" s="199" t="n"/>
    </row>
    <row r="23" ht="15" customHeight="1" s="461">
      <c r="A23" s="199" t="n"/>
      <c r="B23" s="199" t="n"/>
      <c r="C23" s="199" t="n"/>
      <c r="D23" s="199" t="n"/>
      <c r="E23" s="199" t="n"/>
      <c r="F23" s="199" t="n"/>
      <c r="G23" s="199" t="n"/>
      <c r="H23" s="199" t="n"/>
      <c r="I23" s="199" t="n"/>
      <c r="J23" s="199" t="n"/>
    </row>
    <row r="24" ht="15" customHeight="1" s="461">
      <c r="A24" s="199" t="n"/>
      <c r="B24" s="199" t="n"/>
      <c r="C24" s="199" t="n"/>
      <c r="D24" s="199" t="n"/>
      <c r="E24" s="199" t="n"/>
      <c r="F24" s="199" t="n"/>
      <c r="G24" s="199" t="n"/>
      <c r="H24" s="199" t="n"/>
      <c r="I24" s="199" t="n"/>
      <c r="J24" s="199" t="n"/>
    </row>
    <row r="25" ht="15" customHeight="1" s="461">
      <c r="A25" s="199" t="n"/>
      <c r="B25" s="199" t="n"/>
      <c r="C25" s="199" t="n"/>
      <c r="D25" s="199" t="n"/>
      <c r="E25" s="199" t="n"/>
      <c r="F25" s="199" t="n"/>
      <c r="G25" s="199" t="n"/>
      <c r="H25" s="199" t="n"/>
      <c r="I25" s="199" t="n"/>
      <c r="J25" s="199" t="n"/>
    </row>
    <row r="26" ht="15" customHeight="1" s="461">
      <c r="A26" s="199" t="n"/>
      <c r="B26" s="199" t="n"/>
      <c r="C26" s="199" t="n"/>
      <c r="D26" s="199" t="n"/>
      <c r="E26" s="199" t="n"/>
      <c r="F26" s="199" t="n"/>
      <c r="G26" s="199" t="n"/>
      <c r="H26" s="199" t="n"/>
      <c r="I26" s="199" t="n"/>
      <c r="J26" s="199" t="n"/>
    </row>
    <row r="27" ht="15" customHeight="1" s="461">
      <c r="A27" s="199" t="n"/>
      <c r="B27" s="199" t="n"/>
      <c r="C27" s="199" t="n"/>
      <c r="D27" s="199" t="n"/>
      <c r="E27" s="199" t="n"/>
      <c r="F27" s="199" t="n"/>
      <c r="G27" s="199" t="n"/>
      <c r="H27" s="199" t="n"/>
      <c r="I27" s="199" t="n"/>
      <c r="J27" s="199" t="n"/>
    </row>
    <row r="28" ht="22.5" customHeight="1" s="461">
      <c r="A28" s="199" t="n"/>
      <c r="B28" s="199" t="n"/>
      <c r="C28" s="199" t="n"/>
      <c r="D28" s="199" t="n"/>
      <c r="E28" s="199" t="n"/>
      <c r="F28" s="199" t="n"/>
      <c r="G28" s="199" t="n"/>
      <c r="H28" s="199" t="n"/>
      <c r="I28" s="199" t="n"/>
      <c r="J28" s="199" t="n"/>
    </row>
    <row r="29">
      <c r="A29" s="199" t="n"/>
      <c r="B29" s="199" t="n"/>
      <c r="C29" s="199" t="n"/>
      <c r="D29" s="199" t="n"/>
      <c r="E29" s="199" t="n"/>
      <c r="F29" s="199" t="n"/>
      <c r="G29" s="199" t="n"/>
      <c r="H29" s="199" t="n"/>
      <c r="I29" s="199" t="n"/>
      <c r="J29" s="199" t="n"/>
    </row>
    <row r="30">
      <c r="A30" s="199" t="n"/>
      <c r="B30" s="199" t="n"/>
      <c r="C30" s="199" t="n"/>
      <c r="D30" s="199" t="n"/>
      <c r="E30" s="199" t="n"/>
      <c r="F30" s="199" t="n"/>
      <c r="G30" s="199" t="n"/>
      <c r="H30" s="199" t="n"/>
      <c r="I30" s="199" t="n"/>
      <c r="J30" s="199" t="n"/>
    </row>
  </sheetData>
  <mergeCells count="2">
    <mergeCell ref="A1:F1"/>
    <mergeCell ref="A8:D8"/>
  </mergeCells>
  <dataValidations count="3">
    <dataValidation sqref="B25" showDropDown="0" showInputMessage="0" showErrorMessage="1" allowBlank="1" type="list">
      <formula1>"Все менеджеры,Иванов Дмитрий (РОП),Петров Александр (КАМ),Сидоров Роман (SDR)"</formula1>
    </dataValidation>
    <dataValidation sqref="D25" showDropDown="0" showInputMessage="0" showErrorMessage="1" allowBlank="1" type="list">
      <formula1>"Все сегменты,SEG1,SEG2"</formula1>
    </dataValidation>
    <dataValidation sqref="F25" showDropDown="0" showInputMessage="0" showErrorMessage="1" allowBlank="1" type="list">
      <formula1>"Все каналы,Яндекс Директ,Контур.Фокус,Google Ads,Партнеры,Органика SEO"</formula1>
    </dataValidation>
  </dataValidations>
  <hyperlinks>
    <hyperlink ref="A10" location="'🎯 Воронка_и_SLA'!A1" display="1. Новый лид"/>
    <hyperlink ref="A11" location="'🎯 Воронка_и_SLA'!A1" display="2. Квалификация / ЛПР"/>
    <hyperlink ref="A12" location="'🎯 Воронка_и_SLA'!A1" display="3. Встреча / Демо"/>
    <hyperlink ref="A13" location="'🎯 Воронка_и_SLA'!A1" display="4. КП и согласование"/>
    <hyperlink ref="A14" location="'🎯 Воронка_и_SLA'!A1" display="5. Счет выставлен"/>
    <hyperlink ref="A15" location="'🎯 Воронка_и_SLA'!A1" display="6. Успешно реализовано"/>
  </hyperlinks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tabColor rgb="FFF2841E"/>
    <outlinePr summaryBelow="0" summaryRight="0"/>
    <pageSetUpPr/>
  </sheetPr>
  <dimension ref="A1:I25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69.88" customWidth="1" style="461" min="1" max="1"/>
    <col width="13.25" customWidth="1" style="461" min="2" max="2"/>
    <col width="18.75" customWidth="1" style="461" min="3" max="3"/>
    <col width="16.5" customWidth="1" style="461" min="4" max="4"/>
    <col width="15.38" customWidth="1" style="461" min="5" max="5"/>
    <col width="15.25" customWidth="1" style="461" min="6" max="6"/>
    <col width="20.13" customWidth="1" style="461" min="7" max="7"/>
    <col width="12.63" customWidth="1" style="461" min="8" max="8"/>
  </cols>
  <sheetData>
    <row r="1" ht="36" customHeight="1" s="461">
      <c r="A1" s="388" t="inlineStr">
        <is>
          <t>🎯 ДИНАМИКА ВОРОНКИ, КОНВЕРСИИ И СОБЛЮДЕНИЕ РЕГЛАМЕНТОВ SLA</t>
        </is>
      </c>
    </row>
    <row r="2" ht="24" customHeight="1" s="461">
      <c r="A2" s="496">
        <f>HYPERLINK("#'📄 Executive_OnePager'!A1", "📄 1. One-Pager")</f>
        <v/>
      </c>
      <c r="B2" s="496">
        <f>HYPERLINK("#'⚡ Пульс_Компании'!A1", "⚡ 2. Пульс компании")</f>
        <v/>
      </c>
      <c r="C2" s="496">
        <f>HYPERLINK("#'📋 Пульт_РОПа_15_Минут'!A1", "📋 3. Пульт РОПа")</f>
        <v/>
      </c>
      <c r="D2" s="496">
        <f>HYPERLINK("#'💸 Диагностика_Утечек_ОП'!A1", "💸 4. 7 Грехов ОП")</f>
        <v/>
      </c>
      <c r="E2" s="496">
        <f>HYPERLINK("#'🎯 Action_Center'!A1", "🎯 5. Action Center")</f>
        <v/>
      </c>
      <c r="F2" s="496">
        <f>HYPERLINK("#'🎙️ ИИ_Аудит'!A1", "🎙️ 6. ИИ-Аудит")</f>
        <v/>
      </c>
      <c r="G2" s="496">
        <f>HYPERLINK("#'⚡ Экспресс_Калькулятор_3_Цифры'!A1", "⚡ 7. Экспресс 3 цифры")</f>
        <v/>
      </c>
      <c r="H2" s="496">
        <f>HYPERLINK("#'🧪 QA_Suite'!A1", "🧪 8. QA Suite")</f>
        <v/>
      </c>
      <c r="I2" s="496">
        <f>HYPERLINK("#'⚙️ Настройки'!A1", "⚙️ 9. Настройки")</f>
        <v/>
      </c>
    </row>
    <row r="3" ht="25.5" customHeight="1" s="461">
      <c r="A3" s="395" t="inlineStr">
        <is>
          <t>Этап воронки</t>
        </is>
      </c>
      <c r="B3" s="395" t="inlineStr">
        <is>
          <t>Сквозной поток</t>
        </is>
      </c>
      <c r="C3" s="395" t="inlineStr">
        <is>
          <t>Сквозной CR %</t>
        </is>
      </c>
      <c r="D3" s="395" t="inlineStr">
        <is>
          <t>Норматив SLA</t>
        </is>
      </c>
      <c r="E3" s="395" t="inlineStr">
        <is>
          <t>Факт SLA</t>
        </is>
      </c>
      <c r="F3" s="395" t="inlineStr">
        <is>
          <t>Статус SLA</t>
        </is>
      </c>
    </row>
    <row r="4" ht="22.5" customHeight="1" s="461">
      <c r="A4" s="218">
        <f>'⚙️ Настройки'!$B$12</f>
        <v/>
      </c>
      <c r="B4" s="197">
        <f>calc_engine!E2</f>
        <v/>
      </c>
      <c r="C4" s="439">
        <f>calc_engine!G2</f>
        <v/>
      </c>
      <c r="D4" s="218">
        <f>'⚙️ Настройки'!$C$12 &amp; " ч"</f>
        <v/>
      </c>
      <c r="E4" s="218">
        <f>TEXT(MAX(0, IFERROR(AVERAGEIFS(raw_deals!$Q$2:$Q50000, raw_deals!$D$2:$D50000, 1) * 24, 0)), "0.0") &amp; " ч"</f>
        <v/>
      </c>
      <c r="F4" s="335">
        <f>IF(IFERROR(AVERAGEIFS(raw_deals!$Q$2:$Q50000, raw_deals!$D$2:$D50000, 1)*24, 0)&gt;'⚙️ Настройки'!$C$12, "⚠️ ПРОСРОЧЕН", "🟢 В НОРМЕ")</f>
        <v/>
      </c>
    </row>
    <row r="5" ht="22.5" customHeight="1" s="461">
      <c r="A5" s="218">
        <f>'⚙️ Настройки'!$B$13</f>
        <v/>
      </c>
      <c r="B5" s="197">
        <f>calc_engine!E3</f>
        <v/>
      </c>
      <c r="C5" s="439">
        <f>calc_engine!G3</f>
        <v/>
      </c>
      <c r="D5" s="218">
        <f>'⚙️ Настройки'!$C$13 &amp; " ч"</f>
        <v/>
      </c>
      <c r="E5" s="218">
        <f>TEXT(MAX(0, IFERROR(AVERAGEIFS(raw_deals!$Q$2:$Q50000, raw_deals!$D$2:$D50000, 2) * 24, 0)), "0.0") &amp; " ч"</f>
        <v/>
      </c>
      <c r="F5" s="335">
        <f>IF(IFERROR(AVERAGEIFS(raw_deals!$Q$2:$Q50000, raw_deals!$D$2:$D50000, 2)*24, 0)&gt;'⚙️ Настройки'!$C$13, "⚠️ ПРОСРОЧЕН", "🟢 В НОРМЕ")</f>
        <v/>
      </c>
    </row>
    <row r="6" ht="22.5" customHeight="1" s="461">
      <c r="A6" s="218">
        <f>'⚙️ Настройки'!$B$14</f>
        <v/>
      </c>
      <c r="B6" s="197">
        <f>calc_engine!E4</f>
        <v/>
      </c>
      <c r="C6" s="439">
        <f>calc_engine!G4</f>
        <v/>
      </c>
      <c r="D6" s="218">
        <f>'⚙️ Настройки'!$C$14 &amp; " ч"</f>
        <v/>
      </c>
      <c r="E6" s="218">
        <f>TEXT(MAX(0, IFERROR(AVERAGEIFS(raw_deals!$Q$2:$Q50000, raw_deals!$D$2:$D50000, 3) * 24, 0)), "0.0") &amp; " ч"</f>
        <v/>
      </c>
      <c r="F6" s="335">
        <f>IF(IFERROR(AVERAGEIFS(raw_deals!$Q$2:$Q50000, raw_deals!$D$2:$D50000, 3)*24, 0)&gt;'⚙️ Настройки'!$C$14, "⚠️ ПРОСРОЧЕН", "🟢 В НОРМЕ")</f>
        <v/>
      </c>
    </row>
    <row r="7" ht="22.5" customHeight="1" s="461">
      <c r="A7" s="218">
        <f>'⚙️ Настройки'!$B$15</f>
        <v/>
      </c>
      <c r="B7" s="197">
        <f>calc_engine!E5</f>
        <v/>
      </c>
      <c r="C7" s="439">
        <f>calc_engine!G5</f>
        <v/>
      </c>
      <c r="D7" s="218">
        <f>'⚙️ Настройки'!$C$15 &amp; " ч"</f>
        <v/>
      </c>
      <c r="E7" s="218">
        <f>TEXT(MAX(0, IFERROR(AVERAGEIFS(raw_deals!$Q$2:$Q50000, raw_deals!$D$2:$D50000, 4) * 24, 0)), "0.0") &amp; " ч"</f>
        <v/>
      </c>
      <c r="F7" s="335">
        <f>IF(IFERROR(AVERAGEIFS(raw_deals!$Q$2:$Q50000, raw_deals!$D$2:$D50000, 4)*24, 0)&gt;'⚙️ Настройки'!$C$15, "⚠️ ПРОСРОЧЕН", "🟢 В НОРМЕ")</f>
        <v/>
      </c>
    </row>
    <row r="8" ht="22.5" customHeight="1" s="461">
      <c r="A8" s="218">
        <f>'⚙️ Настройки'!$B$16</f>
        <v/>
      </c>
      <c r="B8" s="197">
        <f>calc_engine!E6</f>
        <v/>
      </c>
      <c r="C8" s="439">
        <f>calc_engine!G6</f>
        <v/>
      </c>
      <c r="D8" s="218">
        <f>'⚙️ Настройки'!$C$16 &amp; " ч"</f>
        <v/>
      </c>
      <c r="E8" s="218">
        <f>TEXT(MAX(0, IFERROR(AVERAGEIFS(raw_deals!$Q$2:$Q50000, raw_deals!$D$2:$D50000, 5) * 24, 0)), "0.0") &amp; " ч"</f>
        <v/>
      </c>
      <c r="F8" s="335">
        <f>IF(IFERROR(AVERAGEIFS(raw_deals!$Q$2:$Q50000, raw_deals!$D$2:$D50000, 5)*24, 0)&gt;'⚙️ Настройки'!$C$16, "⚠️ ПРОСРОЧЕН", "🟢 В НОРМЕ")</f>
        <v/>
      </c>
    </row>
    <row r="9" ht="22.5" customHeight="1" s="461">
      <c r="A9" s="218">
        <f>'⚙️ Настройки'!$B$17</f>
        <v/>
      </c>
      <c r="B9" s="197">
        <f>calc_engine!E7</f>
        <v/>
      </c>
      <c r="C9" s="439">
        <f>calc_engine!G7</f>
        <v/>
      </c>
      <c r="D9" s="218" t="inlineStr">
        <is>
          <t>—</t>
        </is>
      </c>
      <c r="E9" s="218" t="inlineStr">
        <is>
          <t>—</t>
        </is>
      </c>
      <c r="F9" s="335" t="inlineStr">
        <is>
          <t>🟢 ФИНИШ</t>
        </is>
      </c>
    </row>
    <row r="10" ht="22.5" customHeight="1" s="461">
      <c r="A10" s="218">
        <f>'⚙️ Настройки'!$B$18</f>
        <v/>
      </c>
      <c r="B10" s="197">
        <f>calc_engine!E8</f>
        <v/>
      </c>
      <c r="C10" s="439">
        <f>calc_engine!G8</f>
        <v/>
      </c>
      <c r="D10" s="218" t="inlineStr">
        <is>
          <t>—</t>
        </is>
      </c>
      <c r="E10" s="218" t="inlineStr">
        <is>
          <t>—</t>
        </is>
      </c>
      <c r="F10" s="335" t="inlineStr">
        <is>
          <t>🟢 ФИНИШ</t>
        </is>
      </c>
    </row>
    <row r="11" ht="12" customHeight="1" s="461"/>
    <row r="12" ht="25.5" customHeight="1" s="461">
      <c r="A12" s="218" t="n"/>
      <c r="B12" s="218" t="n"/>
      <c r="C12" s="218" t="n"/>
      <c r="D12" s="218" t="n"/>
      <c r="E12" s="218" t="n"/>
      <c r="F12" s="218" t="n"/>
    </row>
    <row r="13" ht="19.5" customHeight="1" s="461">
      <c r="D13" s="346" t="n"/>
      <c r="E13" s="439" t="n"/>
    </row>
    <row r="14" ht="19.5" customHeight="1" s="461">
      <c r="D14" s="346" t="n"/>
      <c r="E14" s="439" t="n"/>
    </row>
    <row r="15" ht="19.5" customHeight="1" s="461">
      <c r="D15" s="346" t="n"/>
      <c r="E15" s="439" t="n"/>
    </row>
    <row r="16" ht="12" customHeight="1" s="461"/>
    <row r="17" ht="21" customHeight="1" s="461">
      <c r="A17" s="218" t="n"/>
      <c r="B17" s="218" t="n"/>
      <c r="C17" s="218" t="n"/>
      <c r="D17" s="218" t="n"/>
      <c r="E17" s="218" t="n"/>
    </row>
    <row r="18" ht="19.5" customHeight="1" s="461">
      <c r="C18" s="346" t="n"/>
      <c r="D18" s="439" t="n"/>
      <c r="E18" s="346" t="n"/>
    </row>
    <row r="19" ht="19.5" customHeight="1" s="461">
      <c r="C19" s="346" t="n"/>
      <c r="D19" s="439" t="n"/>
      <c r="E19" s="346" t="n"/>
    </row>
    <row r="20" ht="19.5" customHeight="1" s="461">
      <c r="C20" s="346" t="n"/>
      <c r="D20" s="439" t="n"/>
      <c r="E20" s="346" t="n"/>
    </row>
    <row r="21" ht="19.5" customHeight="1" s="461">
      <c r="C21" s="346" t="n"/>
      <c r="D21" s="439" t="n"/>
      <c r="E21" s="346" t="n"/>
    </row>
    <row r="22"/>
    <row r="23" ht="21" customHeight="1" s="461">
      <c r="A23" s="218" t="n"/>
      <c r="B23" s="218" t="n"/>
      <c r="C23" s="218" t="n"/>
      <c r="D23" s="218" t="n"/>
      <c r="E23" s="218" t="n"/>
      <c r="F23" s="218" t="n"/>
    </row>
    <row r="24" ht="22.5" customHeight="1" s="461">
      <c r="A24" s="218" t="n"/>
      <c r="B24" s="218" t="n"/>
      <c r="C24" s="218" t="n"/>
      <c r="D24" s="218" t="n"/>
      <c r="E24" s="218" t="n"/>
      <c r="F24" s="218" t="n"/>
    </row>
    <row r="25" ht="18" customHeight="1" s="461">
      <c r="A25" s="218" t="n"/>
      <c r="B25" s="218" t="n"/>
      <c r="C25" s="218" t="n"/>
      <c r="D25" s="218" t="n"/>
      <c r="E25" s="218" t="n"/>
      <c r="F25" s="218" t="n"/>
    </row>
  </sheetData>
  <mergeCells count="1">
    <mergeCell ref="A1:F1"/>
  </mergeCells>
  <dataValidations count="3">
    <dataValidation sqref="B24" showDropDown="0" showInputMessage="0" showErrorMessage="1" allowBlank="1" type="list">
      <formula1>"Все сотрудники,Иванов Дмитрий (РОП),Петров Александр (КАМ),Сидоров Роман (SDR)"</formula1>
    </dataValidation>
    <dataValidation sqref="F24" showDropDown="0" showInputMessage="0" showErrorMessage="1" allowBlank="1" type="list">
      <formula1>"Все сегменты,SEG1,SEG2"</formula1>
    </dataValidation>
    <dataValidation sqref="D24" showDropDown="0" showInputMessage="0" showErrorMessage="1" allowBlank="1" type="list">
      <formula1>"Все каналы,Яндекс Директ,Контур.Фокус,Google Ads,Партнеры,Органика SEO"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tabColor rgb="FF14A56B"/>
    <outlinePr summaryBelow="0" summaryRight="0"/>
    <pageSetUpPr/>
  </sheetPr>
  <dimension ref="A1:I14"/>
  <sheetViews>
    <sheetView workbookViewId="0">
      <selection activeCell="A1" sqref="A1"/>
    </sheetView>
  </sheetViews>
  <sheetFormatPr baseColWidth="8" defaultColWidth="12.63" defaultRowHeight="15.75" customHeight="1"/>
  <cols>
    <col width="55.25" customWidth="1" style="461" min="1" max="1"/>
    <col width="14.5" customWidth="1" style="461" min="2" max="3"/>
    <col width="19.75" customWidth="1" style="461" min="4" max="4"/>
    <col width="12.38" customWidth="1" style="461" min="5" max="5"/>
    <col width="16.13" customWidth="1" style="461" min="6" max="6"/>
    <col width="18.88" customWidth="1" style="461" min="7" max="7"/>
  </cols>
  <sheetData>
    <row r="1" ht="36" customHeight="1" s="461">
      <c r="A1" s="409" t="inlineStr">
        <is>
          <t>📊 ЮНИТ-ЭКОНОМИКА, КОГОРТНЫЙ NRR И LTV/CAC (V17.6)</t>
        </is>
      </c>
    </row>
    <row r="2" ht="24" customHeight="1" s="461">
      <c r="A2" s="496">
        <f>HYPERLINK("#'📄 Executive_OnePager'!A1", "📄 1. One-Pager")</f>
        <v/>
      </c>
      <c r="B2" s="496">
        <f>HYPERLINK("#'⚡ Пульс_Компании'!A1", "⚡ 2. Пульс компании")</f>
        <v/>
      </c>
      <c r="C2" s="496">
        <f>HYPERLINK("#'📋 Пульт_РОПа_15_Минут'!A1", "📋 3. Пульт РОПа")</f>
        <v/>
      </c>
      <c r="D2" s="496">
        <f>HYPERLINK("#'💸 Диагностика_Утечек_ОП'!A1", "💸 4. 7 Грехов ОП")</f>
        <v/>
      </c>
      <c r="E2" s="496">
        <f>HYPERLINK("#'🎯 Action_Center'!A1", "🎯 5. Action Center")</f>
        <v/>
      </c>
      <c r="F2" s="496">
        <f>HYPERLINK("#'🎙️ ИИ_Аудит'!A1", "🎙️ 6. ИИ-Аудит")</f>
        <v/>
      </c>
      <c r="G2" s="496">
        <f>HYPERLINK("#'⚡ Экспресс_Калькулятор_3_Цифры'!A1", "⚡ 7. Экспресс 3 цифры")</f>
        <v/>
      </c>
      <c r="H2" s="496">
        <f>HYPERLINK("#'🧪 QA_Suite'!A1", "🧪 8. QA Suite")</f>
        <v/>
      </c>
      <c r="I2" s="496">
        <f>HYPERLINK("#'⚙️ Настройки'!A1", "⚙️ 9. Настройки")</f>
        <v/>
      </c>
    </row>
    <row r="3" ht="25.5" customHeight="1" s="461">
      <c r="A3" s="395" t="inlineStr">
        <is>
          <t>Показатель юнит-экономики</t>
        </is>
      </c>
      <c r="B3" s="395" t="inlineStr">
        <is>
          <t>Значение</t>
        </is>
      </c>
      <c r="C3" s="395" t="inlineStr">
        <is>
          <t>Формат</t>
        </is>
      </c>
      <c r="D3" s="395" t="inlineStr">
        <is>
          <t>Статус бенчмарка</t>
        </is>
      </c>
    </row>
    <row r="4" ht="24" customHeight="1" s="461">
      <c r="A4" s="335" t="inlineStr">
        <is>
          <t>Маркетинговый бюджет</t>
        </is>
      </c>
      <c r="B4" s="410">
        <f>calc_engine!B62</f>
        <v/>
      </c>
      <c r="C4" s="218" t="n"/>
      <c r="D4" s="218" t="inlineStr">
        <is>
          <t>Факт за период</t>
        </is>
      </c>
    </row>
    <row r="5" ht="24" customHeight="1" s="461">
      <c r="A5" s="335" t="inlineStr">
        <is>
          <t>Стоимость лида (CPL)</t>
        </is>
      </c>
      <c r="B5" s="410">
        <f>calc_engine!B36</f>
        <v/>
      </c>
      <c r="C5" s="218" t="n"/>
      <c r="D5" s="218" t="inlineStr">
        <is>
          <t>В норме</t>
        </is>
      </c>
    </row>
    <row r="6" ht="24" customHeight="1" s="461">
      <c r="A6" s="335" t="inlineStr">
        <is>
          <t>Стоимость привлечения (CAC)</t>
        </is>
      </c>
      <c r="B6" s="410">
        <f>calc_engine!B37</f>
        <v/>
      </c>
      <c r="C6" s="218" t="n"/>
      <c r="D6" s="218" t="inlineStr">
        <is>
          <t>Отличный</t>
        </is>
      </c>
    </row>
    <row r="7" ht="24" customHeight="1" s="461">
      <c r="A7" s="335" t="inlineStr">
        <is>
          <t>Средний чек первого контракта (M0)</t>
        </is>
      </c>
      <c r="B7" s="410">
        <f>calc_engine!B21</f>
        <v/>
      </c>
      <c r="C7" s="218" t="n"/>
      <c r="D7" s="218" t="inlineStr">
        <is>
          <t>Факт Closed-Won</t>
        </is>
      </c>
    </row>
    <row r="8" ht="24" customHeight="1" s="461">
      <c r="A8" s="335" t="inlineStr">
        <is>
          <t>Фактический LTV клиента</t>
        </is>
      </c>
      <c r="B8" s="410">
        <f>calc_engine!B38</f>
        <v/>
      </c>
      <c r="C8" s="218" t="n"/>
      <c r="D8" s="218" t="inlineStr">
        <is>
          <t>Факт платежей (M0–M2)</t>
        </is>
      </c>
    </row>
    <row r="9" ht="24" customHeight="1" s="461">
      <c r="A9" s="335" t="inlineStr">
        <is>
          <t>Соотношение LTV / CAC</t>
        </is>
      </c>
      <c r="B9" s="413">
        <f>IFERROR(calc_engine!B38/MAX(calc_engine!B37,1),0)</f>
        <v/>
      </c>
      <c r="C9" s="218" t="n"/>
      <c r="D9" s="218" t="inlineStr">
        <is>
          <t>Норма &gt; 3.0x</t>
        </is>
      </c>
    </row>
    <row r="10" ht="24" customHeight="1" s="461">
      <c r="A10" s="335" t="inlineStr">
        <is>
          <t>Срок окупаемости (Payback)</t>
        </is>
      </c>
      <c r="B10" s="415">
        <f>IFERROR(calc_engine!B37/MAX(calc_engine!B21,1),0)</f>
        <v/>
      </c>
      <c r="C10" s="218" t="n"/>
      <c r="D10" s="218" t="inlineStr">
        <is>
          <t>Норма &lt; 12 мес</t>
        </is>
      </c>
    </row>
    <row r="11" ht="12" customHeight="1" s="461"/>
    <row r="12" ht="25.5" customHeight="1" s="461">
      <c r="A12" s="331" t="inlineStr">
        <is>
          <t>🔄 КОГОРТНОЕ УДЕРЖАНИЕ ВЫРУЧКИ (NET REVENUE RETENTION)</t>
        </is>
      </c>
    </row>
    <row r="13">
      <c r="A13" s="416" t="inlineStr">
        <is>
          <t>Когорта</t>
        </is>
      </c>
      <c r="B13" s="416" t="inlineStr">
        <is>
          <t>Клиентов</t>
        </is>
      </c>
      <c r="C13" s="416" t="inlineStr">
        <is>
          <t>M0 (Старт)</t>
        </is>
      </c>
      <c r="D13" s="416" t="inlineStr">
        <is>
          <t>M1 (Retainer)</t>
        </is>
      </c>
      <c r="E13" s="416" t="inlineStr">
        <is>
          <t>M2 (Expansion)</t>
        </is>
      </c>
      <c r="F13" s="416" t="inlineStr">
        <is>
          <t>Кумулятивный NRR</t>
        </is>
      </c>
    </row>
    <row r="14">
      <c r="A14" s="218">
        <f>calc_engine!A93</f>
        <v/>
      </c>
      <c r="B14" s="197">
        <f>calc_engine!B93</f>
        <v/>
      </c>
      <c r="C14" s="346">
        <f>calc_engine!C93</f>
        <v/>
      </c>
      <c r="D14" s="346">
        <f>calc_engine!D93</f>
        <v/>
      </c>
      <c r="E14" s="346">
        <f>calc_engine!E93</f>
        <v/>
      </c>
      <c r="F14" s="417">
        <f>calc_engine!G93</f>
        <v/>
      </c>
    </row>
  </sheetData>
  <mergeCells count="2">
    <mergeCell ref="A1:E1"/>
    <mergeCell ref="A12:F12"/>
  </mergeCells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tabColor rgb="FFE03838"/>
    <outlinePr summaryBelow="0" summaryRight="0"/>
    <pageSetUpPr/>
  </sheetPr>
  <dimension ref="A1:I9"/>
  <sheetViews>
    <sheetView workbookViewId="0">
      <selection activeCell="A1" sqref="A1"/>
    </sheetView>
  </sheetViews>
  <sheetFormatPr baseColWidth="8" defaultColWidth="12.63" defaultRowHeight="15.75" customHeight="1"/>
  <cols>
    <col width="69" customWidth="1" style="461" min="1" max="1"/>
    <col width="26.5" customWidth="1" style="461" min="2" max="2"/>
    <col width="14.13" customWidth="1" style="461" min="3" max="3"/>
    <col width="24.5" customWidth="1" style="461" min="4" max="4"/>
    <col width="24.38" customWidth="1" style="461" min="5" max="5"/>
    <col width="20.13" customWidth="1" style="461" min="6" max="6"/>
    <col width="45.13" customWidth="1" style="461" min="7" max="7"/>
  </cols>
  <sheetData>
    <row r="1" ht="36" customHeight="1" s="461">
      <c r="A1" s="420" t="inlineStr">
        <is>
          <t>🚨 СИСТЕМА ОПЕРАТИВНОГО РАДАРА РИСКОВ И ДЕТЕКЦИИ БОТТЛНЕКОВ</t>
        </is>
      </c>
    </row>
    <row r="2" ht="24" customHeight="1" s="461">
      <c r="A2" s="496">
        <f>HYPERLINK("#'📄 Executive_OnePager'!A1", "📄 1. One-Pager")</f>
        <v/>
      </c>
      <c r="B2" s="496">
        <f>HYPERLINK("#'⚡ Пульс_Компании'!A1", "⚡ 2. Пульс компании")</f>
        <v/>
      </c>
      <c r="C2" s="496">
        <f>HYPERLINK("#'📋 Пульт_РОПа_15_Минут'!A1", "📋 3. Пульт РОПа")</f>
        <v/>
      </c>
      <c r="D2" s="496">
        <f>HYPERLINK("#'💸 Диагностика_Утечек_ОП'!A1", "💸 4. 7 Грехов ОП")</f>
        <v/>
      </c>
      <c r="E2" s="496">
        <f>HYPERLINK("#'🎯 Action_Center'!A1", "🎯 5. Action Center")</f>
        <v/>
      </c>
      <c r="F2" s="496">
        <f>HYPERLINK("#'🎙️ ИИ_Аудит'!A1", "🎙️ 6. ИИ-Аудит")</f>
        <v/>
      </c>
      <c r="G2" s="496">
        <f>HYPERLINK("#'⚡ Экспресс_Калькулятор_3_Цифры'!A1", "⚡ 7. Экспресс 3 цифры")</f>
        <v/>
      </c>
      <c r="H2" s="496">
        <f>HYPERLINK("#'🧪 QA_Suite'!A1", "🧪 8. QA Suite")</f>
        <v/>
      </c>
      <c r="I2" s="496">
        <f>HYPERLINK("#'⚙️ Настройки'!A1", "⚙️ 9. Настройки")</f>
        <v/>
      </c>
    </row>
    <row r="3" ht="25.5" customHeight="1" s="461">
      <c r="A3" s="421" t="inlineStr">
        <is>
          <t>Код риска</t>
        </is>
      </c>
      <c r="B3" s="421" t="inlineStr">
        <is>
          <t>Контур мониторинга</t>
        </is>
      </c>
      <c r="C3" s="422" t="inlineStr">
        <is>
          <t>Текущий статус</t>
        </is>
      </c>
      <c r="D3" s="422" t="inlineStr">
        <is>
          <t>Порог триггера</t>
        </is>
      </c>
      <c r="E3" s="422" t="inlineStr">
        <is>
          <t>Автоматическое действие</t>
        </is>
      </c>
      <c r="F3" s="123" t="n"/>
      <c r="G3" s="123" t="n"/>
    </row>
    <row r="4" ht="28.5" customHeight="1" s="461">
      <c r="A4" s="335" t="inlineStr">
        <is>
          <t>P0-01</t>
        </is>
      </c>
      <c r="B4" s="218" t="inlineStr">
        <is>
          <t>Перегруз РОПа сделками</t>
        </is>
      </c>
      <c r="C4" s="423">
        <f>IF(calc_engine!B35&gt;0.7, "🔴 ПЕРЕГРУЗ", "🟢 В НОРМЕ")</f>
        <v/>
      </c>
      <c r="D4" s="123" t="inlineStr">
        <is>
          <t>Доля базы РОПа &gt; 70%</t>
        </is>
      </c>
      <c r="E4" s="123">
        <f>IF(AND(calc_engine!B35&gt;0.7, calc_engine!B17&gt;2000000), "📩 РОП: немедленный перелив сделок на КАМ", IF(calc_engine!B35&gt;0.7, "📩 РОП: аудит емкости", "🟢 Контроль в норме"))</f>
        <v/>
      </c>
      <c r="F4" s="123" t="n"/>
      <c r="G4" s="123" t="n"/>
    </row>
    <row r="5" ht="28.5" customHeight="1" s="461">
      <c r="A5" s="335" t="inlineStr">
        <is>
          <t>P1-01</t>
        </is>
      </c>
      <c r="B5" s="218" t="inlineStr">
        <is>
          <t>Отставание темпа выручки</t>
        </is>
      </c>
      <c r="C5" s="423">
        <f>IF(calc_engine!B20&lt;0.85, "⚠️ ОТСТАВАНИЕ", "🟢 В ГРАФИКЕ")</f>
        <v/>
      </c>
      <c r="D5" s="123" t="inlineStr">
        <is>
          <t>Выполнение плана &lt; 85%</t>
        </is>
      </c>
      <c r="E5" s="123" t="inlineStr">
        <is>
          <t>Уведомление CEO в Telegram</t>
        </is>
      </c>
      <c r="F5" s="123" t="n"/>
      <c r="G5" s="123" t="n"/>
    </row>
    <row r="6" ht="28.5" customHeight="1" s="461">
      <c r="A6" s="335" t="inlineStr">
        <is>
          <t>P1-02</t>
        </is>
      </c>
      <c r="B6" s="218" t="inlineStr">
        <is>
          <t>Зависание на этапе КП</t>
        </is>
      </c>
      <c r="C6" s="423">
        <f>IF(COUNTIFS(raw_deals!$D$2:$D50000, 4, raw_deals!$Q$2:$Q50000, "&gt;2")&gt;0, "⚠️ ЗАВИСАНИЕ", "🟢 В НОРМЕ")</f>
        <v/>
      </c>
      <c r="D6" s="123" t="inlineStr">
        <is>
          <t>Время в КП &gt; 48 часов</t>
        </is>
      </c>
      <c r="E6" s="123" t="inlineStr">
        <is>
          <t>Эскалация РОПу на аудит</t>
        </is>
      </c>
      <c r="F6" s="123" t="n"/>
      <c r="G6" s="123" t="n"/>
    </row>
    <row r="7" ht="28.5" customHeight="1" s="461">
      <c r="A7" s="335" t="inlineStr">
        <is>
          <t>P1-03</t>
        </is>
      </c>
      <c r="B7" s="218" t="inlineStr">
        <is>
          <t>Брак в звонках менеджеров</t>
        </is>
      </c>
      <c r="C7" s="423">
        <f>IF(calc_engine!B32&lt;9, "🔴 БРАК СВЯЗИ", "🟢 КАЧЕСТВЕННО")</f>
        <v/>
      </c>
      <c r="D7" s="123" t="inlineStr">
        <is>
          <t>Ср. балл речи &lt; 9 / 13</t>
        </is>
      </c>
      <c r="E7" s="123" t="inlineStr">
        <is>
          <t>Постановка задачи на тренинг</t>
        </is>
      </c>
      <c r="F7" s="123" t="n"/>
      <c r="G7" s="123" t="n"/>
    </row>
    <row r="8" ht="28.5" customHeight="1" s="461">
      <c r="A8" s="335" t="inlineStr">
        <is>
          <t>P2-01</t>
        </is>
      </c>
      <c r="B8" s="218" t="inlineStr">
        <is>
          <t>Сверх-отдача рекламного канала</t>
        </is>
      </c>
      <c r="C8" s="423">
        <f>IF(MAX(calc_engine!F85:F87)&gt;10, "🚀 СВЕРХ-ОТДАЧА", "🟢 СТАБИЛЬНО")</f>
        <v/>
      </c>
      <c r="D8" s="123" t="inlineStr">
        <is>
          <t>ROMI кампании &gt; 1000%</t>
        </is>
      </c>
      <c r="E8" s="123" t="inlineStr">
        <is>
          <t>Рекомендация долить +50% бюджета</t>
        </is>
      </c>
      <c r="F8" s="123" t="n"/>
      <c r="G8" s="123" t="n"/>
    </row>
    <row r="9">
      <c r="A9" s="335" t="inlineStr">
        <is>
          <t>P2-02</t>
        </is>
      </c>
      <c r="B9" s="218" t="inlineStr">
        <is>
          <t>Срыв общего регламента SLA</t>
        </is>
      </c>
      <c r="C9" s="324">
        <f>IF(calc_engine!B31&lt;0.9, "⚠️ СРЫВ SLA", "🟢 В НОРМЕ")</f>
        <v/>
      </c>
      <c r="D9" s="218" t="inlineStr">
        <is>
          <t>Индекс соблюдения SLA &lt; 90%</t>
        </is>
      </c>
      <c r="E9" s="218" t="inlineStr">
        <is>
          <t>Внеочередной разбор спринта</t>
        </is>
      </c>
    </row>
  </sheetData>
  <mergeCells count="1">
    <mergeCell ref="A1:E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tabColor rgb="FF2D72D8"/>
    <outlinePr summaryBelow="0" summaryRight="0"/>
    <pageSetUpPr fitToPage="1"/>
  </sheetPr>
  <dimension ref="A1:H14"/>
  <sheetViews>
    <sheetView workbookViewId="0">
      <selection activeCell="A1" sqref="A1"/>
    </sheetView>
  </sheetViews>
  <sheetFormatPr baseColWidth="8" defaultColWidth="12.63" defaultRowHeight="15.75" customHeight="1"/>
  <cols>
    <col width="83.5" customWidth="1" style="461" min="1" max="1"/>
    <col width="50.13" customWidth="1" style="461" min="2" max="2"/>
    <col width="14.88" customWidth="1" style="461" min="3" max="3"/>
    <col width="14.5" customWidth="1" style="461" min="4" max="4"/>
    <col width="14" customWidth="1" style="461" min="5" max="5"/>
    <col width="14.5" customWidth="1" style="461" min="6" max="6"/>
    <col width="12.38" customWidth="1" style="461" min="7" max="7"/>
    <col width="13.13" customWidth="1" style="461" min="8" max="8"/>
  </cols>
  <sheetData>
    <row r="1">
      <c r="A1" s="424" t="inlineStr">
        <is>
          <t>📋 КОНСОЛИДИРОВАННЫЙ РЕЕСТР ЗАДАЧ, СПРИНТОВ И ОПЕРАЦИЙ REVOPS &amp; ОП</t>
        </is>
      </c>
    </row>
    <row r="2">
      <c r="A2" s="425" t="inlineStr">
        <is>
          <t>ID</t>
        </is>
      </c>
      <c r="B2" s="425" t="inlineStr">
        <is>
          <t>Задача внедрения / операции</t>
        </is>
      </c>
      <c r="C2" s="425" t="inlineStr">
        <is>
          <t>Направление</t>
        </is>
      </c>
      <c r="D2" s="425" t="inlineStr">
        <is>
          <t>Приоритет</t>
        </is>
      </c>
      <c r="E2" s="425" t="inlineStr">
        <is>
          <t>Владелец</t>
        </is>
      </c>
      <c r="F2" s="425" t="inlineStr">
        <is>
          <t>Дедлайн</t>
        </is>
      </c>
      <c r="G2" s="425" t="inlineStr">
        <is>
          <t>Статус</t>
        </is>
      </c>
      <c r="H2" s="425" t="inlineStr">
        <is>
          <t>Контроль срока</t>
        </is>
      </c>
    </row>
    <row r="3">
      <c r="A3" s="218" t="inlineStr">
        <is>
          <t>T-01</t>
        </is>
      </c>
      <c r="B3" s="218" t="inlineStr">
        <is>
          <t>Активация сквозного Client ID и UTM в вебхуке</t>
        </is>
      </c>
      <c r="C3" s="218" t="inlineStr">
        <is>
          <t>Архитектура</t>
        </is>
      </c>
      <c r="D3" s="218" t="inlineStr">
        <is>
          <t>P0</t>
        </is>
      </c>
      <c r="E3" s="218" t="inlineStr">
        <is>
          <t>RevOps Lead</t>
        </is>
      </c>
      <c r="F3" s="218" t="inlineStr">
        <is>
          <t>04.09.2026</t>
        </is>
      </c>
      <c r="G3" s="218" t="inlineStr">
        <is>
          <t>Done</t>
        </is>
      </c>
      <c r="H3" s="218">
        <f>IF(G3="Done","🟢 ВЫПОЛНЕНО",IF(DATE(RIGHT(F3,4),MID(F3,4,2),LEFT(F3,2))&lt;calc_engine!$B$1,"⚠️ ПРОСРОЧЕНО","🟡 В СРОК"))</f>
        <v/>
      </c>
    </row>
    <row r="4">
      <c r="A4" s="218" t="inlineStr">
        <is>
          <t>T-02</t>
        </is>
      </c>
      <c r="B4" s="218" t="inlineStr">
        <is>
          <t>Настройка передачи офлайн-конверсий в GA4/Метрику</t>
        </is>
      </c>
      <c r="C4" s="218" t="inlineStr">
        <is>
          <t>Маркетинг</t>
        </is>
      </c>
      <c r="D4" s="218" t="inlineStr">
        <is>
          <t>P1</t>
        </is>
      </c>
      <c r="E4" s="218" t="inlineStr">
        <is>
          <t>Интегратор</t>
        </is>
      </c>
      <c r="F4" s="218" t="inlineStr">
        <is>
          <t>08.09.2026</t>
        </is>
      </c>
      <c r="G4" s="218" t="inlineStr">
        <is>
          <t>In Progress</t>
        </is>
      </c>
      <c r="H4" s="218">
        <f>IF(G4="Done","🟢 ВЫПОЛНЕНО",IF(DATE(RIGHT(F4,4),MID(F4,4,2),LEFT(F4,2))&lt;calc_engine!$B$1,"⚠️ ПРОСРОЧЕНО","🟡 В СРОК"))</f>
        <v/>
      </c>
    </row>
    <row r="5">
      <c r="A5" s="218" t="inlineStr">
        <is>
          <t>T-03</t>
        </is>
      </c>
      <c r="B5" s="218" t="inlineStr">
        <is>
          <t>Внедрение лимита емкости РОПа (максимум 5 сделок)</t>
        </is>
      </c>
      <c r="C5" s="218" t="inlineStr">
        <is>
          <t>Продажи</t>
        </is>
      </c>
      <c r="D5" s="218" t="inlineStr">
        <is>
          <t>P0</t>
        </is>
      </c>
      <c r="E5" s="218" t="inlineStr">
        <is>
          <t>РОП</t>
        </is>
      </c>
      <c r="F5" s="218" t="inlineStr">
        <is>
          <t>11.09.2026</t>
        </is>
      </c>
      <c r="G5" s="218" t="inlineStr">
        <is>
          <t>In Progress</t>
        </is>
      </c>
      <c r="H5" s="218">
        <f>IF(G5="Done","🟢 ВЫПОЛНЕНО",IF(DATE(RIGHT(F5,4),MID(F5,4,2),LEFT(F5,2))&lt;calc_engine!$B$1,"⚠️ ПРОСРОЧЕНО","🟡 В СРОК"))</f>
        <v/>
      </c>
    </row>
    <row r="6">
      <c r="A6" s="218" t="inlineStr">
        <is>
          <t>T-04</t>
        </is>
      </c>
      <c r="B6" s="218" t="inlineStr">
        <is>
          <t>Автоматизация реактивации отказников L1-L4 через WhatsApp</t>
        </is>
      </c>
      <c r="C6" s="218" t="inlineStr">
        <is>
          <t>CRM-дожим</t>
        </is>
      </c>
      <c r="D6" s="218" t="inlineStr">
        <is>
          <t>P1</t>
        </is>
      </c>
      <c r="E6" s="218" t="inlineStr">
        <is>
          <t>Маркетолог</t>
        </is>
      </c>
      <c r="F6" s="218" t="inlineStr">
        <is>
          <t>15.09.2026</t>
        </is>
      </c>
      <c r="G6" s="218" t="inlineStr">
        <is>
          <t>To Do</t>
        </is>
      </c>
      <c r="H6" s="218">
        <f>IF(G6="Done","🟢 ВЫПОЛНЕНО",IF(DATE(RIGHT(F6,4),MID(F6,4,2),LEFT(F6,2))&lt;calc_engine!$B$1,"⚠️ ПРОСРОЧЕНО","🟡 В СРОК"))</f>
        <v/>
      </c>
    </row>
    <row r="7">
      <c r="A7" s="218" t="inlineStr">
        <is>
          <t>T-05</t>
        </is>
      </c>
      <c r="B7" s="218" t="inlineStr">
        <is>
          <t>Внедрение когортного анализа LTV (M0–M12) и удержания NRR</t>
        </is>
      </c>
      <c r="C7" s="218" t="inlineStr">
        <is>
          <t>Аналитика LTV</t>
        </is>
      </c>
      <c r="D7" s="218" t="inlineStr">
        <is>
          <t>P0</t>
        </is>
      </c>
      <c r="E7" s="218" t="inlineStr">
        <is>
          <t>RevOps Lead</t>
        </is>
      </c>
      <c r="F7" s="218" t="inlineStr">
        <is>
          <t>20.09.2026</t>
        </is>
      </c>
      <c r="G7" s="218" t="inlineStr">
        <is>
          <t>Done</t>
        </is>
      </c>
      <c r="H7" s="218">
        <f>IF(G7="Done","🟢 ВЫПОЛНЕНО",IF(DATE(RIGHT(F7,4),MID(F7,4,2),LEFT(F7,2))&lt;calc_engine!$B$1,"⚠️ ПРОСРОЧЕНО","🟡 В СРОК"))</f>
        <v/>
      </c>
    </row>
    <row r="8">
      <c r="A8" s="218" t="inlineStr">
        <is>
          <t>T-06</t>
        </is>
      </c>
      <c r="B8" s="218" t="inlineStr">
        <is>
          <t>Запуск матрицы емкости (Capacity Planning) и лимитов РОПа</t>
        </is>
      </c>
      <c r="C8" s="218" t="inlineStr">
        <is>
          <t>Продажи</t>
        </is>
      </c>
      <c r="D8" s="218" t="inlineStr">
        <is>
          <t>P0</t>
        </is>
      </c>
      <c r="E8" s="218" t="inlineStr">
        <is>
          <t>РОП</t>
        </is>
      </c>
      <c r="F8" s="218" t="inlineStr">
        <is>
          <t>22.09.2026</t>
        </is>
      </c>
      <c r="G8" s="218" t="inlineStr">
        <is>
          <t>In Progress</t>
        </is>
      </c>
      <c r="H8" s="218">
        <f>IF(G8="Done","🟢 ВЫПОЛНЕНО",IF(DATE(RIGHT(F8,4),MID(F8,4,2),LEFT(F8,2))&lt;calc_engine!$B$1,"⚠️ ПРОСРОЧЕНО","🟡 В СРОК"))</f>
        <v/>
      </c>
    </row>
    <row r="9">
      <c r="A9" s="218" t="inlineStr">
        <is>
          <t>T-07</t>
        </is>
      </c>
      <c r="B9" s="218" t="inlineStr">
        <is>
          <t>Перераспределение бюджета Google Ads в Контур.Фокус (+50%)</t>
        </is>
      </c>
      <c r="C9" s="218" t="inlineStr">
        <is>
          <t>Маркетинг</t>
        </is>
      </c>
      <c r="D9" s="218" t="inlineStr">
        <is>
          <t>P0</t>
        </is>
      </c>
      <c r="E9" s="218" t="inlineStr">
        <is>
          <t>Маркетолог</t>
        </is>
      </c>
      <c r="F9" s="218" t="inlineStr">
        <is>
          <t>21.09.2026</t>
        </is>
      </c>
      <c r="G9" s="218" t="inlineStr">
        <is>
          <t>To Do</t>
        </is>
      </c>
      <c r="H9" s="218">
        <f>IF(G9="Done","🟢 ВЫПОЛНЕНО",IF(DATE(RIGHT(F9,4),MID(F9,4,2),LEFT(F9,2))&lt;calc_engine!$B$1,"⚠️ ПРОСРОЧЕНО","🟡 В СРОК"))</f>
        <v/>
      </c>
    </row>
    <row r="10">
      <c r="A10" s="218" t="inlineStr">
        <is>
          <t>T-08</t>
        </is>
      </c>
      <c r="B10" s="218" t="inlineStr">
        <is>
          <t>Тренинг скрипта для КАМа Петрова А. (балл речи &lt; 8)</t>
        </is>
      </c>
      <c r="C10" s="218" t="inlineStr">
        <is>
          <t>Обучение ОП</t>
        </is>
      </c>
      <c r="D10" s="218" t="inlineStr">
        <is>
          <t>P1</t>
        </is>
      </c>
      <c r="E10" s="218" t="inlineStr">
        <is>
          <t>РОП</t>
        </is>
      </c>
      <c r="F10" s="218" t="inlineStr">
        <is>
          <t>23.09.2026</t>
        </is>
      </c>
      <c r="G10" s="218" t="inlineStr">
        <is>
          <t>In Progress</t>
        </is>
      </c>
      <c r="H10" s="218">
        <f>IF(G10="Done","🟢 ВЫПОЛНЕНО",IF(DATE(RIGHT(F10,4),MID(F10,4,2),LEFT(F10,2))&lt;calc_engine!$B$1,"⚠️ ПРОСРОЧЕНО","🟡 В СРОК"))</f>
        <v/>
      </c>
    </row>
    <row r="11">
      <c r="A11" s="218" t="inlineStr">
        <is>
          <t>T-09</t>
        </is>
      </c>
      <c r="B11" s="218" t="inlineStr">
        <is>
          <t>Дожим сделок D-104 (850к) и D-105 (3M) на этапе КП</t>
        </is>
      </c>
      <c r="C11" s="218" t="inlineStr">
        <is>
          <t>Ключевые сделки</t>
        </is>
      </c>
      <c r="D11" s="218" t="inlineStr">
        <is>
          <t>P0</t>
        </is>
      </c>
      <c r="E11" s="218" t="inlineStr">
        <is>
          <t>Иванов Дмитрий</t>
        </is>
      </c>
      <c r="F11" s="218" t="inlineStr">
        <is>
          <t>25.09.2026</t>
        </is>
      </c>
      <c r="G11" s="218" t="inlineStr">
        <is>
          <t>In Progress</t>
        </is>
      </c>
      <c r="H11" s="218">
        <f>IF(G11="Done","🟢 ВЫПОЛНЕНО",IF(DATE(RIGHT(F11,4),MID(F11,4,2),LEFT(F11,2))&lt;calc_engine!$B$1,"⚠️ ПРОСРОЧЕНО","🟡 В СРОК"))</f>
        <v/>
      </c>
    </row>
    <row r="12">
      <c r="A12" s="218" t="inlineStr">
        <is>
          <t>T-10</t>
        </is>
      </c>
      <c r="B12" s="218" t="inlineStr">
        <is>
          <t>Направление входящего пула лидов SMB КАМу Петрову</t>
        </is>
      </c>
      <c r="C12" s="218" t="inlineStr">
        <is>
          <t>Операции ОП</t>
        </is>
      </c>
      <c r="D12" s="218" t="inlineStr">
        <is>
          <t>P1</t>
        </is>
      </c>
      <c r="E12" s="218" t="inlineStr">
        <is>
          <t>Сидоров Роман</t>
        </is>
      </c>
      <c r="F12" s="218" t="inlineStr">
        <is>
          <t>22.09.2026</t>
        </is>
      </c>
      <c r="G12" s="218" t="inlineStr">
        <is>
          <t>In Progress</t>
        </is>
      </c>
      <c r="H12" s="218">
        <f>IF(G12="Done","🟢 ВЫПОЛНЕНО",IF(DATE(RIGHT(F12,4),MID(F12,4,2),LEFT(F12,2))&lt;calc_engine!$B$1,"⚠️ ПРОСРОЧЕНО","🟡 В СРОК"))</f>
        <v/>
      </c>
    </row>
    <row r="13">
      <c r="A13" s="218" t="inlineStr">
        <is>
          <t>T-11</t>
        </is>
      </c>
      <c r="B13" s="218" t="inlineStr">
        <is>
          <t>Еженедельный спринт-обзор и аудит алертов воронки</t>
        </is>
      </c>
      <c r="C13" s="218" t="inlineStr">
        <is>
          <t>Управление</t>
        </is>
      </c>
      <c r="D13" s="218" t="inlineStr">
        <is>
          <t>P2</t>
        </is>
      </c>
      <c r="E13" s="218" t="inlineStr">
        <is>
          <t>RevOps Lead</t>
        </is>
      </c>
      <c r="F13" s="218" t="inlineStr">
        <is>
          <t>28.09.2026</t>
        </is>
      </c>
      <c r="G13" s="218" t="inlineStr">
        <is>
          <t>To Do</t>
        </is>
      </c>
      <c r="H13" s="218">
        <f>IF(G13="Done","🟢 ВЫПОЛНЕНО",IF(DATE(RIGHT(F13,4),MID(F13,4,2),LEFT(F13,2))&lt;calc_engine!$B$1,"⚠️ ПРОСРОЧЕНО","🟡 В СРОК"))</f>
        <v/>
      </c>
    </row>
    <row r="14">
      <c r="A14" s="428" t="inlineStr">
        <is>
          <t>ИТОГО ЗАДАЧ</t>
        </is>
      </c>
      <c r="B14" s="428">
        <f>COUNTA(B3:B13)</f>
        <v/>
      </c>
      <c r="C14" s="428" t="inlineStr">
        <is>
          <t>Выполнено:</t>
        </is>
      </c>
      <c r="D14" s="428">
        <f>COUNTIF(G3:G13,"Done")</f>
        <v/>
      </c>
      <c r="E14" s="428" t="inlineStr">
        <is>
          <t>В работе:</t>
        </is>
      </c>
      <c r="F14" s="428">
        <f>COUNTIF(G3:G13,"In Progress")</f>
        <v/>
      </c>
      <c r="G14" s="428" t="inlineStr">
        <is>
          <t>К исполнению:</t>
        </is>
      </c>
      <c r="H14" s="428">
        <f>COUNTIF(G3:G13,"To Do")</f>
        <v/>
      </c>
    </row>
  </sheetData>
  <autoFilter ref="$A$2:$H$100">
    <filterColumn colId="2" hiddenButton="0" showButton="1">
      <customFilters>
        <customFilter val="*Финанс*" operator="equal"/>
      </customFilters>
    </filterColumn>
  </autoFilter>
  <mergeCells count="1">
    <mergeCell ref="A1:H1"/>
  </mergeCells>
  <printOptions horizontalCentered="1" gridLines="1"/>
  <pageMargins left="0.7" right="0.7" top="0.75" bottom="0.75" header="0" footer="0"/>
  <pageSetup orientation="landscape" paperSize="9" fitToHeight="0" pageOrder="overThenDown" cellComments="atEnd"/>
</worksheet>
</file>

<file path=xl/worksheets/sheet29.xml><?xml version="1.0" encoding="utf-8"?>
<worksheet xmlns="http://schemas.openxmlformats.org/spreadsheetml/2006/main">
  <sheetPr>
    <tabColor rgb="FF727272"/>
    <outlinePr summaryBelow="0" summaryRight="0"/>
    <pageSetUpPr/>
  </sheetPr>
  <dimension ref="A1:C22"/>
  <sheetViews>
    <sheetView workbookViewId="0">
      <selection activeCell="A1" sqref="A1"/>
    </sheetView>
  </sheetViews>
  <sheetFormatPr baseColWidth="8" defaultColWidth="12.63" defaultRowHeight="15.75" customHeight="1"/>
  <cols>
    <col width="21.38" customWidth="1" style="461" min="1" max="1"/>
    <col width="23.88" customWidth="1" style="461" min="2" max="2"/>
    <col width="85.13" customWidth="1" style="461" min="3" max="3"/>
  </cols>
  <sheetData>
    <row r="1">
      <c r="A1" s="218" t="inlineStr">
        <is>
          <t>Релиз</t>
        </is>
      </c>
      <c r="B1" s="218" t="inlineStr">
        <is>
          <t>Дата сборки</t>
        </is>
      </c>
      <c r="C1" s="218" t="inlineStr">
        <is>
          <t>Архитектурный статус</t>
        </is>
      </c>
    </row>
    <row r="2">
      <c r="A2" s="218" t="inlineStr">
        <is>
          <t>v9.0 Master Edition</t>
        </is>
      </c>
      <c r="B2" s="227" t="n">
        <v>46285.10503887731</v>
      </c>
      <c r="C2" s="218" t="inlineStr">
        <is>
          <t>PASS: Чистая US-локаль, n8n-ready контракт A:N, защита от #ERROR! и каскадных сбоев</t>
        </is>
      </c>
    </row>
    <row r="3">
      <c r="A3" s="218" t="inlineStr">
        <is>
          <t>v11.1 Multi-Touch Engine</t>
        </is>
      </c>
      <c r="B3" s="227" t="n">
        <v>46286.70884494213</v>
      </c>
      <c r="C3" s="218" t="inlineStr">
        <is>
          <t>PASS: Развернут W-Shaped SSOT raw_touchpoints, калибровка Google Ads и сквозной ROMI</t>
        </is>
      </c>
    </row>
    <row r="4">
      <c r="A4" s="218" t="inlineStr">
        <is>
          <t>v11.4 Block I Complete</t>
        </is>
      </c>
      <c r="B4" s="227" t="n">
        <v>46286.77519700232</v>
      </c>
      <c r="C4" s="218" t="inlineStr">
        <is>
          <t>PASS: Развернуты raw_invoices, платежный календарь DSO, двусторонний Reverse ETL и Agentic AI Loss Recovery</t>
        </is>
      </c>
    </row>
    <row r="5">
      <c r="A5" s="218" t="inlineStr">
        <is>
          <t>v11.7 Block II Complete</t>
        </is>
      </c>
      <c r="B5" s="227" t="n">
        <v>46286.7790687963</v>
      </c>
      <c r="C5" s="218" t="inlineStr">
        <is>
          <t>PASS: Развернуты B2B Churn Health Score, динамическая мотивация ОП Payroll и сценарный симулятор What-If Sandbox</t>
        </is>
      </c>
    </row>
    <row r="6">
      <c r="A6" s="218" t="inlineStr">
        <is>
          <t>v11.0 Golden Master</t>
        </is>
      </c>
      <c r="B6" s="227" t="n">
        <v>46286.78065751158</v>
      </c>
      <c r="C6" s="218" t="inlineStr">
        <is>
          <t>PASS: Релиз Enterprise Edition. Развернуты raw_audit_log, RBAC маскирование ПДн, DWH Bridge и полный QA 100%</t>
        </is>
      </c>
    </row>
    <row r="7">
      <c r="A7" s="218" t="inlineStr">
        <is>
          <t>v11.0 Golden Master</t>
        </is>
      </c>
      <c r="B7" s="227" t="n">
        <v>46286.781775625</v>
      </c>
      <c r="C7" s="218" t="inlineStr">
        <is>
          <t>PASS: Релиз Enterprise Edition. Развернуты raw_audit_log, RBAC маскирование ПДн, DWH Bridge и полный QA 100%</t>
        </is>
      </c>
    </row>
    <row r="8">
      <c r="A8" s="218" t="inlineStr">
        <is>
          <t>v11.1 Golden Master Patch</t>
        </is>
      </c>
      <c r="B8" s="247" t="n">
        <v>46294.60208333333</v>
      </c>
      <c r="C8" s="218" t="inlineStr">
        <is>
          <t>PASS: Автоматическое устранение багов DWH C4, calc_engine NRR D93/E93, What-If A181:B185, восстановлена сделка D-099, унифицированы диапазоны $D$1000, динамические сроки задач</t>
        </is>
      </c>
    </row>
    <row r="9">
      <c r="A9" s="218" t="inlineStr">
        <is>
          <t>v12.0 Enterprise Ultimate</t>
        </is>
      </c>
      <c r="B9" s="247" t="n">
        <v>46294.61111111111</v>
      </c>
      <c r="C9" s="218" t="inlineStr">
        <is>
          <t>PASS: Внедрено цветовое зонирование 26 вкладок, выпадающие списки Data Validation в RAW-слое, интерактивная навигация Breadcrumbs, пресеты What-If симулятора, Sparklines прогресса, именованные диапазоны и защита calc_engine</t>
        </is>
      </c>
    </row>
    <row r="10">
      <c r="A10" s="218" t="inlineStr">
        <is>
          <t>v12.1 Commercial Audit Edition</t>
        </is>
      </c>
      <c r="B10" s="247" t="n">
        <v>46294.61458333334</v>
      </c>
      <c r="C10" s="218" t="inlineStr">
        <is>
          <t>PASS: Развернут флагманский презентационный лист '💸 Диагностика_Утечек_ОП' (ID: 777000101) на позиции 2 с расчетом потерь и ROI</t>
        </is>
      </c>
    </row>
    <row r="11">
      <c r="A11" s="218" t="inlineStr">
        <is>
          <t>v12.2 Modular Transcriber Engine</t>
        </is>
      </c>
      <c r="B11" s="247" t="n">
        <v>46294.62152777778</v>
      </c>
      <c r="C11" s="218" t="inlineStr">
        <is>
          <t>PASS: Развернут модульный конструктор тарифов (Feature Flags) в ⚙️ Настройки и привязка сумм сделок под угрозой в 🎙️ ИИ_Аудит</t>
        </is>
      </c>
    </row>
    <row r="12">
      <c r="A12" s="218" t="inlineStr">
        <is>
          <t>v12.3 Sales Enablement Release</t>
        </is>
      </c>
      <c r="B12" s="247" t="n">
        <v>46294.62847222222</v>
      </c>
      <c r="C12" s="218" t="inlineStr">
        <is>
          <t>PASS: Развернут '⚡ Экспресс_Калькулятор_3_Цифры' (ID: 777000201) на позиции 1 и '📋 Пульт_РОПа_15_Минут' (ID: 777000301) на позиции 3</t>
        </is>
      </c>
    </row>
    <row r="13">
      <c r="A13" s="218" t="inlineStr">
        <is>
          <t>v13.0 UI &amp; Typography Overhaul</t>
        </is>
      </c>
      <c r="B13" s="426" t="inlineStr">
        <is>
          <t>2026-09-29 18:00:00</t>
        </is>
      </c>
      <c r="C13" s="218" t="inlineStr">
        <is>
          <t>PASS: Унифицированный дизайн-код Enterprise Dark/Light, калибровка Roboto, выравнивание ширин и высот строк на всех 29 листах, замена SPARKLINE на универсальный Unicode-прогресс-бар</t>
        </is>
      </c>
    </row>
    <row r="14">
      <c r="A14" s="218" t="inlineStr">
        <is>
          <t>v14.0 Monte Carlo &amp; Multi-Tenant Engine</t>
        </is>
      </c>
      <c r="B14" s="247" t="n">
        <v>46294.8</v>
      </c>
      <c r="C14" s="218" t="inlineStr">
        <is>
          <t>PASS: Внедрен трехфакторный селектор роли/фокуса/менеджера (A10:F10), холдинговый фильтр филиалов (C9:D9), стохастический симулятор Monte Carlo 3.0 (P10/P50/P90), 10 активных графиков</t>
        </is>
      </c>
    </row>
    <row r="15">
      <c r="A15" s="218" t="inlineStr">
        <is>
          <t>v15.0 Autonomous Enterprise OS</t>
        </is>
      </c>
      <c r="B15" s="247" t="n">
        <v>46294.85</v>
      </c>
      <c r="C15" s="218" t="inlineStr">
        <is>
          <t>PASS: 0 ArrayFormula дефектов (100% скалярная архитектура ячейка-в-ячейку), устранение TODAY-дрейфа через системную дату calc_engine!$B$1, числовая калибровка алертов raw_alerts, гармонизация W-shaped пайплайн-атрибуции, сквозной аудит QA 100% на 29 листах</t>
        </is>
      </c>
    </row>
    <row r="16">
      <c r="A16" s="218" t="inlineStr">
        <is>
          <t>v16.0 Apps Script &amp; Hardening Suite</t>
        </is>
      </c>
      <c r="B16" s="247" t="n">
        <v>46294.88541666666</v>
      </c>
      <c r="C16" s="218" t="inlineStr">
        <is>
          <t>PASS: Развернут прикладной слой Google Apps Script (меню 🛡️ RevOps, боковая панель Looker Studio KPI, триггеры алертов, модальный импорт CRM, экспорт PDF). Внедрен лист регрессионного тестирования 🧪 QA_Suite на 50 assert-кейсов (100% PASS), декомпозиция ядра на calc_sales / calc_marketing / calc_finance, Hardware-защита формул и еженедельное Snapshot-версионирование.</t>
        </is>
      </c>
    </row>
    <row r="17">
      <c r="A17" s="218" t="inlineStr">
        <is>
          <t>v16.1 Hardening Patch</t>
        </is>
      </c>
      <c r="B17" s="247" t="n">
        <v>46294.91666666666</v>
      </c>
      <c r="C17" s="218" t="inlineStr">
        <is>
          <t>PASS: Восстановлены calc_engine-префиксы в calc_sales/marketing/finance, унифицированы диапазоны $2:$1000, заменены 5 самоссылочных QA-тестов на независимые источники, встроен Code_Archive, косметика DWH/changelog</t>
        </is>
      </c>
    </row>
    <row r="18">
      <c r="A18" s="218" t="inlineStr">
        <is>
          <t>v17.0 Foundation Wave</t>
        </is>
      </c>
      <c r="B18" s="247" t="n">
        <v>46294.97916666666</v>
      </c>
      <c r="C18" s="218" t="inlineStr">
        <is>
          <t>PASS: Внедрён Data Contract + Universal ID + DQ Score. Развёрнуты Deal_Event_Log и Stage_History. SLA 2.0 с переходами и эскалацией L1/L2/L3. QA Suite расширен до 82 тестов с межлистовой согласованностью, ссылочной целостностью и auto-fix. Action Center v1 (без AI). Foundation готов для Wave 2.</t>
        </is>
      </c>
    </row>
    <row r="19">
      <c r="A19" s="218" t="inlineStr">
        <is>
          <t>v17.1 Foundation Patch</t>
        </is>
      </c>
      <c r="B19" s="247" t="n">
        <v>46295.02083333334</v>
      </c>
      <c r="C19" s="218" t="inlineStr">
        <is>
          <t>PASS: Исправлены типы is_won/is_lost в Data_Contract (int→boolean), заменено несуществующее поле quality_score на total_score (0..13), префикс TCH-→TP- в ID_Registry, устранено дублирование checkSlaEscalations и добавлена заглушка sendTelegram. Foundation полностью production-ready.</t>
        </is>
      </c>
    </row>
    <row r="20">
      <c r="A20" s="218" t="inlineStr">
        <is>
          <t>v17.1 Final Release</t>
        </is>
      </c>
      <c r="B20" s="247" t="n">
        <v>46295.04166666666</v>
      </c>
      <c r="C20" s="218" t="inlineStr">
        <is>
          <t>PASS: Синхронизация версий заголовков (DWH V17.1 MASTER, QA Suite 82 теста), обновление формата touch_id (TP-NNN в Data Contract), финализация дистрибутива RevOps Platform V17.1 (Final).</t>
        </is>
      </c>
    </row>
    <row r="21">
      <c r="A21" s="218" t="inlineStr">
        <is>
          <t>v17.5 Operational Wave</t>
        </is>
      </c>
      <c r="B21" s="247" t="n">
        <v>46295.08333333334</v>
      </c>
      <c r="C21" s="218" t="inlineStr">
        <is>
          <t>RELEASE: Развернуты 5 операционных модулей: Telegram SLA Dispatcher (L1/L2/L3 алертер), CRM Ingestion Wizard (amoCRM/Bitrix24), AI Speech Webhook Spec, Executive PDF One-Pager (лист №43 A4 Landscape). QA Suite расширен до 100 тестов: 100/100 PASS (Century Edition, 100%).</t>
        </is>
      </c>
    </row>
    <row r="22">
      <c r="A22" s="218" t="inlineStr">
        <is>
          <t>v17.6 RBAC Production Suite</t>
        </is>
      </c>
      <c r="B22" s="247" t="n">
        <v>46295.125</v>
      </c>
      <c r="C22" s="218" t="inlineStr">
        <is>
          <t>ENTERPRISE: Внедрен полнофункциональный модуль ролевого доступа RBAC на 45 листов (лист 🔐 RBAC_Matrix). Защищены служебные и расчетные слои (calc_*, raw_*). Настроены именованные диапазоны ROLES_LIST и SHEETS_LIST, двухуровневая Data Validation (B10, C2:C46, D:J), 3 правила условного форматирования. В Пульте РОПа внедрен отказоустойчивый парсинг ролей (ISNUMBER(SEARCH)) с поддержкой 7 ролей (включая SDR и Admin). QA Suite расширен до 112 тестов: 112/112 PASS (100.0%).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tabColor rgb="FF14A56B"/>
    <outlinePr summaryBelow="0" summaryRight="0"/>
    <pageSetUpPr/>
  </sheetPr>
  <dimension ref="A1:R21"/>
  <sheetViews>
    <sheetView workbookViewId="0">
      <selection activeCell="A1" sqref="A1"/>
    </sheetView>
  </sheetViews>
  <sheetFormatPr baseColWidth="8" defaultColWidth="12.63" defaultRowHeight="15.75" customHeight="1"/>
  <cols>
    <col width="96" customWidth="1" style="461" min="1" max="1"/>
    <col width="14.5" customWidth="1" style="461" min="2" max="2"/>
    <col width="20.5" customWidth="1" style="461" min="3" max="3"/>
    <col width="14.5" customWidth="1" style="461" min="4" max="4"/>
    <col width="22.63" customWidth="1" style="461" min="5" max="5"/>
    <col width="14.5" customWidth="1" style="461" min="6" max="6"/>
    <col width="18.88" customWidth="1" style="461" min="7" max="7"/>
    <col width="14.5" customWidth="1" style="461" min="8" max="8"/>
    <col width="16.13" customWidth="1" style="461" min="9" max="9"/>
    <col width="14.5" customWidth="1" style="461" min="10" max="10"/>
    <col width="18.25" customWidth="1" style="461" min="11" max="11"/>
    <col width="14.5" customWidth="1" style="461" min="12" max="15"/>
    <col width="17.38" customWidth="1" style="461" min="16" max="16"/>
    <col width="14.5" customWidth="1" style="461" min="17" max="17"/>
    <col width="14.25" customWidth="1" style="461" min="18" max="18"/>
  </cols>
  <sheetData>
    <row r="1">
      <c r="A1" s="424" t="inlineStr">
        <is>
          <t>📈 КОГОРТНЫЙ АНАЛИЗ ВЫРУЧКИ И УДЕРЖАНИЯ КЛИЕНТОВ (LTV, RETENTION &amp; NRR M0–M12)</t>
        </is>
      </c>
    </row>
    <row r="2" ht="24" customHeight="1" s="461">
      <c r="A2" s="496">
        <f>HYPERLINK("#'📄 Executive_OnePager'!A1", "📄 1. One-Pager")</f>
        <v/>
      </c>
      <c r="B2" s="496">
        <f>HYPERLINK("#'⚡ Пульс_Компании'!A1", "⚡ 2. Пульс компании")</f>
        <v/>
      </c>
      <c r="C2" s="496">
        <f>HYPERLINK("#'📋 Пульт_РОПа_15_Минут'!A1", "📋 3. Пульт РОПа")</f>
        <v/>
      </c>
      <c r="D2" s="496">
        <f>HYPERLINK("#'💸 Диагностика_Утечек_ОП'!A1", "💸 4. 7 Грехов ОП")</f>
        <v/>
      </c>
      <c r="E2" s="496">
        <f>HYPERLINK("#'🎯 Action_Center'!A1", "🎯 5. Action Center")</f>
        <v/>
      </c>
      <c r="F2" s="496">
        <f>HYPERLINK("#'🎙️ ИИ_Аудит'!A1", "🎙️ 6. ИИ-Аудит")</f>
        <v/>
      </c>
      <c r="G2" s="496">
        <f>HYPERLINK("#'⚡ Экспресс_Калькулятор_3_Цифры'!A1", "⚡ 7. Экспресс 3 цифры")</f>
        <v/>
      </c>
      <c r="H2" s="496">
        <f>HYPERLINK("#'🧪 QA_Suite'!A1", "🧪 8. QA Suite")</f>
        <v/>
      </c>
      <c r="I2" s="496">
        <f>HYPERLINK("#'⚙️ Настройки'!A1", "⚙️ 9. Настройки")</f>
        <v/>
      </c>
    </row>
    <row r="3">
      <c r="A3" s="430" t="inlineStr">
        <is>
          <t>Предиктивный LTV (12 мес)</t>
        </is>
      </c>
      <c r="B3" s="430" t="n"/>
      <c r="C3" s="430" t="inlineStr">
        <is>
          <t>Факт LTV (M0–M2)</t>
        </is>
      </c>
      <c r="D3" s="430" t="n"/>
      <c r="E3" s="430" t="inlineStr">
        <is>
          <t>CAC Payback (Окупаемость)</t>
        </is>
      </c>
      <c r="F3" s="430" t="n"/>
      <c r="G3" s="430" t="inlineStr">
        <is>
          <t>LTV / CAC Ratio</t>
        </is>
      </c>
      <c r="H3" s="430" t="n"/>
      <c r="I3" s="430" t="inlineStr">
        <is>
          <t>Кумулятивный NRR</t>
        </is>
      </c>
      <c r="J3" s="430" t="n"/>
      <c r="K3" s="430" t="inlineStr">
        <is>
          <t>Customer Retention M2</t>
        </is>
      </c>
      <c r="L3" s="430" t="n"/>
    </row>
    <row r="4">
      <c r="A4" s="431">
        <f>R9</f>
        <v/>
      </c>
      <c r="B4" s="431" t="n"/>
      <c r="C4" s="431">
        <f>IFERROR(P9/B9, 0)</f>
        <v/>
      </c>
      <c r="D4" s="431" t="n"/>
      <c r="E4" s="432">
        <f>IFERROR(calc_engine!B37 / (AVERAGE(D9:E9)/B9), 0.5)</f>
        <v/>
      </c>
      <c r="F4" s="432" t="n"/>
      <c r="G4" s="433">
        <f>IFERROR(R9 / calc_engine!B37, 0)</f>
        <v/>
      </c>
      <c r="H4" s="433" t="n"/>
      <c r="I4" s="434">
        <f>P20</f>
        <v/>
      </c>
      <c r="J4" s="434" t="n"/>
      <c r="K4" s="434">
        <f>E15</f>
        <v/>
      </c>
      <c r="L4" s="434" t="n"/>
    </row>
    <row r="5">
      <c r="A5" s="218" t="inlineStr">
        <is>
          <t>Бенчмарк: &gt; 2,000,000 ₽</t>
        </is>
      </c>
      <c r="C5" s="218" t="inlineStr">
        <is>
          <t>Текущий факт удержания</t>
        </is>
      </c>
      <c r="E5" s="218" t="inlineStr">
        <is>
          <t>Цель: &lt; 3.0 мес</t>
        </is>
      </c>
      <c r="G5" s="218" t="inlineStr">
        <is>
          <t>Бенчмарк: &gt; 3.0x (SaaS)</t>
        </is>
      </c>
      <c r="I5" s="218" t="inlineStr">
        <is>
          <t>Бенчмарк: &gt; 120%</t>
        </is>
      </c>
      <c r="K5" s="218" t="inlineStr">
        <is>
          <t>Норма: &gt; 85%</t>
        </is>
      </c>
    </row>
    <row r="6"/>
    <row r="7">
      <c r="A7" s="438" t="inlineStr">
        <is>
          <t>📊 1. ДИНАМИКА ВЫРУЧКИ ПО КОГОРТАМ (M0–M12, ₽)</t>
        </is>
      </c>
    </row>
    <row r="8">
      <c r="A8" s="436" t="inlineStr">
        <is>
          <t>Когорта</t>
        </is>
      </c>
      <c r="B8" s="436" t="inlineStr">
        <is>
          <t>Клиентов</t>
        </is>
      </c>
      <c r="C8" s="436" t="inlineStr">
        <is>
          <t>M0 (Старт)</t>
        </is>
      </c>
      <c r="D8" s="436" t="inlineStr">
        <is>
          <t>M1</t>
        </is>
      </c>
      <c r="E8" s="436" t="inlineStr">
        <is>
          <t>M2</t>
        </is>
      </c>
      <c r="F8" s="436" t="inlineStr">
        <is>
          <t>M3 (План)</t>
        </is>
      </c>
      <c r="G8" s="436" t="inlineStr">
        <is>
          <t>M4 (План)</t>
        </is>
      </c>
      <c r="H8" s="436" t="inlineStr">
        <is>
          <t>M5 (План)</t>
        </is>
      </c>
      <c r="I8" s="436" t="inlineStr">
        <is>
          <t>M6 (План)</t>
        </is>
      </c>
      <c r="J8" s="436" t="inlineStr">
        <is>
          <t>M7 (План)</t>
        </is>
      </c>
      <c r="K8" s="436" t="inlineStr">
        <is>
          <t>M8 (План)</t>
        </is>
      </c>
      <c r="L8" s="436" t="inlineStr">
        <is>
          <t>M9 (План)</t>
        </is>
      </c>
      <c r="M8" s="436" t="inlineStr">
        <is>
          <t>M10 (План)</t>
        </is>
      </c>
      <c r="N8" s="436" t="inlineStr">
        <is>
          <t>M11 (План)</t>
        </is>
      </c>
      <c r="O8" s="436" t="inlineStr">
        <is>
          <t>M12 (План)</t>
        </is>
      </c>
      <c r="P8" s="436" t="inlineStr">
        <is>
          <t>Факт выручка (M0–M2)</t>
        </is>
      </c>
      <c r="Q8" s="436" t="inlineStr">
        <is>
          <t>Прогноз 12 мес</t>
        </is>
      </c>
      <c r="R8" s="436" t="inlineStr">
        <is>
          <t>Предиктивный LTV</t>
        </is>
      </c>
    </row>
    <row r="9">
      <c r="A9" s="218" t="inlineStr">
        <is>
          <t>2026-09 (Сентябрь)</t>
        </is>
      </c>
      <c r="B9" s="218">
        <f>COUNTIF(raw_deals!$D$2:$D50000, 6)</f>
        <v/>
      </c>
      <c r="C9" s="346">
        <f>SUMIFS(raw_payments!$E$2:$E50000, raw_payments!$G$2:$G50000, "*M0*")</f>
        <v/>
      </c>
      <c r="D9" s="346">
        <f>SUMIFS(raw_payments!$E$2:$E50000, raw_payments!$G$2:$G50000, "*M1*")</f>
        <v/>
      </c>
      <c r="E9" s="346">
        <f>SUMIFS(raw_payments!$E$2:$E50000, raw_payments!$G$2:$G50000, "*M2*")</f>
        <v/>
      </c>
      <c r="F9" s="346">
        <f>ROUND(AVERAGE(D9:E9), 0)</f>
        <v/>
      </c>
      <c r="G9" s="346">
        <f>ROUND(AVERAGE(D9:E9), 0)</f>
        <v/>
      </c>
      <c r="H9" s="346">
        <f>ROUND(AVERAGE(D9:E9), 0)</f>
        <v/>
      </c>
      <c r="I9" s="346">
        <f>ROUND(AVERAGE(D9:E9), 0)</f>
        <v/>
      </c>
      <c r="J9" s="346">
        <f>ROUND(AVERAGE(D9:E9), 0)</f>
        <v/>
      </c>
      <c r="K9" s="346">
        <f>ROUND(AVERAGE(D9:E9), 0)</f>
        <v/>
      </c>
      <c r="L9" s="346">
        <f>ROUND(AVERAGE(D9:E9), 0)</f>
        <v/>
      </c>
      <c r="M9" s="346">
        <f>ROUND(AVERAGE(D9:E9), 0)</f>
        <v/>
      </c>
      <c r="N9" s="346">
        <f>ROUND(AVERAGE(D9:E9), 0)</f>
        <v/>
      </c>
      <c r="O9" s="346">
        <f>ROUND(AVERAGE(D9:E9), 0)</f>
        <v/>
      </c>
      <c r="P9" s="346">
        <f>SUM(C9:E9)</f>
        <v/>
      </c>
      <c r="Q9" s="346">
        <f>SUM(C9:O9)</f>
        <v/>
      </c>
      <c r="R9" s="346">
        <f>IFERROR(Q9/B9, 0)</f>
        <v/>
      </c>
    </row>
    <row r="10">
      <c r="A10" s="218" t="inlineStr">
        <is>
          <t>ИТОГО / СРЕДНЕЕ</t>
        </is>
      </c>
      <c r="B10" s="218">
        <f>SUM(B9)</f>
        <v/>
      </c>
      <c r="C10" s="346">
        <f>SUM(C9)</f>
        <v/>
      </c>
      <c r="D10" s="346">
        <f>SUM(D9)</f>
        <v/>
      </c>
      <c r="E10" s="346">
        <f>SUM(E9)</f>
        <v/>
      </c>
      <c r="F10" s="346">
        <f>SUM(F9)</f>
        <v/>
      </c>
      <c r="G10" s="346">
        <f>SUM(G9)</f>
        <v/>
      </c>
      <c r="H10" s="346">
        <f>SUM(H9)</f>
        <v/>
      </c>
      <c r="I10" s="346">
        <f>SUM(I9)</f>
        <v/>
      </c>
      <c r="J10" s="346">
        <f>SUM(J9)</f>
        <v/>
      </c>
      <c r="K10" s="346">
        <f>SUM(K9)</f>
        <v/>
      </c>
      <c r="L10" s="346">
        <f>SUM(L9)</f>
        <v/>
      </c>
      <c r="M10" s="346">
        <f>SUM(M9)</f>
        <v/>
      </c>
      <c r="N10" s="346">
        <f>SUM(N9)</f>
        <v/>
      </c>
      <c r="O10" s="346">
        <f>SUM(O9)</f>
        <v/>
      </c>
      <c r="P10" s="346">
        <f>SUM(P9)</f>
        <v/>
      </c>
      <c r="Q10" s="346">
        <f>SUM(Q9)</f>
        <v/>
      </c>
      <c r="R10" s="346">
        <f>IFERROR(Q10/B10, 0)</f>
        <v/>
      </c>
    </row>
    <row r="11"/>
    <row r="12">
      <c r="A12" s="438" t="n"/>
    </row>
    <row r="13">
      <c r="A13" s="436" t="inlineStr">
        <is>
          <t>👥 2. УДЕРЖАНИЕ КЛИЕНТОВ (CUSTOMER RETENTION RATE M0–M12, %)</t>
        </is>
      </c>
    </row>
    <row r="14">
      <c r="A14" s="218" t="inlineStr">
        <is>
          <t>Когорта</t>
        </is>
      </c>
      <c r="B14" s="218" t="inlineStr">
        <is>
          <t>База (M0)</t>
        </is>
      </c>
      <c r="C14" s="218" t="inlineStr">
        <is>
          <t>M0</t>
        </is>
      </c>
      <c r="D14" s="218" t="inlineStr">
        <is>
          <t>M1</t>
        </is>
      </c>
      <c r="E14" s="218" t="inlineStr">
        <is>
          <t>M2</t>
        </is>
      </c>
      <c r="F14" s="218" t="inlineStr">
        <is>
          <t>M3</t>
        </is>
      </c>
      <c r="G14" s="218" t="inlineStr">
        <is>
          <t>M4</t>
        </is>
      </c>
      <c r="H14" s="218" t="inlineStr">
        <is>
          <t>M5</t>
        </is>
      </c>
      <c r="I14" s="218" t="inlineStr">
        <is>
          <t>M6</t>
        </is>
      </c>
      <c r="J14" s="218" t="inlineStr">
        <is>
          <t>M7</t>
        </is>
      </c>
      <c r="K14" s="218" t="inlineStr">
        <is>
          <t>M8</t>
        </is>
      </c>
      <c r="L14" s="218" t="inlineStr">
        <is>
          <t>M9</t>
        </is>
      </c>
      <c r="M14" s="218" t="inlineStr">
        <is>
          <t>M10</t>
        </is>
      </c>
      <c r="N14" s="218" t="inlineStr">
        <is>
          <t>M11</t>
        </is>
      </c>
      <c r="O14" s="218" t="inlineStr">
        <is>
          <t>M12</t>
        </is>
      </c>
      <c r="P14" s="218" t="inlineStr">
        <is>
          <t>Retention M1-M12</t>
        </is>
      </c>
    </row>
    <row r="15">
      <c r="A15" s="218" t="inlineStr">
        <is>
          <t>2026-09 (Сентябрь)</t>
        </is>
      </c>
      <c r="B15" s="218">
        <f>B9</f>
        <v/>
      </c>
      <c r="C15" s="439" t="n">
        <v>1</v>
      </c>
      <c r="D15" s="439">
        <f>IFERROR(COUNTIFS(raw_payments!$G$2:$G$50000, "*M1*") / B15, 1)</f>
        <v/>
      </c>
      <c r="E15" s="439">
        <f>IFERROR(COUNTIFS(raw_payments!$G$2:$G$50000, "*M2*") / B15, 1)</f>
        <v/>
      </c>
      <c r="F15" s="439" t="n">
        <v>1</v>
      </c>
      <c r="G15" s="439" t="n">
        <v>1</v>
      </c>
      <c r="H15" s="439" t="n">
        <v>1</v>
      </c>
      <c r="I15" s="439" t="n">
        <v>0.95</v>
      </c>
      <c r="J15" s="439" t="n">
        <v>0.95</v>
      </c>
      <c r="K15" s="439" t="n">
        <v>0.9</v>
      </c>
      <c r="L15" s="439" t="n">
        <v>0.9</v>
      </c>
      <c r="M15" s="439" t="n">
        <v>0.85</v>
      </c>
      <c r="N15" s="439" t="n">
        <v>0.85</v>
      </c>
      <c r="O15" s="439" t="n">
        <v>0.85</v>
      </c>
      <c r="P15" s="439">
        <f>AVERAGE(D15:O15)</f>
        <v/>
      </c>
    </row>
    <row r="16">
      <c r="C16" s="439" t="n"/>
      <c r="D16" s="439" t="n"/>
      <c r="E16" s="439" t="n"/>
      <c r="F16" s="439" t="n"/>
      <c r="G16" s="439" t="n"/>
      <c r="H16" s="439" t="n"/>
      <c r="I16" s="439" t="n"/>
      <c r="J16" s="439" t="n"/>
      <c r="K16" s="439" t="n"/>
      <c r="L16" s="439" t="n"/>
      <c r="M16" s="439" t="n"/>
      <c r="N16" s="439" t="n"/>
      <c r="O16" s="439" t="n"/>
      <c r="P16" s="439" t="n"/>
    </row>
    <row r="17">
      <c r="A17" s="438" t="n"/>
    </row>
    <row r="18">
      <c r="A18" s="436" t="inlineStr">
        <is>
          <t>📈 3. ЧИСТОЕ УДЕРЖАНИЕ ВЫРУЧКИ (NET REVENUE RETENTION - NRR M0–M12, %)</t>
        </is>
      </c>
    </row>
    <row r="19">
      <c r="A19" s="218" t="inlineStr">
        <is>
          <t>Когорта</t>
        </is>
      </c>
      <c r="B19" s="218" t="inlineStr">
        <is>
          <t>База M0</t>
        </is>
      </c>
      <c r="C19" s="218" t="inlineStr">
        <is>
          <t>M0</t>
        </is>
      </c>
      <c r="D19" s="218" t="inlineStr">
        <is>
          <t>M1</t>
        </is>
      </c>
      <c r="E19" s="218" t="inlineStr">
        <is>
          <t>M2</t>
        </is>
      </c>
      <c r="F19" s="218" t="inlineStr">
        <is>
          <t>M3</t>
        </is>
      </c>
      <c r="G19" s="218" t="inlineStr">
        <is>
          <t>M4</t>
        </is>
      </c>
      <c r="H19" s="218" t="inlineStr">
        <is>
          <t>M5</t>
        </is>
      </c>
      <c r="I19" s="218" t="inlineStr">
        <is>
          <t>M6</t>
        </is>
      </c>
      <c r="J19" s="218" t="inlineStr">
        <is>
          <t>M7</t>
        </is>
      </c>
      <c r="K19" s="218" t="inlineStr">
        <is>
          <t>M8</t>
        </is>
      </c>
      <c r="L19" s="218" t="inlineStr">
        <is>
          <t>M9</t>
        </is>
      </c>
      <c r="M19" s="218" t="inlineStr">
        <is>
          <t>M10</t>
        </is>
      </c>
      <c r="N19" s="218" t="inlineStr">
        <is>
          <t>M11</t>
        </is>
      </c>
      <c r="O19" s="218" t="inlineStr">
        <is>
          <t>M12</t>
        </is>
      </c>
      <c r="P19" s="218" t="inlineStr">
        <is>
          <t>Кумулятивный NRR</t>
        </is>
      </c>
    </row>
    <row r="20">
      <c r="A20" s="218" t="inlineStr">
        <is>
          <t>2026-09 (Сентябрь)</t>
        </is>
      </c>
      <c r="B20" s="346">
        <f>C9</f>
        <v/>
      </c>
      <c r="C20" s="439">
        <f>C9/B20</f>
        <v/>
      </c>
      <c r="D20" s="439">
        <f>D9/B20</f>
        <v/>
      </c>
      <c r="E20" s="439">
        <f>E9/B20</f>
        <v/>
      </c>
      <c r="F20" s="439">
        <f>F9/B20</f>
        <v/>
      </c>
      <c r="G20" s="439">
        <f>G9/B20</f>
        <v/>
      </c>
      <c r="H20" s="439">
        <f>H9/B20</f>
        <v/>
      </c>
      <c r="I20" s="439">
        <f>I9/B20</f>
        <v/>
      </c>
      <c r="J20" s="439">
        <f>J9/B20</f>
        <v/>
      </c>
      <c r="K20" s="439">
        <f>K9/B20</f>
        <v/>
      </c>
      <c r="L20" s="439">
        <f>L9/B20</f>
        <v/>
      </c>
      <c r="M20" s="439">
        <f>M9/B20</f>
        <v/>
      </c>
      <c r="N20" s="439">
        <f>N9/B20</f>
        <v/>
      </c>
      <c r="O20" s="439">
        <f>O9/B20</f>
        <v/>
      </c>
      <c r="P20" s="439">
        <f>IFERROR(SUM(C9:O9)/B20, 0)</f>
        <v/>
      </c>
    </row>
    <row r="21">
      <c r="C21" s="439" t="n"/>
      <c r="D21" s="439" t="n"/>
      <c r="E21" s="439" t="n"/>
      <c r="F21" s="439" t="n"/>
      <c r="G21" s="439" t="n"/>
      <c r="H21" s="439" t="n"/>
      <c r="I21" s="439" t="n"/>
      <c r="J21" s="439" t="n"/>
      <c r="K21" s="439" t="n"/>
      <c r="L21" s="439" t="n"/>
      <c r="M21" s="439" t="n"/>
      <c r="N21" s="439" t="n"/>
      <c r="O21" s="439" t="n"/>
      <c r="P21" s="439" t="n"/>
    </row>
  </sheetData>
  <mergeCells count="6">
    <mergeCell ref="A7:R7"/>
    <mergeCell ref="A12:R12"/>
    <mergeCell ref="A13:R13"/>
    <mergeCell ref="A1:R1"/>
    <mergeCell ref="A17:R17"/>
    <mergeCell ref="A18:R1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tabColor rgb="FFF2841E"/>
    <outlinePr summaryBelow="0" summaryRight="0"/>
    <pageSetUpPr/>
  </sheetPr>
  <dimension ref="A1:O18"/>
  <sheetViews>
    <sheetView workbookViewId="0">
      <selection activeCell="A1" sqref="A1"/>
    </sheetView>
  </sheetViews>
  <sheetFormatPr baseColWidth="8" defaultColWidth="12.63" defaultRowHeight="15.75" customHeight="1"/>
  <cols>
    <col width="97.25" customWidth="1" style="461" min="1" max="1"/>
    <col width="32.38" customWidth="1" style="461" min="2" max="2"/>
    <col width="26.63" customWidth="1" style="461" min="3" max="3"/>
    <col width="19.88" customWidth="1" style="461" min="4" max="4"/>
    <col width="20.5" customWidth="1" style="461" min="5" max="5"/>
    <col width="66" customWidth="1" style="461" min="6" max="6"/>
    <col width="20.63" customWidth="1" style="461" min="7" max="7"/>
    <col width="14" customWidth="1" style="461" min="8" max="8"/>
    <col width="16.38" customWidth="1" style="461" min="9" max="9"/>
    <col width="15.63" customWidth="1" style="461" min="10" max="10"/>
    <col width="22.88" customWidth="1" style="461" min="11" max="11"/>
    <col width="14.75" customWidth="1" style="461" min="12" max="12"/>
    <col width="15" customWidth="1" style="461" min="13" max="13"/>
    <col width="23.25" customWidth="1" style="461" min="14" max="14"/>
    <col width="36.5" customWidth="1" style="461" min="15" max="15"/>
  </cols>
  <sheetData>
    <row r="1">
      <c r="A1" s="424" t="inlineStr">
        <is>
          <t>👥 РЕСУРСНОЕ ПЛАНИРОВАНИЕ И МАТРИЦА ЕМКОСТИ ОТДЕЛА ПРОДАЖ (CAPACITY PLANNING)</t>
        </is>
      </c>
    </row>
    <row r="2" ht="24" customHeight="1" s="461">
      <c r="A2" s="496">
        <f>HYPERLINK("#'📄 Executive_OnePager'!A1", "📄 1. One-Pager")</f>
        <v/>
      </c>
      <c r="B2" s="496">
        <f>HYPERLINK("#'⚡ Пульс_Компании'!A1", "⚡ 2. Пульс компании")</f>
        <v/>
      </c>
      <c r="C2" s="496">
        <f>HYPERLINK("#'📋 Пульт_РОПа_15_Минут'!A1", "📋 3. Пульт РОПа")</f>
        <v/>
      </c>
      <c r="D2" s="496">
        <f>HYPERLINK("#'💸 Диагностика_Утечек_ОП'!A1", "💸 4. 7 Грехов ОП")</f>
        <v/>
      </c>
      <c r="E2" s="496">
        <f>HYPERLINK("#'🎯 Action_Center'!A1", "🎯 5. Action Center")</f>
        <v/>
      </c>
      <c r="F2" s="496">
        <f>HYPERLINK("#'🎙️ ИИ_Аудит'!A1", "🎙️ 6. ИИ-Аудит")</f>
        <v/>
      </c>
      <c r="G2" s="496">
        <f>HYPERLINK("#'⚡ Экспресс_Калькулятор_3_Цифры'!A1", "⚡ 7. Экспресс 3 цифры")</f>
        <v/>
      </c>
      <c r="H2" s="496">
        <f>HYPERLINK("#'🧪 QA_Suite'!A1", "🧪 8. QA Suite")</f>
        <v/>
      </c>
      <c r="I2" s="496">
        <f>HYPERLINK("#'⚙️ Настройки'!A1", "⚙️ 9. Настройки")</f>
        <v/>
      </c>
    </row>
    <row r="3">
      <c r="A3" s="430" t="inlineStr">
        <is>
          <t>Общая емкость отдела</t>
        </is>
      </c>
      <c r="B3" s="430" t="n"/>
      <c r="C3" s="430" t="inlineStr">
        <is>
          <t>Сделок в работе</t>
        </is>
      </c>
      <c r="D3" s="430" t="n"/>
      <c r="E3" s="430" t="inlineStr">
        <is>
          <t>Средняя загрузка ОП</t>
        </is>
      </c>
      <c r="F3" s="430" t="n"/>
      <c r="G3" s="430" t="inlineStr">
        <is>
          <t>Enterprise сделок (&gt;500к)</t>
        </is>
      </c>
      <c r="H3" s="430" t="n"/>
      <c r="I3" s="430" t="inlineStr">
        <is>
          <t>SMB сделок (&lt;500к)</t>
        </is>
      </c>
      <c r="J3" s="430" t="n"/>
      <c r="K3" s="430" t="inlineStr">
        <is>
          <t>Время переговоров (мин)</t>
        </is>
      </c>
      <c r="L3" s="430" t="n"/>
    </row>
    <row r="4">
      <c r="A4" s="437">
        <f>SUM(D7:D9)</f>
        <v/>
      </c>
      <c r="B4" s="437" t="n"/>
      <c r="C4" s="437">
        <f>COUNTIF(raw_deals!$D$2:$D50000, "&lt;6")</f>
        <v/>
      </c>
      <c r="D4" s="437" t="n"/>
      <c r="E4" s="434">
        <f>AVERAGE(L7:L9)</f>
        <v/>
      </c>
      <c r="F4" s="434" t="n"/>
      <c r="G4" s="437">
        <f>COUNTIFS(raw_deals!$D$2:$D50000, "&lt;6", raw_deals!$I$2:$I50000, "SEG1")</f>
        <v/>
      </c>
      <c r="H4" s="437" t="n"/>
      <c r="I4" s="437">
        <f>COUNTIFS(raw_deals!$D$2:$D50000, "&lt;6", raw_deals!$I$2:$I50000, "SEG2")</f>
        <v/>
      </c>
      <c r="J4" s="437" t="n"/>
      <c r="K4" s="437">
        <f>ROUND(SUM(raw_calls!$E$2:$E50000)/60, 1)</f>
        <v/>
      </c>
      <c r="L4" s="437" t="n"/>
    </row>
    <row r="5">
      <c r="A5" s="218" t="inlineStr">
        <is>
          <t>Норматив: 70 сделок</t>
        </is>
      </c>
      <c r="C5" s="218" t="inlineStr">
        <is>
          <t>Текущий активный пул</t>
        </is>
      </c>
      <c r="E5" s="218" t="inlineStr">
        <is>
          <t>Целевой коридор: 60-80%</t>
        </is>
      </c>
      <c r="G5" s="218" t="inlineStr">
        <is>
          <t>Высокий приоритет РОПа</t>
        </is>
      </c>
      <c r="I5" s="218" t="inlineStr">
        <is>
          <t>Поток КАМа и SDR</t>
        </is>
      </c>
      <c r="K5" s="218" t="inlineStr">
        <is>
          <t>Фактическое время звонков</t>
        </is>
      </c>
    </row>
    <row r="6"/>
    <row r="7">
      <c r="A7" s="436" t="inlineStr">
        <is>
          <t>ID CRM</t>
        </is>
      </c>
      <c r="B7" s="436" t="inlineStr">
        <is>
          <t>Менеджер</t>
        </is>
      </c>
      <c r="C7" s="436" t="inlineStr">
        <is>
          <t>Роль</t>
        </is>
      </c>
      <c r="D7" s="436" t="inlineStr">
        <is>
          <t>Лимит емкости</t>
        </is>
      </c>
      <c r="E7" s="436" t="inlineStr">
        <is>
          <t>Сделок в работе</t>
        </is>
      </c>
      <c r="F7" s="436" t="inlineStr">
        <is>
          <t>Enterprise (SEG1)</t>
        </is>
      </c>
      <c r="G7" s="436" t="inlineStr">
        <is>
          <t>SMB (SEG2)</t>
        </is>
      </c>
      <c r="H7" s="436" t="inlineStr">
        <is>
          <t>Пайплайн в работе</t>
        </is>
      </c>
      <c r="I7" s="436" t="inlineStr">
        <is>
          <t>Звонков</t>
        </is>
      </c>
      <c r="J7" s="436" t="inlineStr">
        <is>
          <t>Время звонков (мин)</t>
        </is>
      </c>
      <c r="K7" s="436" t="inlineStr">
        <is>
          <t>Взвешенная нагрузка</t>
        </is>
      </c>
      <c r="L7" s="436" t="inlineStr">
        <is>
          <t>Загрузка емкости %</t>
        </is>
      </c>
      <c r="M7" s="436" t="inlineStr">
        <is>
          <t>Индикатор нагрузки</t>
        </is>
      </c>
      <c r="N7" s="436" t="inlineStr">
        <is>
          <t>Статус загрузки</t>
        </is>
      </c>
      <c r="O7" s="436" t="inlineStr">
        <is>
          <t>Маршрутизация очереди лидов</t>
        </is>
      </c>
    </row>
    <row r="8">
      <c r="A8" s="218" t="n">
        <v>101</v>
      </c>
      <c r="B8" s="218" t="inlineStr">
        <is>
          <t>Иванов Дмитрий (РОП)</t>
        </is>
      </c>
      <c r="C8" s="218" t="inlineStr">
        <is>
          <t>ROP</t>
        </is>
      </c>
      <c r="D8" s="218" t="n">
        <v>5</v>
      </c>
      <c r="E8" s="218">
        <f>COUNTIFS(raw_deals!$H$2:$H50000, A8, raw_deals!$D$2:$D50000, "&lt;6")</f>
        <v/>
      </c>
      <c r="F8" s="218">
        <f>COUNTIFS(raw_deals!$H$2:$H50000, A8, raw_deals!$D$2:$D50000, "&lt;6", raw_deals!$I$2:$I50000, "SEG1")</f>
        <v/>
      </c>
      <c r="G8" s="218">
        <f>COUNTIFS(raw_deals!$H$2:$H50000, A8, raw_deals!$D$2:$D50000, "&lt;6", raw_deals!$I$2:$I50000, "SEG2")</f>
        <v/>
      </c>
      <c r="H8" s="346">
        <f>SUMIFS(raw_deals!$C$2:$C50000, raw_deals!$H$2:$H50000, A8, raw_deals!$D$2:$D50000, "&lt;6")</f>
        <v/>
      </c>
      <c r="I8" s="218">
        <f>COUNTIF(raw_calls!$C$2:$C100, A8)</f>
        <v/>
      </c>
      <c r="J8" s="218">
        <f>ROUND(SUMIF(raw_calls!$C$2:$C100, A8, raw_calls!$E$2:$E100)/60, 1)</f>
        <v/>
      </c>
      <c r="K8" s="218">
        <f>F8*2 + G8*1</f>
        <v/>
      </c>
      <c r="L8" s="439">
        <f>IFERROR(K8/D8, 0)</f>
        <v/>
      </c>
      <c r="M8" s="218">
        <f>REPT("█", MIN(10, MAX(0, INT(L8*10)))) &amp; REPT("░", MAX(0, 10 - INT(L8*10))) &amp; " " &amp; TEXT(L8, "0% ") &amp; IF(L8&gt;=0.9,"🔴",IF(L8&gt;=0.6,"🟡","🟢"))</f>
        <v/>
      </c>
      <c r="N8" s="218">
        <f>IF(L8&gt;=0.9, "🔴 ПЕРЕГРУЗ (СТОП)", IF(L8&gt;=0.6, "🟡 ВЫСОКАЯ ЗАГРУЗКА", "🟢 В НОРМЕ"))</f>
        <v/>
      </c>
      <c r="O8" s="218">
        <f>IF(L8&gt;=0.8, "⛔ Приостановить лиды (только VIP &gt;2M)", "✅ Открыт для распределения")</f>
        <v/>
      </c>
    </row>
    <row r="9">
      <c r="A9" s="218" t="n">
        <v>102</v>
      </c>
      <c r="B9" s="218" t="inlineStr">
        <is>
          <t>Петров Александр (КАМ)</t>
        </is>
      </c>
      <c r="C9" s="218" t="inlineStr">
        <is>
          <t>KAM</t>
        </is>
      </c>
      <c r="D9" s="218" t="n">
        <v>25</v>
      </c>
      <c r="E9" s="218">
        <f>COUNTIFS(raw_deals!$H$2:$H50000, A9, raw_deals!$D$2:$D50000, "&lt;6")</f>
        <v/>
      </c>
      <c r="F9" s="218">
        <f>COUNTIFS(raw_deals!$H$2:$H50000, A9, raw_deals!$D$2:$D50000, "&lt;6", raw_deals!$I$2:$I50000, "SEG1")</f>
        <v/>
      </c>
      <c r="G9" s="218">
        <f>COUNTIFS(raw_deals!$H$2:$H50000, A9, raw_deals!$D$2:$D50000, "&lt;6", raw_deals!$I$2:$I50000, "SEG2")</f>
        <v/>
      </c>
      <c r="H9" s="346">
        <f>SUMIFS(raw_deals!$C$2:$C50000, raw_deals!$H$2:$H50000, A9, raw_deals!$D$2:$D50000, "&lt;6")</f>
        <v/>
      </c>
      <c r="I9" s="218">
        <f>COUNTIF(raw_calls!$C$2:$C100, A9)</f>
        <v/>
      </c>
      <c r="J9" s="218">
        <f>ROUND(SUMIF(raw_calls!$C$2:$C100, A9, raw_calls!$E$2:$E100)/60, 1)</f>
        <v/>
      </c>
      <c r="K9" s="218">
        <f>F9*2 + G9*1</f>
        <v/>
      </c>
      <c r="L9" s="439">
        <f>IFERROR(K9/D9, 0)</f>
        <v/>
      </c>
      <c r="M9" s="218">
        <f>REPT("█", MIN(10, MAX(0, INT(L9*10)))) &amp; REPT("░", MAX(0, 10 - INT(L9*10))) &amp; " " &amp; TEXT(L9, "0% ") &amp; IF(L9&gt;=0.9,"🔴",IF(L9&gt;=0.6,"🟡","🟢"))</f>
        <v/>
      </c>
      <c r="N9" s="218">
        <f>IF(L9&gt;=0.9, "🔴 ПЕРЕГРУЗ (СТОП)", IF(L9&gt;=0.6, "🟡 ВЫСОКАЯ ЗАГРУЗКА", "🟢 СВОБОДЕН (НЕДОГРУЗ)"))</f>
        <v/>
      </c>
      <c r="O9" s="218">
        <f>IF(L9&lt;0.3, "🚀 ПРИОРИТЕТ: направить 100% входящих SMB", "✅ Открыт для распределения")</f>
        <v/>
      </c>
    </row>
    <row r="10">
      <c r="A10" s="218" t="n">
        <v>103</v>
      </c>
      <c r="B10" s="218" t="inlineStr">
        <is>
          <t>Сидоров Роман (SDR)</t>
        </is>
      </c>
      <c r="C10" s="218" t="inlineStr">
        <is>
          <t>SDR</t>
        </is>
      </c>
      <c r="D10" s="218" t="n">
        <v>40</v>
      </c>
      <c r="E10" s="218">
        <f>COUNTIFS(raw_deals!$H$2:$H50000, A10, raw_deals!$D$2:$D50000, "&lt;6")</f>
        <v/>
      </c>
      <c r="F10" s="218">
        <f>COUNTIFS(raw_deals!$H$2:$H50000, A10, raw_deals!$D$2:$D50000, "&lt;6", raw_deals!$I$2:$I50000, "SEG1")</f>
        <v/>
      </c>
      <c r="G10" s="218">
        <f>COUNTIFS(raw_deals!$H$2:$H50000, A10, raw_deals!$D$2:$D50000, "&lt;6", raw_deals!$I$2:$I50000, "SEG2")</f>
        <v/>
      </c>
      <c r="H10" s="346">
        <f>SUMIFS(raw_deals!$C$2:$C50000, raw_deals!$H$2:$H50000, A10, raw_deals!$D$2:$D50000, "&lt;6")</f>
        <v/>
      </c>
      <c r="I10" s="218">
        <f>COUNTIF(raw_calls!$C$2:$C100, A10)</f>
        <v/>
      </c>
      <c r="J10" s="218">
        <f>ROUND(SUMIF(raw_calls!$C$2:$C100, A10, raw_calls!$E$2:$E100)/60, 1)</f>
        <v/>
      </c>
      <c r="K10" s="218">
        <f>F10*2 + G10*1</f>
        <v/>
      </c>
      <c r="L10" s="439">
        <f>IFERROR(K10/D10, 0)</f>
        <v/>
      </c>
      <c r="M10" s="218">
        <f>REPT("█", MIN(10, MAX(0, INT(L10*10)))) &amp; REPT("░", MAX(0, 10 - INT(L10*10))) &amp; " " &amp; TEXT(L10, "0% ") &amp; IF(L10&gt;=0.9,"🔴",IF(L10&gt;=0.6,"🟡","🟢"))</f>
        <v/>
      </c>
      <c r="N10" s="218">
        <f>IF(L10&gt;=0.9, "🔴 ПЕРЕГРУЗ (СТОП)", IF(L10&gt;=0.6, "🟡 ВЫСОКАЯ ЗАГРУЗКА", "🟢 В НОРМЕ"))</f>
        <v/>
      </c>
      <c r="O10" s="218">
        <f>IF(L10&gt;=0.8, "⚠️ Контроль первичной квалификации", "✅ Ведет квалификацию лидов")</f>
        <v/>
      </c>
    </row>
    <row r="11">
      <c r="A11" s="218" t="inlineStr">
        <is>
          <t>ИТОГО ПО ОТДЕЛУ</t>
        </is>
      </c>
      <c r="D11" s="218">
        <f>SUM(D8:D10)</f>
        <v/>
      </c>
      <c r="E11" s="218">
        <f>SUM(E8:E10)</f>
        <v/>
      </c>
      <c r="F11" s="218">
        <f>SUM(F8:F10)</f>
        <v/>
      </c>
      <c r="G11" s="218">
        <f>SUM(G8:G10)</f>
        <v/>
      </c>
      <c r="H11" s="346">
        <f>SUM(H8:H10)</f>
        <v/>
      </c>
      <c r="I11" s="218">
        <f>SUM(I8:I10)</f>
        <v/>
      </c>
      <c r="J11" s="218">
        <f>SUM(J8:J10)</f>
        <v/>
      </c>
      <c r="K11" s="218">
        <f>SUM(K8:K10)</f>
        <v/>
      </c>
      <c r="L11" s="439">
        <f>AVERAGE(L8:L10)</f>
        <v/>
      </c>
      <c r="M11" s="218">
        <f>SUM(M8:M10)</f>
        <v/>
      </c>
      <c r="N11" s="218" t="inlineStr">
        <is>
          <t>🟢 ОБЩАЯ ЕМКОСТЬ В НОРМЕ</t>
        </is>
      </c>
      <c r="O11" s="218" t="inlineStr">
        <is>
          <t>🎯 Требуется догрузка КАМа (SMB)</t>
        </is>
      </c>
    </row>
    <row r="12"/>
    <row r="13">
      <c r="A13" s="438" t="inlineStr">
        <is>
          <t>⚖️ АВТОМАТИЧЕСКИЕ ПРАВИЛА БАЛАНСИРОВКИ ОЧЕРЕДИ ЛИДОВ (REVOP ROUTING &amp; OVERFLOW ENGINE)</t>
        </is>
      </c>
    </row>
    <row r="14">
      <c r="A14" s="436" t="inlineStr">
        <is>
          <t>Сегмент сделки</t>
        </is>
      </c>
      <c r="B14" s="436" t="inlineStr">
        <is>
          <t>Критерии и скоринг</t>
        </is>
      </c>
      <c r="C14" s="436" t="inlineStr">
        <is>
          <t>Ответственный менеджер</t>
        </is>
      </c>
      <c r="D14" s="436" t="inlineStr">
        <is>
          <t>Статус доступности</t>
        </is>
      </c>
      <c r="E14" s="436" t="inlineStr">
        <is>
          <t>Текущая загрузка</t>
        </is>
      </c>
      <c r="F14" s="436" t="inlineStr">
        <is>
          <t>Автоматическое действие RevOps Engine</t>
        </is>
      </c>
    </row>
    <row r="15">
      <c r="A15" s="218" t="inlineStr">
        <is>
          <t>Крупный бизнес (Enterprise)</t>
        </is>
      </c>
      <c r="B15" s="218" t="inlineStr">
        <is>
          <t>Чек &gt; 1 000 000 ₽ (Tier A)</t>
        </is>
      </c>
      <c r="C15" s="218" t="inlineStr">
        <is>
          <t>Иванов Дмитрий (РОП)</t>
        </is>
      </c>
      <c r="D15" s="218" t="inlineStr">
        <is>
          <t>⚠️ ОГРАНИЧЕН</t>
        </is>
      </c>
      <c r="E15" s="439">
        <f>L8</f>
        <v/>
      </c>
      <c r="F15" s="218" t="inlineStr">
        <is>
          <t>⛔ Взвешенная нагрузка 80%. Прием только ключевых тендеров и VIP-запросов</t>
        </is>
      </c>
    </row>
    <row r="16">
      <c r="A16" s="218" t="inlineStr">
        <is>
          <t>Средний бизнес (SMB)</t>
        </is>
      </c>
      <c r="B16" s="218" t="inlineStr">
        <is>
          <t>Чек 150 000 – 1 000 000 ₽ (Tier B)</t>
        </is>
      </c>
      <c r="C16" s="218" t="inlineStr">
        <is>
          <t>Петров Александр (КАМ)</t>
        </is>
      </c>
      <c r="D16" s="218" t="inlineStr">
        <is>
          <t>🚀 ВЫСОКИЙ ПРИОРИТЕТ</t>
        </is>
      </c>
      <c r="E16" s="439">
        <f>L9</f>
        <v/>
      </c>
      <c r="F16" s="218" t="inlineStr">
        <is>
          <t>🚀 Загрузка всего 4%. Направлять 100% новых входящих квалифицированных сделок</t>
        </is>
      </c>
    </row>
    <row r="17">
      <c r="A17" s="218" t="inlineStr">
        <is>
          <t>Входящий поток (Inbound Leads)</t>
        </is>
      </c>
      <c r="B17" s="218" t="inlineStr">
        <is>
          <t>Первичные лиды с сайта и рекламы</t>
        </is>
      </c>
      <c r="C17" s="218" t="inlineStr">
        <is>
          <t>Сидоров Роман (SDR)</t>
        </is>
      </c>
      <c r="D17" s="218" t="inlineStr">
        <is>
          <t>🟢 В НОРМЕ</t>
        </is>
      </c>
      <c r="E17" s="439">
        <f>L10</f>
        <v/>
      </c>
      <c r="F17" s="218" t="inlineStr">
        <is>
          <t>✅ Квалификация по чек-листу за 15 мин, передача в KAM при сумме &lt; 1M ₽</t>
        </is>
      </c>
    </row>
    <row r="18">
      <c r="A18" s="218" t="inlineStr">
        <is>
          <t>Резервный перелив (Overflow)</t>
        </is>
      </c>
      <c r="B18" s="218" t="inlineStr">
        <is>
          <t>Внеурочные лиды и превышение лимита</t>
        </is>
      </c>
      <c r="C18" s="218" t="inlineStr">
        <is>
          <t>Автоматический распределитель</t>
        </is>
      </c>
      <c r="D18" s="218" t="inlineStr">
        <is>
          <t>🤖 АКТИВЕН</t>
        </is>
      </c>
      <c r="E18" s="439" t="n">
        <v>0</v>
      </c>
      <c r="F18" s="218" t="inlineStr">
        <is>
          <t>🔄 При достижении менеджером 90% емкости лид удерживается в буфере очереди</t>
        </is>
      </c>
    </row>
  </sheetData>
  <mergeCells count="2">
    <mergeCell ref="A13:F13"/>
    <mergeCell ref="A1:O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tabColor rgb="FF2666B2"/>
    <outlinePr summaryBelow="0" summaryRight="0"/>
    <pageSetUpPr/>
  </sheetPr>
  <dimension ref="A1:I20"/>
  <sheetViews>
    <sheetView workbookViewId="0">
      <selection activeCell="A1" sqref="A1"/>
    </sheetView>
  </sheetViews>
  <sheetFormatPr baseColWidth="8" defaultColWidth="12.63" defaultRowHeight="15.75" customHeight="1"/>
  <cols>
    <col width="86.5" customWidth="1" style="461" min="1" max="1"/>
    <col width="15.75" customWidth="1" style="461" min="2" max="2"/>
    <col width="13.25" customWidth="1" style="461" min="3" max="3"/>
    <col width="14.5" customWidth="1" style="461" min="4" max="4"/>
    <col width="14.63" customWidth="1" style="461" min="5" max="5"/>
    <col width="19.75" customWidth="1" style="461" min="6" max="6"/>
  </cols>
  <sheetData>
    <row r="1">
      <c r="A1" s="441" t="inlineStr">
        <is>
          <t>💼 CALC_SALES: ДОМЕННЫЙ ДВИЖОК ПРОДАЖ, ВОРОНКИ И ПРОИЗВОДИТЕЛЬНОСТИ ОП</t>
        </is>
      </c>
      <c r="B1" s="441" t="n"/>
      <c r="C1" s="441" t="n"/>
      <c r="D1" s="441" t="n"/>
      <c r="E1" s="441" t="n"/>
      <c r="F1" s="441" t="n"/>
      <c r="G1" s="441" t="n"/>
      <c r="H1" s="441" t="n"/>
    </row>
    <row r="2" ht="22.5" customHeight="1" s="461">
      <c r="A2" s="248">
        <f>HYPERLINK("#gid=1377308911", "📄 1. One-Pager")</f>
        <v/>
      </c>
      <c r="B2" s="442">
        <f>HYPERLINK("#gid=1847360667", "⚡ 2. Пульс компании")</f>
        <v/>
      </c>
      <c r="C2" s="248">
        <f>HYPERLINK("#gid=777000301", "📋 3. Пульт РОПа")</f>
        <v/>
      </c>
      <c r="D2" s="248">
        <f>HYPERLINK("#gid=777000101", "💸 4. 7 Грехов ОП")</f>
        <v/>
      </c>
      <c r="E2" s="248">
        <f>HYPERLINK("#gid=811060921", "🎯 5. Action Center")</f>
        <v/>
      </c>
      <c r="F2" s="248">
        <f>HYPERLINK("#gid=852624872", "🎙️ 6. ИИ-Аудит")</f>
        <v/>
      </c>
      <c r="G2" s="248">
        <f>HYPERLINK("#gid=777000201", "⚡ 7. Экспресс 3 цифры")</f>
        <v/>
      </c>
      <c r="H2" s="248">
        <f>HYPERLINK("#gid=60692888", "🧪 8. QA Suite")</f>
        <v/>
      </c>
      <c r="I2" s="248">
        <f>HYPERLINK("#gid=985355776", "⚙️ 9. Настройки")</f>
        <v/>
      </c>
    </row>
    <row r="3">
      <c r="A3" s="444" t="inlineStr">
        <is>
          <t>Метрика продаж</t>
        </is>
      </c>
      <c r="B3" s="444" t="inlineStr">
        <is>
          <t>Формула / Источник</t>
        </is>
      </c>
      <c r="C3" s="444" t="inlineStr">
        <is>
          <t>Значение</t>
        </is>
      </c>
      <c r="D3" s="444" t="inlineStr">
        <is>
          <t>Ед. изм.</t>
        </is>
      </c>
      <c r="E3" s="444" t="inlineStr">
        <is>
          <t>Целевой бенчмарк</t>
        </is>
      </c>
      <c r="F3" s="444" t="inlineStr">
        <is>
          <t>Статус</t>
        </is>
      </c>
      <c r="G3" s="444" t="n"/>
      <c r="H3" s="444" t="n"/>
    </row>
    <row r="4">
      <c r="A4" s="265" t="inlineStr">
        <is>
          <t>Открытых сделок в воронке (этапы 1..5)</t>
        </is>
      </c>
      <c r="B4" s="265">
        <f>COUNTIF(raw_deals!$D$2:$D50000, "&lt;=5")</f>
        <v/>
      </c>
      <c r="C4" s="265">
        <f>calc_engine!B16</f>
        <v/>
      </c>
      <c r="D4" s="265" t="inlineStr">
        <is>
          <t>сделок</t>
        </is>
      </c>
      <c r="E4" s="265" t="inlineStr">
        <is>
          <t>5..15 сделок</t>
        </is>
      </c>
      <c r="F4" s="265">
        <f>IF(C4&gt;=5, "🟢 В НОРМЕ", "⚠️ НИЗКИЙ ПАЙПЛАЙН")</f>
        <v/>
      </c>
      <c r="G4" s="265" t="n"/>
      <c r="H4" s="265" t="n"/>
    </row>
    <row r="5">
      <c r="A5" s="265" t="inlineStr">
        <is>
          <t>Сумма активного пайплайна (Pipeline Value)</t>
        </is>
      </c>
      <c r="B5" s="265">
        <f>SUMIF(raw_deals!$D$2:$D50000, "&lt;=5", raw_deals!$C$2:$C50000)</f>
        <v/>
      </c>
      <c r="C5" s="265">
        <f>calc_engine!B17</f>
        <v/>
      </c>
      <c r="D5" s="265" t="inlineStr">
        <is>
          <t>₽</t>
        </is>
      </c>
      <c r="E5" s="265" t="inlineStr">
        <is>
          <t>&gt;= 5,000,000 ₽</t>
        </is>
      </c>
      <c r="F5" s="265">
        <f>IF(C5&gt;=5000000, "🟢 В НОРМЕ", "⚠️ ДЕФИЦИТ")</f>
        <v/>
      </c>
      <c r="G5" s="265" t="n"/>
      <c r="H5" s="265" t="n"/>
    </row>
    <row r="6">
      <c r="A6" s="265" t="inlineStr">
        <is>
          <t>Взвешенный пайплайн (Weighted Pipeline)</t>
        </is>
      </c>
      <c r="B6" s="265">
        <f>SUMIF(raw_deals!$D$2:$D50000, "&lt;=5", raw_deals!$S$2:$S50000)</f>
        <v/>
      </c>
      <c r="C6" s="265">
        <f>calc_engine!B18</f>
        <v/>
      </c>
      <c r="D6" s="265" t="inlineStr">
        <is>
          <t>₽</t>
        </is>
      </c>
      <c r="E6" s="265" t="inlineStr">
        <is>
          <t>&gt;= 2,500,000 ₽</t>
        </is>
      </c>
      <c r="F6" s="265">
        <f>IF(C6&gt;=2500000, "🟢 ВЫСОКИЙ", "🟡 СРЕДНИЙ")</f>
        <v/>
      </c>
      <c r="G6" s="265" t="n"/>
      <c r="H6" s="265" t="n"/>
    </row>
    <row r="7">
      <c r="A7" s="265" t="inlineStr">
        <is>
          <t>Фактическая выручка Closed-Won</t>
        </is>
      </c>
      <c r="B7" s="265">
        <f>SUMIF(raw_deals!$D$2:$D50000, 6, raw_deals!$C$2:$C50000)</f>
        <v/>
      </c>
      <c r="C7" s="265">
        <f>calc_engine!B19</f>
        <v/>
      </c>
      <c r="D7" s="265" t="inlineStr">
        <is>
          <t>₽</t>
        </is>
      </c>
      <c r="E7" s="264">
        <f> '⚙️ Настройки'!$B$9</f>
        <v/>
      </c>
      <c r="F7" s="265">
        <f>IF(C7&gt;='⚙️ Настройки'!$B$9, "🟢 ПЛАН ВЫПОЛНЕН", "🟡 В ПРОЦЕССЕ")</f>
        <v/>
      </c>
      <c r="G7" s="265" t="n"/>
      <c r="H7" s="265" t="n"/>
    </row>
    <row r="8">
      <c r="A8" s="265" t="inlineStr">
        <is>
          <t>Темп выполнения плана выручки</t>
        </is>
      </c>
      <c r="B8" s="265">
        <f>calc_engine!B19/'⚙️ Настройки'!$B$9</f>
        <v/>
      </c>
      <c r="C8" s="265">
        <f>calc_engine!B20</f>
        <v/>
      </c>
      <c r="D8" s="265" t="inlineStr">
        <is>
          <t>%</t>
        </is>
      </c>
      <c r="E8" s="447" t="n">
        <v>1</v>
      </c>
      <c r="F8" s="265">
        <f>IF(C8&gt;=0.85, "🟢 В ГРАФИКЕ", "⚠️ ОТСТАВАНИЕ")</f>
        <v/>
      </c>
      <c r="G8" s="265" t="n"/>
      <c r="H8" s="265" t="n"/>
    </row>
    <row r="9">
      <c r="A9" s="265" t="inlineStr">
        <is>
          <t>Средний чек выигранной сделки (AOV)</t>
        </is>
      </c>
      <c r="B9" s="265">
        <f>calc_engine!B19/MAX(calc_engine!B22, 1)</f>
        <v/>
      </c>
      <c r="C9" s="265">
        <f>calc_engine!B21</f>
        <v/>
      </c>
      <c r="D9" s="265" t="inlineStr">
        <is>
          <t>₽</t>
        </is>
      </c>
      <c r="E9" s="265" t="inlineStr">
        <is>
          <t>&gt;= 500,000 ₽</t>
        </is>
      </c>
      <c r="F9" s="265">
        <f>IF(C9&gt;=500000, "🟢 КРУПНЫЙ ЧЕК", "🟡 СТАНДАРТ")</f>
        <v/>
      </c>
      <c r="G9" s="265" t="n"/>
      <c r="H9" s="265" t="n"/>
    </row>
    <row r="10">
      <c r="A10" s="265" t="inlineStr">
        <is>
          <t>Количество выигранных сделок (Closed-Won)</t>
        </is>
      </c>
      <c r="B10" s="265">
        <f>COUNTIF(raw_deals!$D$2:$D50000, 6)</f>
        <v/>
      </c>
      <c r="C10" s="265">
        <f>calc_engine!B22</f>
        <v/>
      </c>
      <c r="D10" s="265" t="inlineStr">
        <is>
          <t>сделок</t>
        </is>
      </c>
      <c r="E10" s="265" t="inlineStr">
        <is>
          <t>&gt;= 2</t>
        </is>
      </c>
      <c r="F10" s="265" t="inlineStr">
        <is>
          <t>🟢 PASS</t>
        </is>
      </c>
      <c r="G10" s="265" t="n"/>
      <c r="H10" s="265" t="n"/>
    </row>
    <row r="11">
      <c r="A11" s="265" t="inlineStr">
        <is>
          <t>Количество проигранных сделок (Closed-Lost)</t>
        </is>
      </c>
      <c r="B11" s="265">
        <f>COUNTIF(raw_deals!$D$2:$D50000, 7)</f>
        <v/>
      </c>
      <c r="C11" s="265">
        <f>calc_engine!B23</f>
        <v/>
      </c>
      <c r="D11" s="265" t="inlineStr">
        <is>
          <t>сделок</t>
        </is>
      </c>
      <c r="E11" s="265" t="inlineStr">
        <is>
          <t>&lt;= 5</t>
        </is>
      </c>
      <c r="F11" s="265" t="inlineStr">
        <is>
          <t>🟢 В НОРМЕ</t>
        </is>
      </c>
      <c r="G11" s="265" t="n"/>
      <c r="H11" s="265" t="n"/>
    </row>
    <row r="12">
      <c r="A12" s="265" t="inlineStr">
        <is>
          <t>Конверсия воронки (Win Rate)</t>
        </is>
      </c>
      <c r="B12" s="265">
        <f>calc_engine!B22/MAX(calc_engine!B22+calc_engine!B23, 1)</f>
        <v/>
      </c>
      <c r="C12" s="265">
        <f>calc_engine!B24</f>
        <v/>
      </c>
      <c r="D12" s="265" t="inlineStr">
        <is>
          <t>%</t>
        </is>
      </c>
      <c r="E12" s="265" t="inlineStr">
        <is>
          <t>&gt;= 30.0%</t>
        </is>
      </c>
      <c r="F12" s="265">
        <f>IF(C12&gt;=0.3, "🟢 ВЫСОКАЯ КОНВЕРСИЯ", "⚠️ НИЗКАЯ")</f>
        <v/>
      </c>
      <c r="G12" s="265" t="n"/>
      <c r="H12" s="265" t="n"/>
    </row>
    <row r="13">
      <c r="A13" s="265" t="inlineStr">
        <is>
          <t>Средний цикл сделки (Cycle Days)</t>
        </is>
      </c>
      <c r="B13" s="265">
        <f>AVERAGEIFS(raw_deals!$T$2:$T50000, raw_deals!$D$2:$D50000, 6)</f>
        <v/>
      </c>
      <c r="C13" s="265">
        <f>calc_engine!B25</f>
        <v/>
      </c>
      <c r="D13" s="265" t="inlineStr">
        <is>
          <t>дней</t>
        </is>
      </c>
      <c r="E13" s="265" t="inlineStr">
        <is>
          <t>&lt;= 14 дн</t>
        </is>
      </c>
      <c r="F13" s="265">
        <f>IF(C13&lt;=14, "🟢 БЫСТРЫЙ ЦИКЛ", "⚠️ ЗАТЯНУТ")</f>
        <v/>
      </c>
      <c r="G13" s="265" t="n"/>
      <c r="H13" s="265" t="n"/>
    </row>
    <row r="14">
      <c r="A14" s="265" t="inlineStr">
        <is>
          <t>Индекс соблюдения регламентов SLA воронки</t>
        </is>
      </c>
      <c r="B14" s="265">
        <f>COUNTIFS(raw_deals!$D$2:$D50000, "&lt;=5", raw_deals!$Q$2:$Q50000, "&lt;=2")/MAX(calc_engine!B16, 1)</f>
        <v/>
      </c>
      <c r="C14" s="265">
        <f>calc_engine!B31</f>
        <v/>
      </c>
      <c r="D14" s="265" t="inlineStr">
        <is>
          <t>%</t>
        </is>
      </c>
      <c r="E14" s="265" t="inlineStr">
        <is>
          <t>&gt;= 90.0%</t>
        </is>
      </c>
      <c r="F14" s="265">
        <f>IF(C14&gt;=0.9, "🟢 SLA СОБЛЮДЕН", "⚠️ СРЫВ SLA")</f>
        <v/>
      </c>
      <c r="G14" s="265" t="n"/>
      <c r="H14" s="265" t="n"/>
    </row>
    <row r="15">
      <c r="A15" s="265" t="inlineStr">
        <is>
          <t>Доля клиентской базы РОПа Иванова (Емкость)</t>
        </is>
      </c>
      <c r="B15" s="265">
        <f>COUNTIFS(raw_deals!$H$2:$H50000, 101, raw_deals!$D$2:$D50000, "&lt;=5")/MAX(calc_engine!B16, 1)</f>
        <v/>
      </c>
      <c r="C15" s="450">
        <f>calc_engine!B35</f>
        <v/>
      </c>
      <c r="D15" s="265" t="inlineStr">
        <is>
          <t>%</t>
        </is>
      </c>
      <c r="E15" s="265" t="inlineStr">
        <is>
          <t>&lt;= 30.0%</t>
        </is>
      </c>
      <c r="F15" s="265">
        <f>IF(C15&lt;=0.3, "🟢 БАЛАНС", "🔴 ПЕРЕГРУЗ РОПА")</f>
        <v/>
      </c>
      <c r="G15" s="265" t="n"/>
      <c r="H15" s="265" t="n"/>
    </row>
    <row r="16">
      <c r="A16" s="265" t="n"/>
      <c r="B16" s="265" t="n"/>
      <c r="C16" s="265" t="n"/>
      <c r="D16" s="265" t="n"/>
      <c r="E16" s="265" t="n"/>
      <c r="F16" s="265" t="n"/>
      <c r="G16" s="265" t="n"/>
      <c r="H16" s="265" t="n"/>
    </row>
    <row r="17">
      <c r="A17" s="265" t="n"/>
      <c r="B17" s="265" t="n"/>
      <c r="C17" s="265" t="n"/>
      <c r="D17" s="265" t="n"/>
      <c r="E17" s="265" t="n"/>
      <c r="F17" s="265" t="n"/>
      <c r="G17" s="265" t="n"/>
      <c r="H17" s="265" t="n"/>
    </row>
    <row r="18">
      <c r="A18" s="265" t="n"/>
      <c r="B18" s="265" t="n"/>
      <c r="C18" s="265" t="n"/>
      <c r="D18" s="265" t="n"/>
      <c r="E18" s="265" t="n"/>
      <c r="F18" s="265" t="n"/>
      <c r="G18" s="265" t="n"/>
      <c r="H18" s="265" t="n"/>
    </row>
    <row r="19">
      <c r="A19" s="265" t="n"/>
      <c r="B19" s="265" t="n"/>
      <c r="C19" s="265" t="n"/>
      <c r="D19" s="265" t="n"/>
      <c r="E19" s="265" t="n"/>
      <c r="F19" s="265" t="n"/>
      <c r="G19" s="265" t="n"/>
      <c r="H19" s="265" t="n"/>
    </row>
    <row r="20">
      <c r="A20" s="265" t="n"/>
      <c r="B20" s="265" t="n"/>
      <c r="C20" s="265" t="n"/>
      <c r="D20" s="265" t="n"/>
      <c r="E20" s="265" t="n"/>
      <c r="F20" s="265" t="n"/>
      <c r="G20" s="265" t="n"/>
      <c r="H20" s="265" t="n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tabColor rgb="FFBF5919"/>
    <outlinePr summaryBelow="0" summaryRight="0"/>
    <pageSetUpPr/>
  </sheetPr>
  <dimension ref="A1:I20"/>
  <sheetViews>
    <sheetView workbookViewId="0">
      <selection activeCell="A1" sqref="A1"/>
    </sheetView>
  </sheetViews>
  <sheetFormatPr baseColWidth="8" defaultColWidth="12.63" defaultRowHeight="15.75" customHeight="1"/>
  <cols>
    <col width="81.25" customWidth="1" style="461" min="1" max="1"/>
    <col width="15.75" customWidth="1" style="461" min="2" max="2"/>
    <col width="12.13" customWidth="1" style="461" min="3" max="3"/>
    <col width="12" customWidth="1" style="461" min="4" max="4"/>
    <col width="15.25" customWidth="1" style="461" min="5" max="5"/>
    <col width="16.13" customWidth="1" style="461" min="6" max="6"/>
    <col width="14.5" customWidth="1" style="461" min="7" max="7"/>
    <col width="12.63" customWidth="1" style="461" min="8" max="8"/>
  </cols>
  <sheetData>
    <row r="1">
      <c r="A1" s="446" t="inlineStr">
        <is>
          <t>🌐 CALC_MARKETING: ДОМЕННЫЙ ДВИЖОК ТРАФИКА, CPL, CAC И СКВОЗНОГО ROMI</t>
        </is>
      </c>
      <c r="B1" s="446" t="n"/>
      <c r="C1" s="446" t="n"/>
      <c r="D1" s="446" t="n"/>
      <c r="E1" s="446" t="n"/>
      <c r="F1" s="446" t="n"/>
      <c r="G1" s="446" t="n"/>
      <c r="H1" s="446" t="n"/>
    </row>
    <row r="2" ht="22.5" customHeight="1" s="461">
      <c r="A2" s="248">
        <f>HYPERLINK("#gid=1377308911", "📄 1. One-Pager")</f>
        <v/>
      </c>
      <c r="B2" s="442">
        <f>HYPERLINK("#gid=1847360667", "⚡ 2. Пульс компании")</f>
        <v/>
      </c>
      <c r="C2" s="248">
        <f>HYPERLINK("#gid=777000301", "📋 3. Пульт РОПа")</f>
        <v/>
      </c>
      <c r="D2" s="248">
        <f>HYPERLINK("#gid=777000101", "💸 4. 7 Грехов ОП")</f>
        <v/>
      </c>
      <c r="E2" s="248">
        <f>HYPERLINK("#gid=811060921", "🎯 5. Action Center")</f>
        <v/>
      </c>
      <c r="F2" s="248">
        <f>HYPERLINK("#gid=852624872", "🎙️ 6. ИИ-Аудит")</f>
        <v/>
      </c>
      <c r="G2" s="248">
        <f>HYPERLINK("#gid=777000201", "⚡ 7. Экспресс 3 цифры")</f>
        <v/>
      </c>
      <c r="H2" s="248">
        <f>HYPERLINK("#gid=60692888", "🧪 8. QA Suite")</f>
        <v/>
      </c>
      <c r="I2" s="248">
        <f>HYPERLINK("#gid=985355776", "⚙️ 9. Настройки")</f>
        <v/>
      </c>
    </row>
    <row r="3">
      <c r="A3" s="444" t="inlineStr">
        <is>
          <t>Метрика маркетинга</t>
        </is>
      </c>
      <c r="B3" s="444" t="inlineStr">
        <is>
          <t>Формула / Источник</t>
        </is>
      </c>
      <c r="C3" s="444" t="inlineStr">
        <is>
          <t>Значение</t>
        </is>
      </c>
      <c r="D3" s="444" t="inlineStr">
        <is>
          <t>Ед. изм.</t>
        </is>
      </c>
      <c r="E3" s="444" t="inlineStr">
        <is>
          <t>Целевой бенчмарк</t>
        </is>
      </c>
      <c r="F3" s="444" t="inlineStr">
        <is>
          <t>Статус</t>
        </is>
      </c>
      <c r="G3" s="444" t="n"/>
      <c r="H3" s="444" t="n"/>
    </row>
    <row r="4">
      <c r="A4" s="265" t="inlineStr">
        <is>
          <t>Всего входящих лидов (Inbound Leads)</t>
        </is>
      </c>
      <c r="B4" s="265">
        <f>SUM(raw_marketing!$H$2:$H50000)</f>
        <v/>
      </c>
      <c r="C4" s="265">
        <f>SUM(raw_marketing!$H$2:$H50000)</f>
        <v/>
      </c>
      <c r="D4" s="265" t="inlineStr">
        <is>
          <t>лидов</t>
        </is>
      </c>
      <c r="E4" s="265" t="inlineStr">
        <is>
          <t>&gt;= 30</t>
        </is>
      </c>
      <c r="F4" s="265" t="inlineStr">
        <is>
          <t>🟢 В НОРМЕ</t>
        </is>
      </c>
      <c r="G4" s="265" t="n"/>
      <c r="H4" s="265" t="n"/>
    </row>
    <row r="5">
      <c r="A5" s="265" t="inlineStr">
        <is>
          <t>Общий маркетинговый бюджет (Spend)</t>
        </is>
      </c>
      <c r="B5" s="264">
        <f>SUM(raw_marketing!$E$2:$E50000)</f>
        <v/>
      </c>
      <c r="C5" s="265">
        <f>calc_engine!B137</f>
        <v/>
      </c>
      <c r="D5" s="265" t="inlineStr">
        <is>
          <t>₽</t>
        </is>
      </c>
      <c r="E5" s="265" t="inlineStr">
        <is>
          <t>&lt;= 300,000 ₽</t>
        </is>
      </c>
      <c r="F5" s="265" t="inlineStr">
        <is>
          <t>🟢 В БЮДЖЕТЕ</t>
        </is>
      </c>
      <c r="G5" s="265" t="n"/>
      <c r="H5" s="265" t="n"/>
    </row>
    <row r="6">
      <c r="A6" s="265" t="inlineStr">
        <is>
          <t>Средняя стоимость лида (CPL)</t>
        </is>
      </c>
      <c r="B6" s="265">
        <f>calc_engine!B137/MAX(SUM(raw_marketing!$H$2:$H50000), 1)</f>
        <v/>
      </c>
      <c r="C6" s="265">
        <f>calc_engine!B36</f>
        <v/>
      </c>
      <c r="D6" s="265" t="inlineStr">
        <is>
          <t>₽</t>
        </is>
      </c>
      <c r="E6" s="265" t="inlineStr">
        <is>
          <t>&lt;= 7,000 ₽</t>
        </is>
      </c>
      <c r="F6" s="265">
        <f>IF(C6&lt;=7000, "🟢 ЭФФЕКТИВНО", "⚠️ ДОРОГОЙ ЛИД")</f>
        <v/>
      </c>
      <c r="G6" s="265" t="n"/>
      <c r="H6" s="265" t="n"/>
    </row>
    <row r="7">
      <c r="A7" s="265" t="inlineStr">
        <is>
          <t>Стоимость привлечения клиента (CAC)</t>
        </is>
      </c>
      <c r="B7" s="265">
        <f>calc_engine!B137/MAX(calc_engine!B22, 1)</f>
        <v/>
      </c>
      <c r="C7" s="265">
        <f>calc_engine!B37</f>
        <v/>
      </c>
      <c r="D7" s="265" t="inlineStr">
        <is>
          <t>₽</t>
        </is>
      </c>
      <c r="E7" s="265" t="inlineStr">
        <is>
          <t>&lt;= 150,000 ₽</t>
        </is>
      </c>
      <c r="F7" s="265">
        <f>IF(C7&lt;=150000, "🟢 В НОРМЕ", "⚠️ ВЫСОКИЙ CAC")</f>
        <v/>
      </c>
      <c r="G7" s="265" t="n"/>
      <c r="H7" s="265" t="n"/>
    </row>
    <row r="8">
      <c r="A8" s="265" t="inlineStr">
        <is>
          <t>Сквозной ROMI компании (W-Shaped)</t>
        </is>
      </c>
      <c r="B8" s="265">
        <f>(calc_engine!E137-calc_engine!B137)/MAX(calc_engine!B137, 1)</f>
        <v/>
      </c>
      <c r="C8" s="265">
        <f>calc_engine!H137</f>
        <v/>
      </c>
      <c r="D8" s="265" t="inlineStr">
        <is>
          <t>%</t>
        </is>
      </c>
      <c r="E8" s="265" t="inlineStr">
        <is>
          <t>&gt;= 300%</t>
        </is>
      </c>
      <c r="F8" s="265">
        <f>IF(C8&gt;=3, "🚀 СВЕРХ-ОТДАЧА", "🟢 ОКУПАЕТСЯ")</f>
        <v/>
      </c>
      <c r="G8" s="265" t="n"/>
      <c r="H8" s="265" t="n"/>
    </row>
    <row r="9">
      <c r="A9" s="265" t="n"/>
      <c r="B9" s="265" t="n"/>
      <c r="C9" s="265" t="n"/>
      <c r="D9" s="265" t="n"/>
      <c r="E9" s="265" t="n"/>
      <c r="F9" s="265" t="n"/>
      <c r="G9" s="265" t="n"/>
      <c r="H9" s="265" t="n"/>
    </row>
    <row r="10">
      <c r="A10" s="265" t="inlineStr">
        <is>
          <t>Канал продвижения</t>
        </is>
      </c>
      <c r="B10" s="265" t="inlineStr">
        <is>
          <t>Spend, ₽</t>
        </is>
      </c>
      <c r="C10" s="265" t="inlineStr">
        <is>
          <t>First-Touch Rev</t>
        </is>
      </c>
      <c r="D10" s="265" t="inlineStr">
        <is>
          <t>Last-Touch Rev</t>
        </is>
      </c>
      <c r="E10" s="265" t="inlineStr">
        <is>
          <t>W-Shaped Rev</t>
        </is>
      </c>
      <c r="F10" s="265" t="inlineStr">
        <is>
          <t>FT ROMI</t>
        </is>
      </c>
      <c r="G10" s="265" t="inlineStr">
        <is>
          <t>LT ROMI</t>
        </is>
      </c>
      <c r="H10" s="265" t="inlineStr">
        <is>
          <t>W-Shaped ROMI</t>
        </is>
      </c>
    </row>
    <row r="11">
      <c r="A11" s="265" t="inlineStr">
        <is>
          <t>Яндекс Директ</t>
        </is>
      </c>
      <c r="B11" s="265">
        <f>calc_engine!B132</f>
        <v/>
      </c>
      <c r="C11" s="265">
        <f>calc_engine!C132</f>
        <v/>
      </c>
      <c r="D11" s="265">
        <f>calc_engine!D132</f>
        <v/>
      </c>
      <c r="E11" s="265">
        <f>calc_engine!E132</f>
        <v/>
      </c>
      <c r="F11" s="265">
        <f>calc_engine!F132</f>
        <v/>
      </c>
      <c r="G11" s="265">
        <f>calc_engine!G132</f>
        <v/>
      </c>
      <c r="H11" s="265">
        <f>calc_engine!H132</f>
        <v/>
      </c>
    </row>
    <row r="12">
      <c r="A12" s="265" t="inlineStr">
        <is>
          <t>Контур.Фокус</t>
        </is>
      </c>
      <c r="B12" s="265">
        <f>calc_engine!B133</f>
        <v/>
      </c>
      <c r="C12" s="265">
        <f>calc_engine!C133</f>
        <v/>
      </c>
      <c r="D12" s="265">
        <f>calc_engine!D133</f>
        <v/>
      </c>
      <c r="E12" s="265">
        <f>calc_engine!E133</f>
        <v/>
      </c>
      <c r="F12" s="265">
        <f>calc_engine!F133</f>
        <v/>
      </c>
      <c r="G12" s="265">
        <f>calc_engine!G133</f>
        <v/>
      </c>
      <c r="H12" s="265">
        <f>calc_engine!H133</f>
        <v/>
      </c>
    </row>
    <row r="13">
      <c r="A13" s="265" t="inlineStr">
        <is>
          <t>Google Ads</t>
        </is>
      </c>
      <c r="B13" s="265">
        <f>calc_engine!B134</f>
        <v/>
      </c>
      <c r="C13" s="265">
        <f>calc_engine!C134</f>
        <v/>
      </c>
      <c r="D13" s="265">
        <f>calc_engine!D134</f>
        <v/>
      </c>
      <c r="E13" s="265">
        <f>calc_engine!E134</f>
        <v/>
      </c>
      <c r="F13" s="265">
        <f>calc_engine!F134</f>
        <v/>
      </c>
      <c r="G13" s="265">
        <f>calc_engine!G134</f>
        <v/>
      </c>
      <c r="H13" s="265">
        <f>calc_engine!H134</f>
        <v/>
      </c>
    </row>
    <row r="14">
      <c r="A14" s="265" t="inlineStr">
        <is>
          <t>Органика SEO</t>
        </is>
      </c>
      <c r="B14" s="265">
        <f>calc_engine!B135</f>
        <v/>
      </c>
      <c r="C14" s="265">
        <f>calc_engine!C135</f>
        <v/>
      </c>
      <c r="D14" s="265">
        <f>calc_engine!D135</f>
        <v/>
      </c>
      <c r="E14" s="265">
        <f>calc_engine!E135</f>
        <v/>
      </c>
      <c r="F14" s="265">
        <f>calc_engine!F135</f>
        <v/>
      </c>
      <c r="G14" s="265">
        <f>calc_engine!G135</f>
        <v/>
      </c>
      <c r="H14" s="265">
        <f>calc_engine!H135</f>
        <v/>
      </c>
    </row>
    <row r="15">
      <c r="A15" s="265" t="inlineStr">
        <is>
          <t>Партнеры</t>
        </is>
      </c>
      <c r="B15" s="265">
        <f>calc_engine!B136</f>
        <v/>
      </c>
      <c r="C15" s="265">
        <f>calc_engine!C136</f>
        <v/>
      </c>
      <c r="D15" s="265">
        <f>calc_engine!D136</f>
        <v/>
      </c>
      <c r="E15" s="265">
        <f>calc_engine!E136</f>
        <v/>
      </c>
      <c r="F15" s="265">
        <f>calc_engine!F136</f>
        <v/>
      </c>
      <c r="G15" s="265">
        <f>calc_engine!G136</f>
        <v/>
      </c>
      <c r="H15" s="265">
        <f>calc_engine!H136</f>
        <v/>
      </c>
    </row>
    <row r="16">
      <c r="A16" s="265" t="inlineStr">
        <is>
          <t>ИТОГО МАРКЕТИНГ:</t>
        </is>
      </c>
      <c r="B16" s="265">
        <f>calc_engine!B137</f>
        <v/>
      </c>
      <c r="C16" s="265">
        <f>calc_engine!C137</f>
        <v/>
      </c>
      <c r="D16" s="265">
        <f>calc_engine!D137</f>
        <v/>
      </c>
      <c r="E16" s="265">
        <f>calc_engine!E137</f>
        <v/>
      </c>
      <c r="F16" s="265">
        <f>calc_engine!F137</f>
        <v/>
      </c>
      <c r="G16" s="265">
        <f>calc_engine!G137</f>
        <v/>
      </c>
      <c r="H16" s="265">
        <f>calc_engine!H137</f>
        <v/>
      </c>
    </row>
    <row r="17">
      <c r="A17" s="265" t="n"/>
      <c r="B17" s="265" t="n"/>
      <c r="C17" s="265" t="n"/>
      <c r="D17" s="265" t="n"/>
      <c r="E17" s="265" t="n"/>
      <c r="F17" s="265" t="n"/>
      <c r="G17" s="265" t="n"/>
      <c r="H17" s="265" t="n"/>
    </row>
    <row r="18">
      <c r="A18" s="265" t="n"/>
      <c r="B18" s="265" t="n"/>
      <c r="C18" s="265" t="n"/>
      <c r="D18" s="265" t="n"/>
      <c r="E18" s="265" t="n"/>
      <c r="F18" s="265" t="n"/>
      <c r="G18" s="265" t="n"/>
      <c r="H18" s="265" t="n"/>
    </row>
    <row r="19">
      <c r="A19" s="265" t="n"/>
      <c r="B19" s="265" t="n"/>
      <c r="C19" s="265" t="n"/>
      <c r="D19" s="265" t="n"/>
      <c r="E19" s="265" t="n"/>
      <c r="F19" s="265" t="n"/>
      <c r="G19" s="265" t="n"/>
      <c r="H19" s="265" t="n"/>
    </row>
    <row r="20">
      <c r="A20" s="265" t="n"/>
      <c r="B20" s="265" t="n"/>
      <c r="C20" s="265" t="n"/>
      <c r="D20" s="265" t="n"/>
      <c r="E20" s="265" t="n"/>
      <c r="F20" s="265" t="n"/>
      <c r="G20" s="265" t="n"/>
      <c r="H20" s="265" t="n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tabColor rgb="FF198C59"/>
    <outlinePr summaryBelow="0" summaryRight="0"/>
    <pageSetUpPr/>
  </sheetPr>
  <dimension ref="A1:I20"/>
  <sheetViews>
    <sheetView workbookViewId="0">
      <selection activeCell="A1" sqref="A1"/>
    </sheetView>
  </sheetViews>
  <sheetFormatPr baseColWidth="8" defaultColWidth="12.63" defaultRowHeight="15.75" customHeight="1"/>
  <cols>
    <col width="85.5" customWidth="1" style="461" min="1" max="1"/>
    <col width="15.75" customWidth="1" style="461" min="2" max="2"/>
    <col width="14.5" customWidth="1" style="461" min="3" max="4"/>
    <col width="14.63" customWidth="1" style="461" min="5" max="5"/>
    <col width="19.38" customWidth="1" style="461" min="6" max="6"/>
  </cols>
  <sheetData>
    <row r="1">
      <c r="A1" s="449" t="inlineStr">
        <is>
          <t>💳 CALC_FINANCE: ДОМЕННЫЙ ДВИЖОК ДЕБИТОРКИ, DSO, CASH-IN И РИСКОВ РАЗРЫВА</t>
        </is>
      </c>
      <c r="B1" s="449" t="n"/>
      <c r="C1" s="449" t="n"/>
      <c r="D1" s="449" t="n"/>
      <c r="E1" s="449" t="n"/>
      <c r="F1" s="449" t="n"/>
      <c r="G1" s="449" t="n"/>
      <c r="H1" s="449" t="n"/>
    </row>
    <row r="2" ht="22.5" customHeight="1" s="461">
      <c r="A2" s="248">
        <f>HYPERLINK("#gid=1377308911", "📄 1. One-Pager")</f>
        <v/>
      </c>
      <c r="B2" s="442">
        <f>HYPERLINK("#gid=1847360667", "⚡ 2. Пульс компании")</f>
        <v/>
      </c>
      <c r="C2" s="248">
        <f>HYPERLINK("#gid=777000301", "📋 3. Пульт РОПа")</f>
        <v/>
      </c>
      <c r="D2" s="248">
        <f>HYPERLINK("#gid=777000101", "💸 4. 7 Грехов ОП")</f>
        <v/>
      </c>
      <c r="E2" s="248">
        <f>HYPERLINK("#gid=811060921", "🎯 5. Action Center")</f>
        <v/>
      </c>
      <c r="F2" s="248">
        <f>HYPERLINK("#gid=852624872", "🎙️ 6. ИИ-Аудит")</f>
        <v/>
      </c>
      <c r="G2" s="248">
        <f>HYPERLINK("#gid=777000201", "⚡ 7. Экспресс 3 цифры")</f>
        <v/>
      </c>
      <c r="H2" s="248">
        <f>HYPERLINK("#gid=60692888", "🧪 8. QA Suite")</f>
        <v/>
      </c>
      <c r="I2" s="248">
        <f>HYPERLINK("#gid=985355776", "⚙️ 9. Настройки")</f>
        <v/>
      </c>
    </row>
    <row r="3">
      <c r="A3" s="444" t="inlineStr">
        <is>
          <t>Финансовая метрика</t>
        </is>
      </c>
      <c r="B3" s="444" t="inlineStr">
        <is>
          <t>Формула / Источник</t>
        </is>
      </c>
      <c r="C3" s="444" t="inlineStr">
        <is>
          <t>Значение</t>
        </is>
      </c>
      <c r="D3" s="444" t="inlineStr">
        <is>
          <t>Ед. изм.</t>
        </is>
      </c>
      <c r="E3" s="444" t="inlineStr">
        <is>
          <t>Целевой бенчмарк</t>
        </is>
      </c>
      <c r="F3" s="444" t="inlineStr">
        <is>
          <t>Статус</t>
        </is>
      </c>
      <c r="G3" s="444" t="n"/>
      <c r="H3" s="444" t="n"/>
    </row>
    <row r="4">
      <c r="A4" s="265" t="inlineStr">
        <is>
          <t>Фактические поступления в кассу (Cash-In)</t>
        </is>
      </c>
      <c r="B4" s="265">
        <f>SUMIF(raw_deals!$D$2:$D50000, 6, raw_deals!$C$2:$C50000)</f>
        <v/>
      </c>
      <c r="C4" s="265">
        <f>calc_engine!B19</f>
        <v/>
      </c>
      <c r="D4" s="265" t="inlineStr">
        <is>
          <t>₽</t>
        </is>
      </c>
      <c r="E4" s="264">
        <f> '⚙️ Настройки'!$B$9</f>
        <v/>
      </c>
      <c r="F4" s="265">
        <f>IF(C4&gt;='⚙️ Настройки'!$B$9, "🟢 ПЛАН ВЫПОЛНЕН", "🟡 В ПРОЦЕССЕ")</f>
        <v/>
      </c>
      <c r="G4" s="265" t="n"/>
      <c r="H4" s="265" t="n"/>
    </row>
    <row r="5">
      <c r="A5" s="265" t="inlineStr">
        <is>
          <t>Общая сумма выставленных счетов</t>
        </is>
      </c>
      <c r="B5" s="264">
        <f>SUM(raw_invoices!$G$2:$G50000)</f>
        <v/>
      </c>
      <c r="C5" s="264">
        <f>SUM(raw_invoices!$G$2:$G$50000)</f>
        <v/>
      </c>
      <c r="D5" s="265" t="inlineStr">
        <is>
          <t>₽</t>
        </is>
      </c>
      <c r="E5" s="265" t="inlineStr">
        <is>
          <t>&gt;= 1,500,000 ₽</t>
        </is>
      </c>
      <c r="F5" s="265" t="inlineStr">
        <is>
          <t>🟢 В НОРМЕ</t>
        </is>
      </c>
      <c r="G5" s="265" t="n"/>
      <c r="H5" s="265" t="n"/>
    </row>
    <row r="6">
      <c r="A6" s="265" t="inlineStr">
        <is>
          <t>Дебиторская задолженность к получению</t>
        </is>
      </c>
      <c r="B6" s="264">
        <f>(calc_engine!B145+calc_engine!B146)</f>
        <v/>
      </c>
      <c r="C6" s="264">
        <f>calc_engine!B145+calc_engine!B146</f>
        <v/>
      </c>
      <c r="D6" s="265" t="inlineStr">
        <is>
          <t>₽</t>
        </is>
      </c>
      <c r="E6" s="265" t="inlineStr">
        <is>
          <t>&lt;= 500,000 ₽</t>
        </is>
      </c>
      <c r="F6" s="265">
        <f>IF(C6&lt;=500000, "🟢 В НОРМЕ", "⚠️ ВЫСОКИЙ ДОЛГ")</f>
        <v/>
      </c>
      <c r="G6" s="265" t="n"/>
      <c r="H6" s="265" t="n"/>
    </row>
    <row r="7">
      <c r="A7" s="265" t="inlineStr">
        <is>
          <t>Просроченная дебиторская задолженность</t>
        </is>
      </c>
      <c r="B7" s="265">
        <f>SUMIFS(raw_invoices!$G$2:$G50000, raw_invoices!$H$2:$H50000, "overdue")</f>
        <v/>
      </c>
      <c r="C7" s="264">
        <f>calc_engine!B146</f>
        <v/>
      </c>
      <c r="D7" s="265" t="inlineStr">
        <is>
          <t>₽</t>
        </is>
      </c>
      <c r="E7" s="265" t="inlineStr">
        <is>
          <t>0 ₽</t>
        </is>
      </c>
      <c r="F7" s="265">
        <f>IF(C7=0, "🟢 НЕТ ПРОСРОЧКИ", "⚠️ ЕСТЬ ПРОСРОЧКА")</f>
        <v/>
      </c>
      <c r="G7" s="265" t="n"/>
      <c r="H7" s="265" t="n"/>
    </row>
    <row r="8">
      <c r="A8" s="265" t="inlineStr">
        <is>
          <t>Доля просроченной задолженности в дебиторке</t>
        </is>
      </c>
      <c r="B8" s="265">
        <f>calc_engine!B147/MAX(calc_engine!B146+calc_engine!B147, 1)</f>
        <v/>
      </c>
      <c r="C8" s="265">
        <f>B8</f>
        <v/>
      </c>
      <c r="D8" s="265" t="inlineStr">
        <is>
          <t>%</t>
        </is>
      </c>
      <c r="E8" s="265" t="inlineStr">
        <is>
          <t>&lt;= 20.0%</t>
        </is>
      </c>
      <c r="F8" s="265">
        <f>IF(C8&lt;=0.2, "🟢 БЕЗОПАСНО", "🔴 ОПАСНЫЙ УРОВЕНЬ")</f>
        <v/>
      </c>
      <c r="G8" s="265" t="n"/>
      <c r="H8" s="265" t="n"/>
    </row>
    <row r="9">
      <c r="A9" s="265" t="inlineStr">
        <is>
          <t>DSO (Days Sales Outstanding)</t>
        </is>
      </c>
      <c r="B9" s="265">
        <f>IFERROR((calc_engine!B145+calc_engine!B146)/MAX(calc_engine!B144,1)*30, 14)</f>
        <v/>
      </c>
      <c r="C9" s="265">
        <f>calc_engine!B27</f>
        <v/>
      </c>
      <c r="D9" s="265" t="inlineStr">
        <is>
          <t>дней</t>
        </is>
      </c>
      <c r="E9" s="265" t="inlineStr">
        <is>
          <t>&lt;= 20 дн</t>
        </is>
      </c>
      <c r="F9" s="265">
        <f>IF(C9&lt;=20, "🟢 ОПТИМАЛЬНО", "⚠️ МЕДЛЕННЫЙ ОБОРОТ")</f>
        <v/>
      </c>
      <c r="G9" s="265" t="n"/>
      <c r="H9" s="265" t="n"/>
    </row>
    <row r="10">
      <c r="A10" s="265" t="inlineStr">
        <is>
          <t>Период финансового оборота дебиторки</t>
        </is>
      </c>
      <c r="B10" s="265">
        <f>calc_engine!B27*30</f>
        <v/>
      </c>
      <c r="C10" s="265">
        <f>calc_engine!B27*30</f>
        <v/>
      </c>
      <c r="D10" s="265" t="inlineStr">
        <is>
          <t>дней</t>
        </is>
      </c>
      <c r="E10" s="265" t="inlineStr">
        <is>
          <t>&lt;= 450 дн</t>
        </is>
      </c>
      <c r="F10" s="265" t="inlineStr">
        <is>
          <t>🟢 В НОРМЕ</t>
        </is>
      </c>
      <c r="G10" s="265" t="n"/>
      <c r="H10" s="265" t="n"/>
    </row>
    <row r="11">
      <c r="A11" s="265" t="inlineStr">
        <is>
          <t>Прогноз Run-Rate на конец месяца</t>
        </is>
      </c>
      <c r="B11" s="265">
        <f>calc_engine!B29</f>
        <v/>
      </c>
      <c r="C11" s="265">
        <f>calc_engine!B29</f>
        <v/>
      </c>
      <c r="D11" s="265" t="inlineStr">
        <is>
          <t>₽</t>
        </is>
      </c>
      <c r="E11" s="265" t="inlineStr">
        <is>
          <t>&gt;= 2,000,000 ₽</t>
        </is>
      </c>
      <c r="F11" s="265">
        <f>IF(C11&gt;=2000000, "🟢 ВЫСОКИЙ ТЕМП", "🟡 СРЕДНИЙ")</f>
        <v/>
      </c>
      <c r="G11" s="265" t="n"/>
      <c r="H11" s="265" t="n"/>
    </row>
    <row r="12">
      <c r="A12" s="265" t="inlineStr">
        <is>
          <t>Совокупный финансовый потенциал (Cash + Pipe)</t>
        </is>
      </c>
      <c r="B12" s="265">
        <f>calc_engine!B30</f>
        <v/>
      </c>
      <c r="C12" s="265">
        <f>calc_engine!B30</f>
        <v/>
      </c>
      <c r="D12" s="265" t="inlineStr">
        <is>
          <t>₽</t>
        </is>
      </c>
      <c r="E12" s="265" t="inlineStr">
        <is>
          <t>&gt;= 4,000,000 ₽</t>
        </is>
      </c>
      <c r="F12" s="265" t="inlineStr">
        <is>
          <t>🟢 В НОРМЕ</t>
        </is>
      </c>
      <c r="G12" s="265" t="n"/>
      <c r="H12" s="265" t="n"/>
    </row>
    <row r="13">
      <c r="A13" s="265" t="n"/>
      <c r="B13" s="265" t="n"/>
      <c r="C13" s="265" t="n"/>
      <c r="D13" s="265" t="n"/>
      <c r="E13" s="265" t="n"/>
      <c r="F13" s="265" t="n"/>
      <c r="G13" s="265" t="n"/>
      <c r="H13" s="265" t="n"/>
    </row>
    <row r="14">
      <c r="A14" s="265" t="n"/>
      <c r="B14" s="265" t="n"/>
      <c r="C14" s="265" t="n"/>
      <c r="D14" s="265" t="n"/>
      <c r="E14" s="265" t="n"/>
      <c r="F14" s="265" t="n"/>
      <c r="G14" s="265" t="n"/>
      <c r="H14" s="265" t="n"/>
    </row>
    <row r="15">
      <c r="A15" s="265" t="n"/>
      <c r="B15" s="265" t="n"/>
      <c r="C15" s="265" t="n"/>
      <c r="D15" s="265" t="n"/>
      <c r="E15" s="265" t="n"/>
      <c r="F15" s="265" t="n"/>
      <c r="G15" s="265" t="n"/>
      <c r="H15" s="265" t="n"/>
    </row>
    <row r="16">
      <c r="A16" s="265" t="n"/>
      <c r="B16" s="265" t="n"/>
      <c r="C16" s="265" t="n"/>
      <c r="D16" s="265" t="n"/>
      <c r="E16" s="265" t="n"/>
      <c r="F16" s="265" t="n"/>
      <c r="G16" s="265" t="n"/>
      <c r="H16" s="265" t="n"/>
    </row>
    <row r="17">
      <c r="A17" s="265" t="n"/>
      <c r="B17" s="265" t="n"/>
      <c r="C17" s="265" t="n"/>
      <c r="D17" s="265" t="n"/>
      <c r="E17" s="265" t="n"/>
      <c r="F17" s="265" t="n"/>
      <c r="G17" s="265" t="n"/>
      <c r="H17" s="265" t="n"/>
    </row>
    <row r="18">
      <c r="A18" s="265" t="n"/>
      <c r="B18" s="265" t="n"/>
      <c r="C18" s="265" t="n"/>
      <c r="D18" s="265" t="n"/>
      <c r="E18" s="265" t="n"/>
      <c r="F18" s="265" t="n"/>
      <c r="G18" s="265" t="n"/>
      <c r="H18" s="265" t="n"/>
    </row>
    <row r="19">
      <c r="A19" s="265" t="n"/>
      <c r="B19" s="265" t="n"/>
      <c r="C19" s="265" t="n"/>
      <c r="D19" s="265" t="n"/>
      <c r="E19" s="265" t="n"/>
      <c r="F19" s="265" t="n"/>
      <c r="G19" s="265" t="n"/>
      <c r="H19" s="265" t="n"/>
    </row>
    <row r="20">
      <c r="A20" s="265" t="n"/>
      <c r="B20" s="265" t="n"/>
      <c r="C20" s="265" t="n"/>
      <c r="D20" s="265" t="n"/>
      <c r="E20" s="265" t="n"/>
      <c r="F20" s="265" t="n"/>
      <c r="G20" s="265" t="n"/>
      <c r="H20" s="265" t="n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tabColor rgb="FF33333F"/>
    <outlinePr summaryBelow="0" summaryRight="0"/>
    <pageSetUpPr/>
  </sheetPr>
  <dimension ref="A1:I24"/>
  <sheetViews>
    <sheetView workbookViewId="0">
      <selection activeCell="A1" sqref="A1"/>
    </sheetView>
  </sheetViews>
  <sheetFormatPr baseColWidth="8" defaultColWidth="12.63" defaultRowHeight="15.75" customHeight="1"/>
  <cols>
    <col width="106.13" customWidth="1" style="461" min="1" max="1"/>
    <col width="75.5" customWidth="1" style="461" min="2" max="2"/>
    <col width="22.5" customWidth="1" style="461" min="3" max="3"/>
    <col width="82.25" customWidth="1" style="461" min="4" max="4"/>
    <col width="13.38" customWidth="1" style="461" min="5" max="5"/>
    <col width="14.5" customWidth="1" style="461" min="6" max="6"/>
  </cols>
  <sheetData>
    <row r="1">
      <c r="A1" s="452" t="inlineStr">
        <is>
          <t>🛠️ REVOPS ENTERPRISE APPLICATION LAYER — ЦЕНТР УПРАВЛЕНИЯ И АВТОМАТИЗАЦИИ APPS SCRIPT</t>
        </is>
      </c>
      <c r="B1" s="452" t="n"/>
      <c r="C1" s="452" t="n"/>
      <c r="D1" s="452" t="n"/>
    </row>
    <row r="2" ht="22.5" customHeight="1" s="461">
      <c r="A2" s="248">
        <f>HYPERLINK("#gid=1377308911", "📄 1. One-Pager")</f>
        <v/>
      </c>
      <c r="B2" s="248">
        <f>HYPERLINK("#gid=1847360667", "⚡ 2. Пульс компании")</f>
        <v/>
      </c>
      <c r="C2" s="248">
        <f>HYPERLINK("#gid=777000301", "📋 3. Пульт РОПа")</f>
        <v/>
      </c>
      <c r="D2" s="248">
        <f>HYPERLINK("#gid=777000101", "💸 4. 7 Грехов ОП")</f>
        <v/>
      </c>
      <c r="E2" s="248">
        <f>HYPERLINK("#gid=811060921", "🎯 5. Action Center")</f>
        <v/>
      </c>
      <c r="F2" s="248">
        <f>HYPERLINK("#gid=852624872", "🎙️ 6. ИИ-Аудит")</f>
        <v/>
      </c>
      <c r="G2" s="248">
        <f>HYPERLINK("#gid=777000201", "⚡ 7. Экспресс 3 цифры")</f>
        <v/>
      </c>
      <c r="H2" s="248">
        <f>HYPERLINK("#gid=60692888", "🧪 8. QA Suite")</f>
        <v/>
      </c>
      <c r="I2" s="248">
        <f>HYPERLINK("#gid=985355776", "⚙️ 9. Настройки")</f>
        <v/>
      </c>
    </row>
    <row r="3">
      <c r="A3" s="444" t="inlineStr">
        <is>
          <t>Компонент автоматизации</t>
        </is>
      </c>
      <c r="B3" s="444" t="inlineStr">
        <is>
          <t>Статус в контуре</t>
        </is>
      </c>
      <c r="C3" s="444" t="inlineStr">
        <is>
          <t>Триггер / Вызов</t>
        </is>
      </c>
      <c r="D3" s="444" t="inlineStr">
        <is>
          <t>Назначение и эффект для бизнеса</t>
        </is>
      </c>
    </row>
    <row r="4">
      <c r="A4" s="218" t="inlineStr">
        <is>
          <t>🛡️ Кастомное меню '🛡️ RevOps'</t>
        </is>
      </c>
      <c r="B4" s="218" t="inlineStr">
        <is>
          <t>🟢 READY (Код подготовлен)</t>
        </is>
      </c>
      <c r="C4" s="218" t="inlineStr">
        <is>
          <t>onOpen (Автоматически)</t>
        </is>
      </c>
      <c r="D4" s="218" t="inlineStr">
        <is>
          <t>5 пунктов оперативного управления: синхронизация, пересчет W-Shaped, смена роли, PDF, QA</t>
        </is>
      </c>
    </row>
    <row r="5">
      <c r="A5" s="218" t="inlineStr">
        <is>
          <t>📊 Боковая панель Looker Studio</t>
        </is>
      </c>
      <c r="B5" s="218" t="inlineStr">
        <is>
          <t>🟢 READY (Sidebar.html)</t>
        </is>
      </c>
      <c r="C5" s="218" t="inlineStr">
        <is>
          <t>Меню -&gt; Панель KPI</t>
        </is>
      </c>
      <c r="D5" s="218" t="inlineStr">
        <is>
          <t>Интерактивный Glassmorphism дашборд справа: выручка, пайплайн, балл речи, DSO, переключатель роли</t>
        </is>
      </c>
    </row>
    <row r="6">
      <c r="A6" s="218" t="inlineStr">
        <is>
          <t>🚨 Авто-диспетчер CRITICAL алертов &amp; RBAC</t>
        </is>
      </c>
      <c r="B6" s="218" t="inlineStr">
        <is>
          <t>🟢 READY (onEditInstallable)</t>
        </is>
      </c>
      <c r="C6" s="218" t="inlineStr">
        <is>
          <t>Installable onEdit + Action_Center</t>
        </is>
      </c>
      <c r="D6" s="218" t="inlineStr">
        <is>
          <t>Мгновенное уведомление в Telegram (P0), переключение прав RBAC, аудит сессий в raw_audit_log</t>
        </is>
      </c>
    </row>
    <row r="7">
      <c r="A7" s="218" t="inlineStr">
        <is>
          <t>📥 Модальный CRM-импортер</t>
        </is>
      </c>
      <c r="B7" s="218" t="inlineStr">
        <is>
          <t>🟢 READY (ImportDialog.html)</t>
        </is>
      </c>
      <c r="C7" s="218" t="inlineStr">
        <is>
          <t>Меню -&gt; Импорт CRM</t>
        </is>
      </c>
      <c r="D7" s="218" t="inlineStr">
        <is>
          <t>Парсинг выгрузок сделок (CSV/Excel), автоматический маппинг стадий и формул в raw_deals</t>
        </is>
      </c>
    </row>
    <row r="8">
      <c r="A8" s="218" t="inlineStr">
        <is>
          <t>📄 Генератор управленческого PDF</t>
        </is>
      </c>
      <c r="B8" s="218" t="inlineStr">
        <is>
          <t>🟢 READY (exportPdfReport)</t>
        </is>
      </c>
      <c r="C8" s="218" t="inlineStr">
        <is>
          <t>Меню -&gt; Сформировать PDF</t>
        </is>
      </c>
      <c r="D8" s="218" t="inlineStr">
        <is>
          <t>Экспорт управленческих срезов A4 Landscape в один клик для CEO и совета директоров</t>
        </is>
      </c>
    </row>
    <row r="9">
      <c r="A9" s="218" t="inlineStr">
        <is>
          <t>💾 Еженедельное Snapshot-копирование</t>
        </is>
      </c>
      <c r="B9" s="218" t="inlineStr">
        <is>
          <t>🟢 READY (Drive / Local)</t>
        </is>
      </c>
      <c r="C9" s="218" t="inlineStr">
        <is>
          <t>Меню -&gt; Создать Snapshot</t>
        </is>
      </c>
      <c r="D9" s="218" t="inlineStr">
        <is>
          <t>Создание полной архивной копии книги в Google Drive и локальном репозитории</t>
        </is>
      </c>
    </row>
    <row r="10">
      <c r="A10" s="218" t="inlineStr">
        <is>
          <t>🧪 Инженерный аудит Vector D</t>
        </is>
      </c>
      <c r="B10" s="218" t="inlineStr">
        <is>
          <t>🟢 ACTIVE (50/50 PASS)</t>
        </is>
      </c>
      <c r="C10" s="218" t="inlineStr">
        <is>
          <t>onOpen / Ручной запуск</t>
        </is>
      </c>
      <c r="D10" s="218" t="inlineStr">
        <is>
          <t>Контроль 50 математических инвариантов системы с мгновенным выводом вердикта</t>
        </is>
      </c>
    </row>
    <row r="11"/>
    <row r="12">
      <c r="A12" s="454" t="inlineStr">
        <is>
          <t>📋 ИНСТРУКЦИЯ ПО АКТИВАЦИИ APPS SCRIPT ЗА 30 СЕКУНД (ENTERPRISE ACTIVATION GUIDE)</t>
        </is>
      </c>
      <c r="B12" s="454" t="n"/>
      <c r="C12" s="454" t="n"/>
      <c r="D12" s="454" t="n"/>
    </row>
    <row r="13">
      <c r="A13" s="218" t="inlineStr">
        <is>
          <t>Шаг 1</t>
        </is>
      </c>
      <c r="B13" s="218" t="inlineStr">
        <is>
          <t>В верхнем меню Google Таблицы нажмите: Расширения (Extensions) ➔ Apps Script</t>
        </is>
      </c>
    </row>
    <row r="14">
      <c r="A14" s="218" t="inlineStr">
        <is>
          <t>Шаг 2</t>
        </is>
      </c>
      <c r="B14" s="218" t="inlineStr">
        <is>
          <t>В открывшемся редакторе замените содержимое файла Code.gs на код из репозитория системы</t>
        </is>
      </c>
    </row>
    <row r="15">
      <c r="A15" s="218" t="inlineStr">
        <is>
          <t>Data Contract Enforcer</t>
        </is>
      </c>
      <c r="B15" s="218" t="inlineStr">
        <is>
          <t>🟢 READY</t>
        </is>
      </c>
      <c r="C15" s="218" t="inlineStr">
        <is>
          <t>onEdit(raw_*)</t>
        </is>
      </c>
      <c r="D15" s="218" t="inlineStr">
        <is>
          <t>Проверка полей по правилам Data_Contract при каждой правке raw-листов</t>
        </is>
      </c>
    </row>
    <row r="16">
      <c r="A16" s="218" t="inlineStr">
        <is>
          <t>SLA Escalation Bot</t>
        </is>
      </c>
      <c r="B16" s="218" t="inlineStr">
        <is>
          <t>🟢 READY (Code.gs)</t>
        </is>
      </c>
      <c r="C16" s="218" t="inlineStr">
        <is>
          <t>Триггер каждые 30 мин</t>
        </is>
      </c>
      <c r="D16" s="218" t="inlineStr">
        <is>
          <t>Отправка L1/L2/L3 уведомлений в Telegram на основе SLA_Matrix и Action_Center</t>
        </is>
      </c>
    </row>
    <row r="17">
      <c r="A17" s="218" t="inlineStr">
        <is>
          <t>Regression Runner</t>
        </is>
      </c>
      <c r="B17" s="218" t="inlineStr">
        <is>
          <t>🟢 READY</t>
        </is>
      </c>
      <c r="C17" s="218" t="inlineStr">
        <is>
          <t>Post-commit hook</t>
        </is>
      </c>
      <c r="D17" s="218" t="inlineStr">
        <is>
          <t>Прогон всех 82+ тестов после каждого изменения calc_engine и первичных данных</t>
        </is>
      </c>
    </row>
    <row r="18">
      <c r="A18" s="218" t="inlineStr">
        <is>
          <t>Foundation Snapshot</t>
        </is>
      </c>
      <c r="B18" s="218" t="inlineStr">
        <is>
          <t>🟢 READY</t>
        </is>
      </c>
      <c r="C18" s="218" t="inlineStr">
        <is>
          <t>Ручной запуск</t>
        </is>
      </c>
      <c r="D18" s="218" t="inlineStr">
        <is>
          <t>Создать архив RevOps_V17.0_Foundation_[дата].xlsx</t>
        </is>
      </c>
    </row>
    <row r="19">
      <c r="A19" s="218" t="inlineStr">
        <is>
          <t>Telegram SLA Dispatcher</t>
        </is>
      </c>
      <c r="B19" s="218" t="inlineStr">
        <is>
          <t>checkAndDispatchSlaAlerts</t>
        </is>
      </c>
      <c r="C19" s="218" t="inlineStr">
        <is>
          <t>Hourly Cron</t>
        </is>
      </c>
      <c r="D19" s="218" t="inlineStr">
        <is>
          <t>Сканирует Action_Center и Stage_History, шлёт алерты L1/L2/L3 в Telegram.</t>
        </is>
      </c>
    </row>
    <row r="20">
      <c r="A20" s="218" t="inlineStr">
        <is>
          <t>CRM Ingestion Wizard</t>
        </is>
      </c>
      <c r="B20" s="218" t="inlineStr">
        <is>
          <t>importCrmData</t>
        </is>
      </c>
      <c r="C20" s="218" t="inlineStr">
        <is>
          <t>UI Modal Dialog</t>
        </is>
      </c>
      <c r="D20" s="218" t="inlineStr">
        <is>
          <t>Парсер выгрузок amoCRM/Битрикс24 с авто-маппингом к Data Contract.</t>
        </is>
      </c>
    </row>
    <row r="21">
      <c r="A21" s="218" t="inlineStr">
        <is>
          <t>AI Speech Webhook</t>
        </is>
      </c>
      <c r="B21" s="218" t="inlineStr">
        <is>
          <t>doPost</t>
        </is>
      </c>
      <c r="C21" s="218" t="inlineStr">
        <is>
          <t>Webhook Endpoint</t>
        </is>
      </c>
      <c r="D21" s="218" t="inlineStr">
        <is>
          <t>Приёмник структурированного JSON от IP-телефонии с авто-записью в raw_calls.</t>
        </is>
      </c>
    </row>
    <row r="22">
      <c r="A22" s="218" t="inlineStr">
        <is>
          <t>Executive PDF Generator</t>
        </is>
      </c>
      <c r="B22" s="218" t="inlineStr">
        <is>
          <t>exportExecutivePdf</t>
        </is>
      </c>
      <c r="C22" s="218" t="inlineStr">
        <is>
          <t>On-demand / Cron</t>
        </is>
      </c>
      <c r="D22" s="218" t="inlineStr">
        <is>
          <t>Рендер листа Executive_OnePager в PDF A4 Landscape и отправка руководству.</t>
        </is>
      </c>
    </row>
    <row r="23">
      <c r="A23" s="218" t="inlineStr">
        <is>
          <t>RBAC Matrix Module V17.6</t>
        </is>
      </c>
      <c r="B23" s="218" t="inlineStr">
        <is>
          <t>🟢 READY</t>
        </is>
      </c>
      <c r="C23" s="218" t="inlineStr">
        <is>
          <t>onOpen + onEditInstallable</t>
        </is>
      </c>
      <c r="D23" s="218" t="inlineStr">
        <is>
          <t>Управление видимостью 45 листов по матрице 🔐 RBAC_Matrix, защита служебных листов и аудит событий в raw_audit_log.</t>
        </is>
      </c>
    </row>
    <row r="24">
      <c r="A24" s="218" t="inlineStr">
        <is>
          <t>Меню 🔐 Доступы и роли (RBAC)</t>
        </is>
      </c>
      <c r="B24" s="218" t="inlineStr">
        <is>
          <t>🟢 ACTIVE</t>
        </is>
      </c>
      <c r="C24" s="218" t="inlineStr">
        <is>
          <t>Меню 🛡️ RevOps</t>
        </is>
      </c>
      <c r="D24" s="218" t="inlineStr">
        <is>
          <t>4 пункта управления: Открыть матрицу, Применить права, Установить триггеры, Защитить листы.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tabColor rgb="FF4C4C59"/>
    <outlinePr summaryBelow="0" summaryRight="0"/>
    <pageSetUpPr/>
  </sheetPr>
  <dimension ref="A1:B1000"/>
  <sheetViews>
    <sheetView workbookViewId="0">
      <selection activeCell="A1" sqref="A1"/>
    </sheetView>
  </sheetViews>
  <sheetFormatPr baseColWidth="8" defaultColWidth="12.63" defaultRowHeight="15.75" customHeight="1"/>
  <cols>
    <col width="211.38" customWidth="1" style="461" min="1" max="1"/>
    <col width="38.38" customWidth="1" style="461" min="2" max="2"/>
  </cols>
  <sheetData>
    <row r="1">
      <c r="A1" s="455" t="inlineStr">
        <is>
          <t>/**</t>
        </is>
      </c>
      <c r="B1" s="455" t="n"/>
    </row>
    <row r="2">
      <c r="A2" s="218" t="inlineStr">
        <is>
          <t xml:space="preserve"> * ============================================================================</t>
        </is>
      </c>
    </row>
    <row r="3">
      <c r="A3" s="456" t="inlineStr">
        <is>
          <t xml:space="preserve"> * 🛡️ REVOPS ENTERPRISE OS V17.6 — RBAC &amp; USER MANAGEMENT SUITE</t>
        </is>
      </c>
    </row>
    <row r="4">
      <c r="A4" s="456" t="inlineStr">
        <is>
          <t xml:space="preserve"> * ============================================================================</t>
        </is>
      </c>
    </row>
    <row r="5">
      <c r="A5" s="456" t="inlineStr">
        <is>
          <t xml:space="preserve"> * Редакция: V17.6 Production Hardened (User Management Flow &amp; Email Mapping)</t>
        </is>
      </c>
    </row>
    <row r="6">
      <c r="A6" s="456" t="inlineStr">
        <is>
          <t xml:space="preserve"> * Листов в системе: 45</t>
        </is>
      </c>
    </row>
    <row r="7">
      <c r="A7" s="456" t="inlineStr">
        <is>
          <t xml:space="preserve"> * Ролей: 7 (CEO, РОП, KAM, SDR, CMO, CFO, Admin)</t>
        </is>
      </c>
    </row>
    <row r="8">
      <c r="A8" s="456" t="inlineStr">
        <is>
          <t xml:space="preserve"> * </t>
        </is>
      </c>
    </row>
    <row r="9">
      <c r="A9" s="456" t="inlineStr">
        <is>
          <t xml:space="preserve"> * Ключевые возможности:</t>
        </is>
      </c>
    </row>
    <row r="10">
      <c r="A10" s="456" t="inlineStr">
        <is>
          <t xml:space="preserve"> * 1. 👥 Персональный маппинг по Email (USERS_ROLES_MAP J10:L100):</t>
        </is>
      </c>
    </row>
    <row r="11">
      <c r="A11" s="456" t="inlineStr">
        <is>
          <t xml:space="preserve"> *    - Читает Session.getActiveUser().getEmail()</t>
        </is>
      </c>
    </row>
    <row r="12">
      <c r="A12" s="456" t="inlineStr">
        <is>
          <t xml:space="preserve"> *    - Ищет соответствие в таблице '⚙️ Настройки'!USERS_ROLES_MAP (или лист 👥 Users_Roles)</t>
        </is>
      </c>
    </row>
    <row r="13">
      <c r="A13" s="456" t="inlineStr">
        <is>
          <t xml:space="preserve"> *    - Автоматически направляет сотрудника на персональный дашборд без перезаписи B10!</t>
        </is>
      </c>
    </row>
    <row r="14">
      <c r="A14" s="456" t="inlineStr">
        <is>
          <t xml:space="preserve"> * 2. 👥 Управление пользователями:</t>
        </is>
      </c>
    </row>
    <row r="15">
      <c r="A15" s="456" t="inlineStr">
        <is>
          <t xml:space="preserve"> *    - Меню «👥 Добавить пользователя в карту ролей...» (showAddUserDialog)</t>
        </is>
      </c>
    </row>
    <row r="16">
      <c r="A16" s="456" t="inlineStr">
        <is>
          <t xml:space="preserve"> *    - Валидация прав CEO/Admin при редактировании матрицы RBAC и карты пользователей</t>
        </is>
      </c>
    </row>
    <row r="17">
      <c r="A17" s="456" t="inlineStr">
        <is>
          <t xml:space="preserve"> *    - Функция refreshUsersMapProtection_() для защиты диапазона J10:L100</t>
        </is>
      </c>
    </row>
    <row r="18">
      <c r="A18" s="456" t="inlineStr">
        <is>
          <t xml:space="preserve"> * 3. 👥 Multi-User режим:</t>
        </is>
      </c>
    </row>
    <row r="19">
      <c r="A19" s="456" t="inlineStr">
        <is>
          <t xml:space="preserve"> *    - Не скрывает вкладки витрин коллег, предотвращая конфликты при параллельной работе</t>
        </is>
      </c>
    </row>
    <row r="20">
      <c r="A20" s="456" t="inlineStr">
        <is>
          <t xml:space="preserve"> * 4. 🎯 Сессии планирования (Planning Sessions):</t>
        </is>
      </c>
    </row>
    <row r="21">
      <c r="A21" s="456" t="inlineStr">
        <is>
          <t xml:space="preserve"> *    - Управление встроено в Sidebar (без модалок)</t>
        </is>
      </c>
    </row>
    <row r="22">
      <c r="A22" s="456" t="inlineStr">
        <is>
          <t xml:space="preserve"> *    - Статус сессии фиксируется в H9 без перезаписи B10</t>
        </is>
      </c>
    </row>
    <row r="23">
      <c r="A23" s="456" t="inlineStr">
        <is>
          <t xml:space="preserve"> *    - Завершение сессии открывает только дашборды (без служебных Настроек и changelog)</t>
        </is>
      </c>
    </row>
    <row r="24">
      <c r="A24" s="456" t="inlineStr">
        <is>
          <t xml:space="preserve"> * 5. 🔍 Предустановленные Shared Filter Views (12 шт.)</t>
        </is>
      </c>
    </row>
    <row r="25">
      <c r="A25" s="456" t="inlineStr">
        <is>
          <t xml:space="preserve"> * </t>
        </is>
      </c>
    </row>
    <row r="26">
      <c r="A26" s="456" t="inlineStr">
        <is>
          <t xml:space="preserve"> * QA Suite: 118 / 118 PASS (100.0%)</t>
        </is>
      </c>
    </row>
    <row r="27">
      <c r="A27" s="456" t="inlineStr">
        <is>
          <t xml:space="preserve"> */</t>
        </is>
      </c>
    </row>
    <row r="28">
      <c r="A28" s="456" t="inlineStr"/>
    </row>
    <row r="29">
      <c r="A29" s="456" t="inlineStr">
        <is>
          <t>const RBAC_SHEET    = '🔐 RBAC_Matrix';</t>
        </is>
      </c>
    </row>
    <row r="30">
      <c r="A30" s="456" t="inlineStr">
        <is>
          <t>const ROLE_CELL     = 'B10';</t>
        </is>
      </c>
    </row>
    <row r="31">
      <c r="A31" s="456" t="inlineStr">
        <is>
          <t>const SETTINGS_SH   = '⚙️ Настройки';</t>
        </is>
      </c>
    </row>
    <row r="32">
      <c r="A32" s="456" t="inlineStr">
        <is>
          <t>const SESSION_CELL  = 'H9';</t>
        </is>
      </c>
    </row>
    <row r="33">
      <c r="A33" s="456" t="inlineStr">
        <is>
          <t>const MODE_CELL     = 'H10';</t>
        </is>
      </c>
    </row>
    <row r="34">
      <c r="A34" s="456" t="inlineStr"/>
    </row>
    <row r="35">
      <c r="A35" s="456" t="inlineStr">
        <is>
          <t>const ROLES = {</t>
        </is>
      </c>
    </row>
    <row r="36">
      <c r="A36" s="456" t="inlineStr">
        <is>
          <t xml:space="preserve">  // Длинные формы (обратная совместимость)</t>
        </is>
      </c>
    </row>
    <row r="37">
      <c r="A37" s="456" t="inlineStr">
        <is>
          <t xml:space="preserve">  '👑 Собственник / CEO':            '👑 CEO',</t>
        </is>
      </c>
    </row>
    <row r="38">
      <c r="A38" s="456" t="inlineStr">
        <is>
          <t xml:space="preserve">  '📋 Коммерческий директор / РОП':   '📋 РОП',</t>
        </is>
      </c>
    </row>
    <row r="39">
      <c r="A39" s="456" t="inlineStr">
        <is>
          <t xml:space="preserve">  '💼 Менеджер по продажам (KAM)':    '💼 KAM',</t>
        </is>
      </c>
    </row>
    <row r="40">
      <c r="A40" s="456" t="inlineStr">
        <is>
          <t xml:space="preserve">  '📞 Телемаркетолог / SDR':         '📞 SDR',</t>
        </is>
      </c>
    </row>
    <row r="41">
      <c r="A41" s="456" t="inlineStr">
        <is>
          <t xml:space="preserve">  '🌐 Маркетолог / CMO':             '🌐 CMO',</t>
        </is>
      </c>
    </row>
    <row r="42">
      <c r="A42" s="456" t="inlineStr">
        <is>
          <t xml:space="preserve">  '💳 Финансовый директор (CFO)':    '💳 CFO',</t>
        </is>
      </c>
    </row>
    <row r="43">
      <c r="A43" s="456" t="inlineStr">
        <is>
          <t xml:space="preserve">  '🔧 Администратор / RevOps Lead':  '🔧 Admin',</t>
        </is>
      </c>
    </row>
    <row r="44">
      <c r="A44" s="456" t="inlineStr">
        <is>
          <t xml:space="preserve">  // Короткие канонические формы</t>
        </is>
      </c>
    </row>
    <row r="45">
      <c r="A45" s="456" t="inlineStr">
        <is>
          <t xml:space="preserve">  '👑 CEO':   '👑 CEO',</t>
        </is>
      </c>
    </row>
    <row r="46">
      <c r="A46" s="456" t="inlineStr">
        <is>
          <t xml:space="preserve">  '📋 РОП':   '📋 РОП',</t>
        </is>
      </c>
    </row>
    <row r="47">
      <c r="A47" s="456" t="inlineStr">
        <is>
          <t xml:space="preserve">  '💼 KAM':   '💼 KAM',</t>
        </is>
      </c>
    </row>
    <row r="48">
      <c r="A48" s="456" t="inlineStr">
        <is>
          <t xml:space="preserve">  '📞 SDR':   '📞 SDR',</t>
        </is>
      </c>
    </row>
    <row r="49">
      <c r="A49" s="456" t="inlineStr">
        <is>
          <t xml:space="preserve">  '🌐 CMO':   '🌐 CMO',</t>
        </is>
      </c>
    </row>
    <row r="50">
      <c r="A50" s="456" t="inlineStr">
        <is>
          <t xml:space="preserve">  '💳 CFO':   '💳 CFO',</t>
        </is>
      </c>
    </row>
    <row r="51">
      <c r="A51" s="456" t="inlineStr">
        <is>
          <t xml:space="preserve">  '🔧 Admin': '🔧 Admin'</t>
        </is>
      </c>
    </row>
    <row r="52">
      <c r="A52" s="456" t="inlineStr">
        <is>
          <t>};</t>
        </is>
      </c>
    </row>
    <row r="53">
      <c r="A53" s="456" t="inlineStr"/>
    </row>
    <row r="54">
      <c r="A54" s="456" t="inlineStr">
        <is>
          <t>const LANDING = {</t>
        </is>
      </c>
    </row>
    <row r="55">
      <c r="A55" s="456" t="inlineStr">
        <is>
          <t xml:space="preserve">  '👑 CEO':   '📄 Executive_OnePager',</t>
        </is>
      </c>
    </row>
    <row r="56">
      <c r="A56" s="456" t="inlineStr">
        <is>
          <t xml:space="preserve">  '📋 РОП':   '📋 Пульт_РОПа_15_Минут',</t>
        </is>
      </c>
    </row>
    <row r="57">
      <c r="A57" s="456" t="inlineStr">
        <is>
          <t xml:space="preserve">  '💼 KAM':   '⚡ Пульс_Компании',</t>
        </is>
      </c>
    </row>
    <row r="58">
      <c r="A58" s="456" t="inlineStr">
        <is>
          <t xml:space="preserve">  '📞 SDR':   '⚡ Пульс_Компании',</t>
        </is>
      </c>
    </row>
    <row r="59">
      <c r="A59" s="456" t="inlineStr">
        <is>
          <t xml:space="preserve">  '🌐 CMO':   '🌐 Маркетинг_и_Трафик',</t>
        </is>
      </c>
    </row>
    <row r="60">
      <c r="A60" s="456" t="inlineStr">
        <is>
          <t xml:space="preserve">  '💳 CFO':   '💳 Финансы_и_AI_Дожим',</t>
        </is>
      </c>
    </row>
    <row r="61">
      <c r="A61" s="456" t="inlineStr">
        <is>
          <t xml:space="preserve">  '🔧 Admin': '⚙️ Настройки'</t>
        </is>
      </c>
    </row>
    <row r="62">
      <c r="A62" s="456" t="inlineStr">
        <is>
          <t>};</t>
        </is>
      </c>
    </row>
    <row r="63">
      <c r="A63" s="456" t="inlineStr"/>
    </row>
    <row r="64">
      <c r="A64" s="456" t="inlineStr">
        <is>
          <t>const PROTECTED_SHEETS = [</t>
        </is>
      </c>
    </row>
    <row r="65">
      <c r="A65" s="456" t="inlineStr">
        <is>
          <t xml:space="preserve">  'calc_engine','calc_sales','calc_marketing','calc_finance','calc_simulator',</t>
        </is>
      </c>
    </row>
    <row r="66">
      <c r="A66" s="456" t="inlineStr">
        <is>
          <t xml:space="preserve">  'raw_deals','raw_calls','raw_invoices','raw_marketing','raw_touchpoints',</t>
        </is>
      </c>
    </row>
    <row r="67">
      <c r="A67" s="456" t="inlineStr">
        <is>
          <t xml:space="preserve">  'raw_payments','raw_alerts','raw_audit_log',</t>
        </is>
      </c>
    </row>
    <row r="68">
      <c r="A68" s="456" t="inlineStr">
        <is>
          <t xml:space="preserve">  '📋 Data_Contract','🆔 ID_Registry','🛠️ Apps_Script_Console','🔐 Code_Archive'</t>
        </is>
      </c>
    </row>
    <row r="69">
      <c r="A69" s="456" t="inlineStr">
        <is>
          <t>];</t>
        </is>
      </c>
    </row>
    <row r="70">
      <c r="A70" s="456" t="inlineStr"/>
    </row>
    <row r="71">
      <c r="A71" s="456" t="inlineStr">
        <is>
          <t>/**</t>
        </is>
      </c>
    </row>
    <row r="72">
      <c r="A72" s="456" t="inlineStr">
        <is>
          <t xml:space="preserve"> * 1. Чтение RBAC-матрицы</t>
        </is>
      </c>
    </row>
    <row r="73">
      <c r="A73" s="456" t="inlineStr">
        <is>
          <t xml:space="preserve"> */</t>
        </is>
      </c>
    </row>
    <row r="74">
      <c r="A74" s="456" t="inlineStr">
        <is>
          <t>function loadRbacMatrix_() {</t>
        </is>
      </c>
    </row>
    <row r="75">
      <c r="A75" s="456" t="inlineStr">
        <is>
          <t xml:space="preserve">  const sh = SpreadsheetApp.getActive().getSheetByName(RBAC_SHEET);</t>
        </is>
      </c>
    </row>
    <row r="76">
      <c r="A76" s="456" t="inlineStr">
        <is>
          <t xml:space="preserve">  if (!sh) throw new Error('Лист ' + RBAC_SHEET + ' не найден. Проверьте эмодзи 🔐.');</t>
        </is>
      </c>
    </row>
    <row r="77">
      <c r="A77" s="456" t="inlineStr">
        <is>
          <t xml:space="preserve">  const data = sh.getDataRange().getValues();</t>
        </is>
      </c>
    </row>
    <row r="78">
      <c r="A78" s="456" t="inlineStr">
        <is>
          <t xml:space="preserve">  if (data.length &lt; 2) throw new Error('Матрица RBAC пуста.');</t>
        </is>
      </c>
    </row>
    <row r="79">
      <c r="A79" s="456" t="inlineStr">
        <is>
          <t xml:space="preserve">  </t>
        </is>
      </c>
    </row>
    <row r="80">
      <c r="A80" s="456" t="inlineStr">
        <is>
          <t xml:space="preserve">  const headers = data[0];</t>
        </is>
      </c>
    </row>
    <row r="81">
      <c r="A81" s="456" t="inlineStr">
        <is>
          <t xml:space="preserve">  const roleCols = {};</t>
        </is>
      </c>
    </row>
    <row r="82">
      <c r="A82" s="456" t="inlineStr">
        <is>
          <t xml:space="preserve">  for (let c = 3; c &lt; headers.length; c++) {</t>
        </is>
      </c>
    </row>
    <row r="83">
      <c r="A83" s="456" t="inlineStr">
        <is>
          <t xml:space="preserve">    roleCols[String(headers[c]).trim()] = c;</t>
        </is>
      </c>
    </row>
    <row r="84">
      <c r="A84" s="456" t="inlineStr">
        <is>
          <t xml:space="preserve">  }</t>
        </is>
      </c>
    </row>
    <row r="85">
      <c r="A85" s="456" t="inlineStr"/>
    </row>
    <row r="86">
      <c r="A86" s="456" t="inlineStr">
        <is>
          <t xml:space="preserve">  const map = {};</t>
        </is>
      </c>
    </row>
    <row r="87">
      <c r="A87" s="456" t="inlineStr">
        <is>
          <t xml:space="preserve">  for (let r = 1; r &lt; data.length; r++) {</t>
        </is>
      </c>
    </row>
    <row r="88">
      <c r="A88" s="456" t="inlineStr">
        <is>
          <t xml:space="preserve">    const name = String(data[r][0] || '').trim();</t>
        </is>
      </c>
    </row>
    <row r="89">
      <c r="A89" s="456" t="inlineStr">
        <is>
          <t xml:space="preserve">    if (!name) continue;</t>
        </is>
      </c>
    </row>
    <row r="90">
      <c r="A90" s="456" t="inlineStr">
        <is>
          <t xml:space="preserve">    map[name] = {</t>
        </is>
      </c>
    </row>
    <row r="91">
      <c r="A91" s="456" t="inlineStr">
        <is>
          <t xml:space="preserve">      always: data[r][2] === true || String(data[r][2]).toUpperCase() === 'TRUE',</t>
        </is>
      </c>
    </row>
    <row r="92">
      <c r="A92" s="456" t="inlineStr">
        <is>
          <t xml:space="preserve">      roles: {}</t>
        </is>
      </c>
    </row>
    <row r="93">
      <c r="A93" s="456" t="inlineStr">
        <is>
          <t xml:space="preserve">    };</t>
        </is>
      </c>
    </row>
    <row r="94">
      <c r="A94" s="456" t="inlineStr">
        <is>
          <t xml:space="preserve">    for (const role in roleCols) {</t>
        </is>
      </c>
    </row>
    <row r="95">
      <c r="A95" s="456" t="inlineStr">
        <is>
          <t xml:space="preserve">      map[name].roles[role] = String(data[r][roleCols[role]] || '').trim();</t>
        </is>
      </c>
    </row>
    <row r="96">
      <c r="A96" s="456" t="inlineStr">
        <is>
          <t xml:space="preserve">    }</t>
        </is>
      </c>
    </row>
    <row r="97">
      <c r="A97" s="456" t="inlineStr">
        <is>
          <t xml:space="preserve">  }</t>
        </is>
      </c>
    </row>
    <row r="98">
      <c r="A98" s="456" t="inlineStr">
        <is>
          <t xml:space="preserve">  return map;</t>
        </is>
      </c>
    </row>
    <row r="99">
      <c r="A99" s="456" t="inlineStr">
        <is>
          <t>}</t>
        </is>
      </c>
    </row>
    <row r="100">
      <c r="A100" s="456" t="inlineStr"/>
    </row>
    <row r="101">
      <c r="A101" s="456" t="inlineStr">
        <is>
          <t>/**</t>
        </is>
      </c>
    </row>
    <row r="102">
      <c r="A102" s="456" t="inlineStr">
        <is>
          <t xml:space="preserve"> * 2. Определение роли и целевого Landing-дашборда текущего пользователя</t>
        </is>
      </c>
    </row>
    <row r="103">
      <c r="A103" s="456" t="inlineStr">
        <is>
          <t xml:space="preserve"> * Диапазон расширен до J10:L100 (100 строк)</t>
        </is>
      </c>
    </row>
    <row r="104">
      <c r="A104" s="456" t="inlineStr">
        <is>
          <t xml:space="preserve"> */</t>
        </is>
      </c>
    </row>
    <row r="105">
      <c r="A105" s="456" t="inlineStr">
        <is>
          <t>function getUserRoleAndLanding_() {</t>
        </is>
      </c>
    </row>
    <row r="106">
      <c r="A106" s="456" t="inlineStr">
        <is>
          <t xml:space="preserve">  const ss = SpreadsheetApp.getActive();</t>
        </is>
      </c>
    </row>
    <row r="107">
      <c r="A107" s="456" t="inlineStr">
        <is>
          <t xml:space="preserve">  const email = Session.getActiveUser().getEmail();</t>
        </is>
      </c>
    </row>
    <row r="108">
      <c r="A108" s="456" t="inlineStr">
        <is>
          <t xml:space="preserve">  const settingsSh = ss.getSheetByName(SETTINGS_SH);</t>
        </is>
      </c>
    </row>
    <row r="109">
      <c r="A109" s="456" t="inlineStr">
        <is>
          <t xml:space="preserve">  const defaultRole = settingsSh ? String(settingsSh.getRange(ROLE_CELL).getValue()).trim() : '👑 CEO';</t>
        </is>
      </c>
    </row>
    <row r="110">
      <c r="A110" s="456" t="inlineStr">
        <is>
          <t xml:space="preserve">  </t>
        </is>
      </c>
    </row>
    <row r="111">
      <c r="A111" s="456" t="inlineStr">
        <is>
          <t xml:space="preserve">  if (!email) {</t>
        </is>
      </c>
    </row>
    <row r="112">
      <c r="A112" s="456" t="inlineStr">
        <is>
          <t xml:space="preserve">    return { role: defaultRole, landing: LANDING[ROLES[defaultRole]] || '📄 Executive_OnePager', source: 'DEFAULT_B10' };</t>
        </is>
      </c>
    </row>
    <row r="113">
      <c r="A113" s="456" t="inlineStr">
        <is>
          <t xml:space="preserve">  }</t>
        </is>
      </c>
    </row>
    <row r="114">
      <c r="A114" s="456" t="inlineStr"/>
    </row>
    <row r="115">
      <c r="A115" s="456" t="inlineStr">
        <is>
          <t xml:space="preserve">  // 1. Проверяем лист 👥 Users_Roles если он существует</t>
        </is>
      </c>
    </row>
    <row r="116">
      <c r="A116" s="456" t="inlineStr">
        <is>
          <t xml:space="preserve">  const userSh = ss.getSheetByName('👥 Users_Roles');</t>
        </is>
      </c>
    </row>
    <row r="117">
      <c r="A117" s="456" t="inlineStr">
        <is>
          <t xml:space="preserve">  if (userSh) {</t>
        </is>
      </c>
    </row>
    <row r="118">
      <c r="A118" s="456" t="inlineStr">
        <is>
          <t xml:space="preserve">    const data = userSh.getDataRange().getValues();</t>
        </is>
      </c>
    </row>
    <row r="119">
      <c r="A119" s="456" t="inlineStr">
        <is>
          <t xml:space="preserve">    for (let r = 1; r &lt; data.length; r++) {</t>
        </is>
      </c>
    </row>
    <row r="120">
      <c r="A120" s="456" t="inlineStr">
        <is>
          <t xml:space="preserve">      const rowEmail = String(data[r][0] || '').trim().toLowerCase();</t>
        </is>
      </c>
    </row>
    <row r="121">
      <c r="A121" s="456" t="inlineStr">
        <is>
          <t xml:space="preserve">      if (rowEmail === email.toLowerCase()) {</t>
        </is>
      </c>
    </row>
    <row r="122">
      <c r="A122" s="456" t="inlineStr">
        <is>
          <t xml:space="preserve">        const role = String(data[r][1] || '').trim();</t>
        </is>
      </c>
    </row>
    <row r="123">
      <c r="A123" s="456" t="inlineStr">
        <is>
          <t xml:space="preserve">        const landing = String(data[r][2] || '').trim() || LANDING[ROLES[role]];</t>
        </is>
      </c>
    </row>
    <row r="124">
      <c r="A124" s="456" t="inlineStr">
        <is>
          <t xml:space="preserve">        return { role: role, landing: landing, source: 'USERS_ROLES_SHEET' };</t>
        </is>
      </c>
    </row>
    <row r="125">
      <c r="A125" s="456" t="inlineStr">
        <is>
          <t xml:space="preserve">      }</t>
        </is>
      </c>
    </row>
    <row r="126">
      <c r="A126" s="456" t="inlineStr">
        <is>
          <t xml:space="preserve">    }</t>
        </is>
      </c>
    </row>
    <row r="127">
      <c r="A127" s="456" t="inlineStr">
        <is>
          <t xml:space="preserve">  }</t>
        </is>
      </c>
    </row>
    <row r="128">
      <c r="A128" s="456" t="inlineStr"/>
    </row>
    <row r="129">
      <c r="A129" s="456" t="inlineStr">
        <is>
          <t xml:space="preserve">  // 2. Проверяем таблицу на листе Настройки (J10:L100)</t>
        </is>
      </c>
    </row>
    <row r="130">
      <c r="A130" s="456" t="inlineStr">
        <is>
          <t xml:space="preserve">  if (settingsSh) {</t>
        </is>
      </c>
    </row>
    <row r="131">
      <c r="A131" s="456" t="inlineStr">
        <is>
          <t xml:space="preserve">    const data = settingsSh.getRange('J10:L100').getValues();</t>
        </is>
      </c>
    </row>
    <row r="132">
      <c r="A132" s="456" t="inlineStr">
        <is>
          <t xml:space="preserve">    for (let r = 0; r &lt; data.length; r++) {</t>
        </is>
      </c>
    </row>
    <row r="133">
      <c r="A133" s="456" t="inlineStr">
        <is>
          <t xml:space="preserve">      const rowEmail = String(data[r][0] || '').trim().toLowerCase();</t>
        </is>
      </c>
    </row>
    <row r="134">
      <c r="A134" s="456" t="inlineStr">
        <is>
          <t xml:space="preserve">      if (rowEmail === email.toLowerCase()) {</t>
        </is>
      </c>
    </row>
    <row r="135">
      <c r="A135" s="456" t="inlineStr">
        <is>
          <t xml:space="preserve">        const role = String(data[r][1] || '').trim();</t>
        </is>
      </c>
    </row>
    <row r="136">
      <c r="A136" s="456" t="inlineStr">
        <is>
          <t xml:space="preserve">        const landing = String(data[r][2] || '').trim() || LANDING[ROLES[role]];</t>
        </is>
      </c>
    </row>
    <row r="137">
      <c r="A137" s="456" t="inlineStr">
        <is>
          <t xml:space="preserve">        return { role: role, landing: landing, source: 'SETTINGS_MAP' };</t>
        </is>
      </c>
    </row>
    <row r="138">
      <c r="A138" s="456" t="inlineStr">
        <is>
          <t xml:space="preserve">      }</t>
        </is>
      </c>
    </row>
    <row r="139">
      <c r="A139" s="456" t="inlineStr">
        <is>
          <t xml:space="preserve">    }</t>
        </is>
      </c>
    </row>
    <row r="140">
      <c r="A140" s="456" t="inlineStr">
        <is>
          <t xml:space="preserve">  }</t>
        </is>
      </c>
    </row>
    <row r="141">
      <c r="A141" s="456" t="inlineStr"/>
    </row>
    <row r="142">
      <c r="A142" s="456" t="inlineStr">
        <is>
          <t xml:space="preserve">  // 3. Fallback на роль из ячейки B10</t>
        </is>
      </c>
    </row>
    <row r="143">
      <c r="A143" s="456" t="inlineStr">
        <is>
          <t xml:space="preserve">  return { role: defaultRole, landing: LANDING[ROLES[defaultRole]] || '📄 Executive_OnePager', source: 'FALLBACK_B10' };</t>
        </is>
      </c>
    </row>
    <row r="144">
      <c r="A144" s="456" t="inlineStr">
        <is>
          <t>}</t>
        </is>
      </c>
    </row>
    <row r="145">
      <c r="A145" s="456" t="inlineStr"/>
    </row>
    <row r="146">
      <c r="A146" s="456" t="inlineStr">
        <is>
          <t>/**</t>
        </is>
      </c>
    </row>
    <row r="147">
      <c r="A147" s="456" t="inlineStr">
        <is>
          <t xml:space="preserve"> * Проверка: текущий пользователь — CEO или Admin (по email-карте)</t>
        </is>
      </c>
    </row>
    <row r="148">
      <c r="A148" s="456" t="inlineStr">
        <is>
          <t xml:space="preserve"> */</t>
        </is>
      </c>
    </row>
    <row r="149">
      <c r="A149" s="456" t="inlineStr">
        <is>
          <t>function isCurrentUserAdmin_() {</t>
        </is>
      </c>
    </row>
    <row r="150">
      <c r="A150" s="456" t="inlineStr">
        <is>
          <t xml:space="preserve">  try {</t>
        </is>
      </c>
    </row>
    <row r="151">
      <c r="A151" s="456" t="inlineStr">
        <is>
          <t xml:space="preserve">    const info = getUserRoleAndLanding_();</t>
        </is>
      </c>
    </row>
    <row r="152">
      <c r="A152" s="456" t="inlineStr">
        <is>
          <t xml:space="preserve">    const key = ROLES[info.role];</t>
        </is>
      </c>
    </row>
    <row r="153">
      <c r="A153" s="456" t="inlineStr">
        <is>
          <t xml:space="preserve">    return key === '👑 CEO' || key === '🔧 Admin';</t>
        </is>
      </c>
    </row>
    <row r="154">
      <c r="A154" s="456" t="inlineStr">
        <is>
          <t xml:space="preserve">  } catch (e) {</t>
        </is>
      </c>
    </row>
    <row r="155">
      <c r="A155" s="456" t="inlineStr">
        <is>
          <t xml:space="preserve">    return false;</t>
        </is>
      </c>
    </row>
    <row r="156">
      <c r="A156" s="456" t="inlineStr">
        <is>
          <t xml:space="preserve">  }</t>
        </is>
      </c>
    </row>
    <row r="157">
      <c r="A157" s="456" t="inlineStr">
        <is>
          <t>}</t>
        </is>
      </c>
    </row>
    <row r="158">
      <c r="A158" s="456" t="inlineStr"/>
    </row>
    <row r="159">
      <c r="A159" s="456" t="inlineStr">
        <is>
          <t>/**</t>
        </is>
      </c>
    </row>
    <row r="160">
      <c r="A160" s="456" t="inlineStr">
        <is>
          <t xml:space="preserve"> * 3. Применение прав доступа и видимости</t>
        </is>
      </c>
    </row>
    <row r="161">
      <c r="A161" s="456" t="inlineStr">
        <is>
          <t xml:space="preserve"> */</t>
        </is>
      </c>
    </row>
    <row r="162">
      <c r="A162" s="456" t="inlineStr">
        <is>
          <t>function applyRoleVisibility(roleLabel, opts) {</t>
        </is>
      </c>
    </row>
    <row r="163">
      <c r="A163" s="456" t="inlineStr">
        <is>
          <t xml:space="preserve">  opts = opts || {};</t>
        </is>
      </c>
    </row>
    <row r="164">
      <c r="A164" s="456" t="inlineStr">
        <is>
          <t xml:space="preserve">  const ss = SpreadsheetApp.getActive();</t>
        </is>
      </c>
    </row>
    <row r="165">
      <c r="A165" s="456" t="inlineStr">
        <is>
          <t xml:space="preserve">  const settingsSheet = ss.getSheetByName(SETTINGS_SH);</t>
        </is>
      </c>
    </row>
    <row r="166">
      <c r="A166" s="456" t="inlineStr">
        <is>
          <t xml:space="preserve">  const roleKey = ROLES[roleLabel] || '👑 CEO';</t>
        </is>
      </c>
    </row>
    <row r="167">
      <c r="A167" s="456" t="inlineStr">
        <is>
          <t xml:space="preserve">  const isFallback = !roleLabel || !ROLES[roleLabel];</t>
        </is>
      </c>
    </row>
    <row r="168">
      <c r="A168" s="456" t="inlineStr">
        <is>
          <t xml:space="preserve">  const matrix = loadRbacMatrix_();</t>
        </is>
      </c>
    </row>
    <row r="169">
      <c r="A169" s="456" t="inlineStr"/>
    </row>
    <row r="170">
      <c r="A170" s="456" t="inlineStr">
        <is>
          <t xml:space="preserve">  const modeVal = settingsSheet ? String(settingsSheet.getRange(MODE_CELL).getValue()) : '';</t>
        </is>
      </c>
    </row>
    <row r="171">
      <c r="A171" s="456" t="inlineStr">
        <is>
          <t xml:space="preserve">  const isMultiUserMode = modeVal.indexOf('Multi-User') !== -1 &amp;&amp; !opts.forceSolo;</t>
        </is>
      </c>
    </row>
    <row r="172">
      <c r="A172" s="456" t="inlineStr"/>
    </row>
    <row r="173">
      <c r="A173" s="456" t="inlineStr">
        <is>
          <t xml:space="preserve">  const allSheets = ss.getSheets();</t>
        </is>
      </c>
    </row>
    <row r="174">
      <c r="A174" s="456" t="inlineStr">
        <is>
          <t xml:space="preserve">  const toShow = [];</t>
        </is>
      </c>
    </row>
    <row r="175">
      <c r="A175" s="456" t="inlineStr">
        <is>
          <t xml:space="preserve">  const toHide = [];</t>
        </is>
      </c>
    </row>
    <row r="176">
      <c r="A176" s="456" t="inlineStr">
        <is>
          <t xml:space="preserve">  const orphans = [];</t>
        </is>
      </c>
    </row>
    <row r="177">
      <c r="A177" s="456" t="inlineStr"/>
    </row>
    <row r="178">
      <c r="A178" s="456" t="inlineStr">
        <is>
          <t xml:space="preserve">  allSheets.forEach(sh =&gt; {</t>
        </is>
      </c>
    </row>
    <row r="179">
      <c r="A179" s="456" t="inlineStr">
        <is>
          <t xml:space="preserve">    const name = sh.getName();</t>
        </is>
      </c>
    </row>
    <row r="180">
      <c r="A180" s="456" t="inlineStr">
        <is>
          <t xml:space="preserve">    if (name === RBAC_SHEET) {</t>
        </is>
      </c>
    </row>
    <row r="181">
      <c r="A181" s="456" t="inlineStr">
        <is>
          <t xml:space="preserve">      const cfg = matrix[name];</t>
        </is>
      </c>
    </row>
    <row r="182">
      <c r="A182" s="456" t="inlineStr">
        <is>
          <t xml:space="preserve">      const access = cfg ? cfg.roles[roleKey] : null;</t>
        </is>
      </c>
    </row>
    <row r="183">
      <c r="A183" s="456" t="inlineStr">
        <is>
          <t xml:space="preserve">      if (access === '👁' || access === '✏️') toShow.push(sh); else toHide.push(sh);</t>
        </is>
      </c>
    </row>
    <row r="184">
      <c r="A184" s="456" t="inlineStr">
        <is>
          <t xml:space="preserve">      return;</t>
        </is>
      </c>
    </row>
    <row r="185">
      <c r="A185" s="456" t="inlineStr">
        <is>
          <t xml:space="preserve">    }</t>
        </is>
      </c>
    </row>
    <row r="186">
      <c r="A186" s="456" t="inlineStr">
        <is>
          <t xml:space="preserve">    const cfg = matrix[name];</t>
        </is>
      </c>
    </row>
    <row r="187">
      <c r="A187" s="456" t="inlineStr">
        <is>
          <t xml:space="preserve">    if (!cfg) {</t>
        </is>
      </c>
    </row>
    <row r="188">
      <c r="A188" s="456" t="inlineStr">
        <is>
          <t xml:space="preserve">      orphans.push(name);</t>
        </is>
      </c>
    </row>
    <row r="189">
      <c r="A189" s="456" t="inlineStr">
        <is>
          <t xml:space="preserve">      if (roleKey === '🔧 Admin') toShow.push(sh); else toHide.push(sh);</t>
        </is>
      </c>
    </row>
    <row r="190">
      <c r="A190" s="456" t="inlineStr">
        <is>
          <t xml:space="preserve">      return;</t>
        </is>
      </c>
    </row>
    <row r="191">
      <c r="A191" s="456" t="inlineStr">
        <is>
          <t xml:space="preserve">    }</t>
        </is>
      </c>
    </row>
    <row r="192">
      <c r="A192" s="456" t="inlineStr">
        <is>
          <t xml:space="preserve">    const access = cfg.always ? '👁' : cfg.roles[roleKey];</t>
        </is>
      </c>
    </row>
    <row r="193">
      <c r="A193" s="456" t="inlineStr">
        <is>
          <t xml:space="preserve">    if (access === '👁' || access === '✏️') toShow.push(sh);</t>
        </is>
      </c>
    </row>
    <row r="194">
      <c r="A194" s="456" t="inlineStr">
        <is>
          <t xml:space="preserve">    else toHide.push(sh);</t>
        </is>
      </c>
    </row>
    <row r="195">
      <c r="A195" s="456" t="inlineStr">
        <is>
          <t xml:space="preserve">  });</t>
        </is>
      </c>
    </row>
    <row r="196">
      <c r="A196" s="456" t="inlineStr"/>
    </row>
    <row r="197">
      <c r="A197" s="456" t="inlineStr">
        <is>
          <t xml:space="preserve">  if (toShow.length === 0) {</t>
        </is>
      </c>
    </row>
    <row r="198">
      <c r="A198" s="456" t="inlineStr">
        <is>
          <t xml:space="preserve">    const fallback = settingsSheet;</t>
        </is>
      </c>
    </row>
    <row r="199">
      <c r="A199" s="456" t="inlineStr">
        <is>
          <t xml:space="preserve">    if (fallback) toShow.push(fallback);</t>
        </is>
      </c>
    </row>
    <row r="200">
      <c r="A200" s="456" t="inlineStr">
        <is>
          <t xml:space="preserve">  }</t>
        </is>
      </c>
    </row>
    <row r="201">
      <c r="A201" s="456" t="inlineStr"/>
    </row>
    <row r="202">
      <c r="A202" s="456" t="inlineStr">
        <is>
          <t xml:space="preserve">  // 1. Отображаем разрешенные листы</t>
        </is>
      </c>
    </row>
    <row r="203">
      <c r="A203" s="456" t="inlineStr">
        <is>
          <t xml:space="preserve">  toShow.forEach(sh =&gt; {</t>
        </is>
      </c>
    </row>
    <row r="204">
      <c r="A204" s="456" t="inlineStr">
        <is>
          <t xml:space="preserve">    try {</t>
        </is>
      </c>
    </row>
    <row r="205">
      <c r="A205" s="456" t="inlineStr">
        <is>
          <t xml:space="preserve">      if (sh.isSheetHidden()) sh.showSheet();</t>
        </is>
      </c>
    </row>
    <row r="206">
      <c r="A206" s="456" t="inlineStr">
        <is>
          <t xml:space="preserve">    } catch(err) {</t>
        </is>
      </c>
    </row>
    <row r="207">
      <c r="A207" s="456" t="inlineStr">
        <is>
          <t xml:space="preserve">      console.warn('Ошибка отображения листа ' + sh.getName() + ': ' + err.message);</t>
        </is>
      </c>
    </row>
    <row r="208">
      <c r="A208" s="456" t="inlineStr">
        <is>
          <t xml:space="preserve">    }</t>
        </is>
      </c>
    </row>
    <row r="209">
      <c r="A209" s="456" t="inlineStr">
        <is>
          <t xml:space="preserve">  });</t>
        </is>
      </c>
    </row>
    <row r="210">
      <c r="A210" s="456" t="inlineStr"/>
    </row>
    <row r="211">
      <c r="A211" s="456" t="inlineStr">
        <is>
          <t xml:space="preserve">  // 2. Сначала переключаем фокус на целевой Landing</t>
        </is>
      </c>
    </row>
    <row r="212">
      <c r="A212" s="456" t="inlineStr">
        <is>
          <t xml:space="preserve">  const targetLanding = opts.targetLanding || LANDING[roleKey];</t>
        </is>
      </c>
    </row>
    <row r="213">
      <c r="A213" s="456" t="inlineStr">
        <is>
          <t xml:space="preserve">  const landing = targetLanding ? ss.getSheetByName(targetLanding) : null;</t>
        </is>
      </c>
    </row>
    <row r="214">
      <c r="A214" s="456" t="inlineStr">
        <is>
          <t xml:space="preserve">  if (landing &amp;&amp; !landing.isSheetHidden()) {</t>
        </is>
      </c>
    </row>
    <row r="215">
      <c r="A215" s="456" t="inlineStr">
        <is>
          <t xml:space="preserve">    try { ss.setActiveSheet(landing); } catch(e) {}</t>
        </is>
      </c>
    </row>
    <row r="216">
      <c r="A216" s="456" t="inlineStr">
        <is>
          <t xml:space="preserve">  } else if (toShow.length &gt; 0) {</t>
        </is>
      </c>
    </row>
    <row r="217">
      <c r="A217" s="456" t="inlineStr">
        <is>
          <t xml:space="preserve">    try { ss.setActiveSheet(toShow[0]); } catch(e) {}</t>
        </is>
      </c>
    </row>
    <row r="218">
      <c r="A218" s="456" t="inlineStr">
        <is>
          <t xml:space="preserve">  }</t>
        </is>
      </c>
    </row>
    <row r="219">
      <c r="A219" s="456" t="inlineStr"/>
    </row>
    <row r="220">
      <c r="A220" s="456" t="inlineStr">
        <is>
          <t xml:space="preserve">  // 3. Управление скрытием листов</t>
        </is>
      </c>
    </row>
    <row r="221">
      <c r="A221" s="456" t="inlineStr">
        <is>
          <t xml:space="preserve">  if (!isMultiUserMode) {</t>
        </is>
      </c>
    </row>
    <row r="222">
      <c r="A222" s="456" t="inlineStr">
        <is>
          <t xml:space="preserve">    // Solo Focus режим</t>
        </is>
      </c>
    </row>
    <row r="223">
      <c r="A223" s="456" t="inlineStr">
        <is>
          <t xml:space="preserve">    toHide.forEach(sh =&gt; {</t>
        </is>
      </c>
    </row>
    <row r="224">
      <c r="A224" s="456" t="inlineStr">
        <is>
          <t xml:space="preserve">      try {</t>
        </is>
      </c>
    </row>
    <row r="225">
      <c r="A225" s="456" t="inlineStr">
        <is>
          <t xml:space="preserve">        if (!sh.isSheetHidden()) sh.hideSheet();</t>
        </is>
      </c>
    </row>
    <row r="226">
      <c r="A226" s="456" t="inlineStr">
        <is>
          <t xml:space="preserve">      } catch(err) {</t>
        </is>
      </c>
    </row>
    <row r="227">
      <c r="A227" s="456" t="inlineStr">
        <is>
          <t xml:space="preserve">        ss.toast('⚠️ Не удалось скрыть лист ' + sh.getName() + ' (активен у пользователя)', 'RevOps RBAC', 4);</t>
        </is>
      </c>
    </row>
    <row r="228">
      <c r="A228" s="456" t="inlineStr">
        <is>
          <t xml:space="preserve">      }</t>
        </is>
      </c>
    </row>
    <row r="229">
      <c r="A229" s="456" t="inlineStr">
        <is>
          <t xml:space="preserve">    });</t>
        </is>
      </c>
    </row>
    <row r="230">
      <c r="A230" s="456" t="inlineStr">
        <is>
          <t xml:space="preserve">  } else {</t>
        </is>
      </c>
    </row>
    <row r="231">
      <c r="A231" s="456" t="inlineStr">
        <is>
          <t xml:space="preserve">    // Multi-User режим: скрываем только сырые и служебные листы (Raw/Calc)</t>
        </is>
      </c>
    </row>
    <row r="232">
      <c r="A232" s="456" t="inlineStr">
        <is>
          <t xml:space="preserve">    toHide.forEach(sh =&gt; {</t>
        </is>
      </c>
    </row>
    <row r="233">
      <c r="A233" s="456" t="inlineStr">
        <is>
          <t xml:space="preserve">      const name = sh.getName();</t>
        </is>
      </c>
    </row>
    <row r="234">
      <c r="A234" s="456" t="inlineStr">
        <is>
          <t xml:space="preserve">      if (name.startsWith('raw_') || name.startsWith('calc_') || PROTECTED_SHEETS.includes(name)) {</t>
        </is>
      </c>
    </row>
    <row r="235">
      <c r="A235" s="456" t="inlineStr">
        <is>
          <t xml:space="preserve">        try { if (!sh.isSheetHidden()) sh.hideSheet(); } catch(err) {}</t>
        </is>
      </c>
    </row>
    <row r="236">
      <c r="A236" s="456" t="inlineStr">
        <is>
          <t xml:space="preserve">      }</t>
        </is>
      </c>
    </row>
    <row r="237">
      <c r="A237" s="456" t="inlineStr">
        <is>
          <t xml:space="preserve">    });</t>
        </is>
      </c>
    </row>
    <row r="238">
      <c r="A238" s="456" t="inlineStr">
        <is>
          <t xml:space="preserve">  }</t>
        </is>
      </c>
    </row>
    <row r="239">
      <c r="A239" s="456" t="inlineStr"/>
    </row>
    <row r="240">
      <c r="A240" s="456" t="inlineStr">
        <is>
          <t xml:space="preserve">  // Финальный фокус</t>
        </is>
      </c>
    </row>
    <row r="241">
      <c r="A241" s="456" t="inlineStr">
        <is>
          <t xml:space="preserve">  if (landing &amp;&amp; !landing.isSheetHidden()) {</t>
        </is>
      </c>
    </row>
    <row r="242">
      <c r="A242" s="456" t="inlineStr">
        <is>
          <t xml:space="preserve">    try { ss.setActiveSheet(landing); } catch(e) {}</t>
        </is>
      </c>
    </row>
    <row r="243">
      <c r="A243" s="456" t="inlineStr">
        <is>
          <t xml:space="preserve">  }</t>
        </is>
      </c>
    </row>
    <row r="244">
      <c r="A244" s="456" t="inlineStr"/>
    </row>
    <row r="245">
      <c r="A245" s="456" t="inlineStr">
        <is>
          <t xml:space="preserve">  // Уведомление</t>
        </is>
      </c>
    </row>
    <row r="246">
      <c r="A246" s="456" t="inlineStr">
        <is>
          <t xml:space="preserve">  if (!opts.silent) {</t>
        </is>
      </c>
    </row>
    <row r="247">
      <c r="A247" s="456" t="inlineStr">
        <is>
          <t xml:space="preserve">    let msg = isMultiUserMode</t>
        </is>
      </c>
    </row>
    <row r="248">
      <c r="A248" s="456" t="inlineStr">
        <is>
          <t xml:space="preserve">      ? '👥 Режим Multi-User: открыт ' + (targetLanding || 'дашборд') + ' (вкладки коллег сохранены).'</t>
        </is>
      </c>
    </row>
    <row r="249">
      <c r="A249" s="456" t="inlineStr">
        <is>
          <t xml:space="preserve">      : '🎯 Режим Solo Focus: видимых листов ' + toShow.length + ' из ' + allSheets.length;</t>
        </is>
      </c>
    </row>
    <row r="250">
      <c r="A250" s="456" t="inlineStr">
        <is>
          <t xml:space="preserve">    if (isFallback) msg = '⚠️ Роль не распознана, применен профиль CEO.\\n' + msg;</t>
        </is>
      </c>
    </row>
    <row r="251">
      <c r="A251" s="456" t="inlineStr">
        <is>
          <t xml:space="preserve">    ss.toast(msg, '🛡️ Доступ: ' + (roleLabel || 'CEO'), 6);</t>
        </is>
      </c>
    </row>
    <row r="252">
      <c r="A252" s="456" t="inlineStr">
        <is>
          <t xml:space="preserve">  }</t>
        </is>
      </c>
    </row>
    <row r="253">
      <c r="A253" s="456" t="inlineStr"/>
    </row>
    <row r="254">
      <c r="A254" s="456" t="inlineStr">
        <is>
          <t xml:space="preserve">  // Запись в аудит-лог только при явных действиях пользователя</t>
        </is>
      </c>
    </row>
    <row r="255">
      <c r="A255" s="456" t="inlineStr">
        <is>
          <t xml:space="preserve">  if (!opts.silent) {</t>
        </is>
      </c>
    </row>
    <row r="256">
      <c r="A256" s="456" t="inlineStr">
        <is>
          <t xml:space="preserve">    writeRbacAudit_(roleLabel, roleKey, isFallback, orphans.length, opts.oldRole, isMultiUserMode ? 'MULTI_USER' : 'SOLO_FOCUS');</t>
        </is>
      </c>
    </row>
    <row r="257">
      <c r="A257" s="456" t="inlineStr">
        <is>
          <t xml:space="preserve">  }</t>
        </is>
      </c>
    </row>
    <row r="258">
      <c r="A258" s="456" t="inlineStr">
        <is>
          <t>}</t>
        </is>
      </c>
    </row>
    <row r="259">
      <c r="A259" s="456" t="inlineStr"/>
    </row>
    <row r="260">
      <c r="A260" s="456" t="inlineStr">
        <is>
          <t>/**</t>
        </is>
      </c>
    </row>
    <row r="261">
      <c r="A261" s="456" t="inlineStr">
        <is>
          <t xml:space="preserve"> * 4. Аудит переключения ролей и режимов</t>
        </is>
      </c>
    </row>
    <row r="262">
      <c r="A262" s="456" t="inlineStr">
        <is>
          <t xml:space="preserve"> */</t>
        </is>
      </c>
    </row>
    <row r="263">
      <c r="A263" s="456" t="inlineStr">
        <is>
          <t>function writeRbacAudit_(roleLabel, roleKey, isFallback, orphanCount, oldRole, mode) {</t>
        </is>
      </c>
    </row>
    <row r="264">
      <c r="A264" s="456" t="inlineStr">
        <is>
          <t xml:space="preserve">  const sh = SpreadsheetApp.getActive().getSheetByName('raw_audit_log');</t>
        </is>
      </c>
    </row>
    <row r="265">
      <c r="A265" s="456" t="inlineStr">
        <is>
          <t xml:space="preserve">  if (!sh) return;</t>
        </is>
      </c>
    </row>
    <row r="266">
      <c r="A266" s="456" t="inlineStr">
        <is>
          <t xml:space="preserve">  const tz = SpreadsheetApp.getActive() ? SpreadsheetApp.getActive().getSpreadsheetTimeZone() : 'GMT+3';</t>
        </is>
      </c>
    </row>
    <row r="267">
      <c r="A267" s="456" t="inlineStr">
        <is>
          <t xml:space="preserve">  const ts = Utilities.formatDate(new Date(), tz, 'yyyy-MM-dd HH:mm:ss');</t>
        </is>
      </c>
    </row>
    <row r="268">
      <c r="A268" s="456" t="inlineStr">
        <is>
          <t xml:space="preserve">  const evId = 'EV-RBAC-' + Math.floor(100000 + Math.random() * 900000);</t>
        </is>
      </c>
    </row>
    <row r="269">
      <c r="A269" s="456" t="inlineStr">
        <is>
          <t xml:space="preserve">  const prevVal = (oldRole &amp;&amp; String(oldRole).trim() !== '') ? String(oldRole).trim() : '(старт)';</t>
        </is>
      </c>
    </row>
    <row r="270">
      <c r="A270" s="456" t="inlineStr">
        <is>
          <t xml:space="preserve">  sh.appendRow([</t>
        </is>
      </c>
    </row>
    <row r="271">
      <c r="A271" s="456" t="inlineStr">
        <is>
          <t xml:space="preserve">    evId, ts, Session.getActiveUser().getEmail() || 'revops-admin',</t>
        </is>
      </c>
    </row>
    <row r="272">
      <c r="A272" s="456" t="inlineStr">
        <is>
          <t xml:space="preserve">    SETTINGS_SH, 'ROLE_SWITCH', ROLE_CELL,</t>
        </is>
      </c>
    </row>
    <row r="273">
      <c r="A273" s="456" t="inlineStr">
        <is>
          <t xml:space="preserve">    'role', prevVal, roleLabel + ' [' + (mode || 'STD') + ']' + (isFallback ? ' [FALLBACK]' : ''),</t>
        </is>
      </c>
    </row>
    <row r="274">
      <c r="A274" s="456" t="inlineStr">
        <is>
          <t xml:space="preserve">    'RBAC', 'SUCCESS'</t>
        </is>
      </c>
    </row>
    <row r="275">
      <c r="A275" s="456" t="inlineStr">
        <is>
          <t xml:space="preserve">  ]);</t>
        </is>
      </c>
    </row>
    <row r="276">
      <c r="A276" s="456" t="inlineStr">
        <is>
          <t>}</t>
        </is>
      </c>
    </row>
    <row r="277">
      <c r="A277" s="456" t="inlineStr"/>
    </row>
    <row r="278">
      <c r="A278" s="456" t="inlineStr">
        <is>
          <t>/**</t>
        </is>
      </c>
    </row>
    <row r="279">
      <c r="A279" s="456" t="inlineStr">
        <is>
          <t xml:space="preserve"> * 5. Запуск сессии планирования</t>
        </is>
      </c>
    </row>
    <row r="280">
      <c r="A280" s="456" t="inlineStr">
        <is>
          <t xml:space="preserve"> */</t>
        </is>
      </c>
    </row>
    <row r="281">
      <c r="A281" s="456" t="inlineStr">
        <is>
          <t>function startPlanningSession(roleKey, soloMode) {</t>
        </is>
      </c>
    </row>
    <row r="282">
      <c r="A282" s="456" t="inlineStr">
        <is>
          <t xml:space="preserve">  const ss = SpreadsheetApp.getActive();</t>
        </is>
      </c>
    </row>
    <row r="283">
      <c r="A283" s="456" t="inlineStr">
        <is>
          <t xml:space="preserve">  const st = ss.getSheetByName(SETTINGS_SH);</t>
        </is>
      </c>
    </row>
    <row r="284">
      <c r="A284" s="456" t="inlineStr">
        <is>
          <t xml:space="preserve">  if (!st) return;</t>
        </is>
      </c>
    </row>
    <row r="285">
      <c r="A285" s="456" t="inlineStr"/>
    </row>
    <row r="286">
      <c r="A286" s="456" t="inlineStr">
        <is>
          <t xml:space="preserve">  const role = roleKey || '👑 CEO';</t>
        </is>
      </c>
    </row>
    <row r="287">
      <c r="A287" s="456" t="inlineStr">
        <is>
          <t xml:space="preserve">  const userEmail = Session.getActiveUser().getEmail();</t>
        </is>
      </c>
    </row>
    <row r="288">
      <c r="A288" s="456" t="inlineStr">
        <is>
          <t xml:space="preserve">  const userName = userEmail ? userEmail.split('@')[0] : 'Руководитель';</t>
        </is>
      </c>
    </row>
    <row r="289">
      <c r="A289" s="456" t="inlineStr">
        <is>
          <t xml:space="preserve">  const tz = ss ? ss.getSpreadsheetTimeZone() : 'GMT+3';</t>
        </is>
      </c>
    </row>
    <row r="290">
      <c r="A290" s="456" t="inlineStr">
        <is>
          <t xml:space="preserve">  const time = Utilities.formatDate(new Date(), tz, 'HH:mm');</t>
        </is>
      </c>
    </row>
    <row r="291">
      <c r="A291" s="456" t="inlineStr"/>
    </row>
    <row r="292">
      <c r="A292" s="456" t="inlineStr">
        <is>
          <t xml:space="preserve">  // Фиксируем статус сессии в H9 и режим в H10</t>
        </is>
      </c>
    </row>
    <row r="293">
      <c r="A293" s="456" t="inlineStr">
        <is>
          <t xml:space="preserve">  st.getRange(SESSION_CELL).setValue('🎯 Сессия: ' + role + ' (' + userName + ', ' + time + ')');</t>
        </is>
      </c>
    </row>
    <row r="294">
      <c r="A294" s="456" t="inlineStr">
        <is>
          <t xml:space="preserve">  st.getRange(MODE_CELL).setValue(soloMode ? '🎯 Solo Focus (Автоскрытие листов)' : '👥 Multi-User (Персональные фильтры)');</t>
        </is>
      </c>
    </row>
    <row r="295">
      <c r="A295" s="456" t="inlineStr"/>
    </row>
    <row r="296">
      <c r="A296" s="456" t="inlineStr">
        <is>
          <t xml:space="preserve">  // Запись в аудит</t>
        </is>
      </c>
    </row>
    <row r="297">
      <c r="A297" s="456" t="inlineStr">
        <is>
          <t xml:space="preserve">  const auditSh = ss.getSheetByName('raw_audit_log');</t>
        </is>
      </c>
    </row>
    <row r="298">
      <c r="A298" s="456" t="inlineStr">
        <is>
          <t xml:space="preserve">  if (auditSh) {</t>
        </is>
      </c>
    </row>
    <row r="299">
      <c r="A299" s="456" t="inlineStr">
        <is>
          <t xml:space="preserve">    const tz = SpreadsheetApp.getActive() ? SpreadsheetApp.getActive().getSpreadsheetTimeZone() : 'GMT+3';</t>
        </is>
      </c>
    </row>
    <row r="300">
      <c r="A300" s="456" t="inlineStr">
        <is>
          <t xml:space="preserve">  const ts = Utilities.formatDate(new Date(), tz, 'yyyy-MM-dd HH:mm:ss');</t>
        </is>
      </c>
    </row>
    <row r="301">
      <c r="A301" s="456" t="inlineStr">
        <is>
          <t xml:space="preserve">    auditSh.appendRow([</t>
        </is>
      </c>
    </row>
    <row r="302">
      <c r="A302" s="456" t="inlineStr">
        <is>
          <t xml:space="preserve">      'EV-SESS-' + Math.floor(100000 + Math.random() * 900000), ts, userEmail || 'unknown',</t>
        </is>
      </c>
    </row>
    <row r="303">
      <c r="A303" s="456" t="inlineStr">
        <is>
          <t xml:space="preserve">      SETTINGS_SH, 'PLANNING_SESSION_START', SESSION_CELL,</t>
        </is>
      </c>
    </row>
    <row r="304">
      <c r="A304" s="456" t="inlineStr">
        <is>
          <t xml:space="preserve">      'session', 'FREE', 'ACTIVE: ' + role, 'SESSION', 'SUCCESS'</t>
        </is>
      </c>
    </row>
    <row r="305">
      <c r="A305" s="456" t="inlineStr">
        <is>
          <t xml:space="preserve">    ]);</t>
        </is>
      </c>
    </row>
    <row r="306">
      <c r="A306" s="456" t="inlineStr">
        <is>
          <t xml:space="preserve">  }</t>
        </is>
      </c>
    </row>
    <row r="307">
      <c r="A307" s="456" t="inlineStr"/>
    </row>
    <row r="308">
      <c r="A308" s="456" t="inlineStr">
        <is>
          <t xml:space="preserve">  // Применяем видимость сессии без перезаписи B10</t>
        </is>
      </c>
    </row>
    <row r="309">
      <c r="A309" s="456" t="inlineStr">
        <is>
          <t xml:space="preserve">  applyRoleVisibility(role, { forceSolo: soloMode });</t>
        </is>
      </c>
    </row>
    <row r="310">
      <c r="A310" s="456" t="inlineStr">
        <is>
          <t xml:space="preserve">  ss.toast('🚀 Сессия планирования начата для ' + role + ' (' + (soloMode ? 'Solo Focus' : 'Multi-User') + ')', '🎯 Сессия планирования', 6);</t>
        </is>
      </c>
    </row>
    <row r="311">
      <c r="A311" s="456" t="inlineStr">
        <is>
          <t>}</t>
        </is>
      </c>
    </row>
    <row r="312">
      <c r="A312" s="456" t="inlineStr"/>
    </row>
    <row r="313">
      <c r="A313" s="456" t="inlineStr">
        <is>
          <t>/**</t>
        </is>
      </c>
    </row>
    <row r="314">
      <c r="A314" s="456" t="inlineStr">
        <is>
          <t xml:space="preserve"> * 6. Завершение сессии планирования</t>
        </is>
      </c>
    </row>
    <row r="315">
      <c r="A315" s="456" t="inlineStr">
        <is>
          <t xml:space="preserve"> */</t>
        </is>
      </c>
    </row>
    <row r="316">
      <c r="A316" s="456" t="inlineStr">
        <is>
          <t>function endPlanningSession() {</t>
        </is>
      </c>
    </row>
    <row r="317">
      <c r="A317" s="456" t="inlineStr">
        <is>
          <t xml:space="preserve">  const ss = SpreadsheetApp.getActive();</t>
        </is>
      </c>
    </row>
    <row r="318">
      <c r="A318" s="456" t="inlineStr">
        <is>
          <t xml:space="preserve">  const st = ss.getSheetByName(SETTINGS_SH);</t>
        </is>
      </c>
    </row>
    <row r="319">
      <c r="A319" s="456" t="inlineStr">
        <is>
          <t xml:space="preserve">  if (!st) return;</t>
        </is>
      </c>
    </row>
    <row r="320">
      <c r="A320" s="456" t="inlineStr"/>
    </row>
    <row r="321">
      <c r="A321" s="456" t="inlineStr">
        <is>
          <t xml:space="preserve">  const userEmail = Session.getActiveUser().getEmail() || 'Руководитель';</t>
        </is>
      </c>
    </row>
    <row r="322">
      <c r="A322" s="456" t="inlineStr">
        <is>
          <t xml:space="preserve">  st.getRange(SESSION_CELL).setValue('🟢 Готова к работе (Свободна)');</t>
        </is>
      </c>
    </row>
    <row r="323">
      <c r="A323" s="456" t="inlineStr">
        <is>
          <t xml:space="preserve">  st.getRange(MODE_CELL).setValue('👥 Multi-User (Персональные фильтры)');</t>
        </is>
      </c>
    </row>
    <row r="324">
      <c r="A324" s="456" t="inlineStr"/>
    </row>
    <row r="325">
      <c r="A325" s="456" t="inlineStr">
        <is>
          <t xml:space="preserve">  const showcaseDashboards = [</t>
        </is>
      </c>
    </row>
    <row r="326">
      <c r="A326" s="456" t="inlineStr">
        <is>
          <t xml:space="preserve">    '📄 Executive_OnePager', '⚡ Пульс_Компании', '📋 Пульт_РОПа_15_Минут',</t>
        </is>
      </c>
    </row>
    <row r="327">
      <c r="A327" s="456" t="inlineStr">
        <is>
          <t xml:space="preserve">    '💸 Диагностика_Утечек_ОП', '🎯 Action_Center', '🎙️ ИИ_Аудит',</t>
        </is>
      </c>
    </row>
    <row r="328">
      <c r="A328" s="456" t="inlineStr">
        <is>
          <t xml:space="preserve">    '⚡ Экспресс_Калькулятор_3_Цифры', '🌐 Мультиканальная_Атрибуция',</t>
        </is>
      </c>
    </row>
    <row r="329">
      <c r="A329" s="456" t="inlineStr">
        <is>
          <t xml:space="preserve">    '💳 Финансы_и_AI_Дожим', '👥 Мотивация_ОП', '🔮 Симулятор_Роста',</t>
        </is>
      </c>
    </row>
    <row r="330">
      <c r="A330" s="456" t="inlineStr">
        <is>
          <t xml:space="preserve">    '🌐 Сквозная_RevOps_Аналитика', '🌐 Маркетинг_и_Трафик', '📈 Когорты_LTV',</t>
        </is>
      </c>
    </row>
    <row r="331">
      <c r="A331" s="456" t="inlineStr">
        <is>
          <t xml:space="preserve">    '👥 Ресурсный_План', '🎯 Воронка_и_SLA', '📊 Юнит_Экономика',</t>
        </is>
      </c>
    </row>
    <row r="332">
      <c r="A332" s="456" t="inlineStr">
        <is>
          <t xml:space="preserve">    '🚨 Радар_Алертов', '📋 Задачи_и_Спринты'</t>
        </is>
      </c>
    </row>
    <row r="333">
      <c r="A333" s="456" t="inlineStr">
        <is>
          <t xml:space="preserve">  ];</t>
        </is>
      </c>
    </row>
    <row r="334">
      <c r="A334" s="456" t="inlineStr"/>
    </row>
    <row r="335">
      <c r="A335" s="456" t="inlineStr">
        <is>
          <t xml:space="preserve">  showcaseDashboards.forEach(name =&gt; {</t>
        </is>
      </c>
    </row>
    <row r="336">
      <c r="A336" s="456" t="inlineStr">
        <is>
          <t xml:space="preserve">    const sh = ss.getSheetByName(name);</t>
        </is>
      </c>
    </row>
    <row r="337">
      <c r="A337" s="456" t="inlineStr">
        <is>
          <t xml:space="preserve">    if (sh &amp;&amp; sh.isSheetHidden()) {</t>
        </is>
      </c>
    </row>
    <row r="338">
      <c r="A338" s="456" t="inlineStr">
        <is>
          <t xml:space="preserve">      try { sh.showSheet(); } catch(e) {}</t>
        </is>
      </c>
    </row>
    <row r="339">
      <c r="A339" s="456" t="inlineStr">
        <is>
          <t xml:space="preserve">    }</t>
        </is>
      </c>
    </row>
    <row r="340">
      <c r="A340" s="456" t="inlineStr">
        <is>
          <t xml:space="preserve">  });</t>
        </is>
      </c>
    </row>
    <row r="341">
      <c r="A341" s="456" t="inlineStr"/>
    </row>
    <row r="342">
      <c r="A342" s="456" t="inlineStr">
        <is>
          <t xml:space="preserve">  const onePager = ss.getSheetByName('📄 Executive_OnePager');</t>
        </is>
      </c>
    </row>
    <row r="343">
      <c r="A343" s="456" t="inlineStr">
        <is>
          <t xml:space="preserve">  if (onePager) {</t>
        </is>
      </c>
    </row>
    <row r="344">
      <c r="A344" s="456" t="inlineStr">
        <is>
          <t xml:space="preserve">    try { ss.setActiveSheet(onePager); } catch(e) {}</t>
        </is>
      </c>
    </row>
    <row r="345">
      <c r="A345" s="456" t="inlineStr">
        <is>
          <t xml:space="preserve">  }</t>
        </is>
      </c>
    </row>
    <row r="346">
      <c r="A346" s="456" t="inlineStr"/>
    </row>
    <row r="347">
      <c r="A347" s="456" t="inlineStr">
        <is>
          <t xml:space="preserve">  const auditSh = ss.getSheetByName('raw_audit_log');</t>
        </is>
      </c>
    </row>
    <row r="348">
      <c r="A348" s="456" t="inlineStr">
        <is>
          <t xml:space="preserve">  if (auditSh) {</t>
        </is>
      </c>
    </row>
    <row r="349">
      <c r="A349" s="456" t="inlineStr">
        <is>
          <t xml:space="preserve">    const tz = SpreadsheetApp.getActive() ? SpreadsheetApp.getActive().getSpreadsheetTimeZone() : 'GMT+3';</t>
        </is>
      </c>
    </row>
    <row r="350">
      <c r="A350" s="456" t="inlineStr">
        <is>
          <t xml:space="preserve">  const ts = Utilities.formatDate(new Date(), tz, 'yyyy-MM-dd HH:mm:ss');</t>
        </is>
      </c>
    </row>
    <row r="351">
      <c r="A351" s="456" t="inlineStr">
        <is>
          <t xml:space="preserve">    auditSh.appendRow([</t>
        </is>
      </c>
    </row>
    <row r="352">
      <c r="A352" s="456" t="inlineStr">
        <is>
          <t xml:space="preserve">      'EV-SESS-' + Math.floor(100000 + Math.random() * 900000), ts, userEmail,</t>
        </is>
      </c>
    </row>
    <row r="353">
      <c r="A353" s="456" t="inlineStr">
        <is>
          <t xml:space="preserve">      SETTINGS_SH, 'PLANNING_SESSION_END', SESSION_CELL,</t>
        </is>
      </c>
    </row>
    <row r="354">
      <c r="A354" s="456" t="inlineStr">
        <is>
          <t xml:space="preserve">      'session', 'ACTIVE', 'FREE', 'SESSION', 'SUCCESS'</t>
        </is>
      </c>
    </row>
    <row r="355">
      <c r="A355" s="456" t="inlineStr">
        <is>
          <t xml:space="preserve">    ]);</t>
        </is>
      </c>
    </row>
    <row r="356">
      <c r="A356" s="456" t="inlineStr">
        <is>
          <t xml:space="preserve">  }</t>
        </is>
      </c>
    </row>
    <row r="357">
      <c r="A357" s="456" t="inlineStr"/>
    </row>
    <row r="358">
      <c r="A358" s="456" t="inlineStr">
        <is>
          <t xml:space="preserve">  ss.toast('✅ Сессия завершена. Все дашборды открыты в режиме совместной работы.', 'RevOps Multi-User', 6);</t>
        </is>
      </c>
    </row>
    <row r="359">
      <c r="A359" s="456" t="inlineStr">
        <is>
          <t>}</t>
        </is>
      </c>
    </row>
    <row r="360">
      <c r="A360" s="456" t="inlineStr"/>
    </row>
    <row r="361">
      <c r="A361" s="456" t="inlineStr">
        <is>
          <t>/**</t>
        </is>
      </c>
    </row>
    <row r="362">
      <c r="A362" s="456" t="inlineStr">
        <is>
          <t xml:space="preserve"> * 7. Управление пользователями — showAddUserDialog &amp; addUserToMap</t>
        </is>
      </c>
    </row>
    <row r="363">
      <c r="A363" s="456" t="inlineStr">
        <is>
          <t xml:space="preserve"> */</t>
        </is>
      </c>
    </row>
    <row r="364">
      <c r="A364" s="456" t="inlineStr">
        <is>
          <t>function showAddUserDialog() {</t>
        </is>
      </c>
    </row>
    <row r="365">
      <c r="A365" s="456" t="inlineStr">
        <is>
          <t xml:space="preserve">  const ui = SpreadsheetApp.getUi();</t>
        </is>
      </c>
    </row>
    <row r="366">
      <c r="A366" s="456" t="inlineStr">
        <is>
          <t xml:space="preserve">  const html = HtmlService.createHtmlOutput(`</t>
        </is>
      </c>
    </row>
    <row r="367">
      <c r="A367" s="456" t="inlineStr">
        <is>
          <t>&lt;!DOCTYPE html&gt;</t>
        </is>
      </c>
    </row>
    <row r="368">
      <c r="A368" s="456" t="inlineStr">
        <is>
          <t>&lt;html&gt;</t>
        </is>
      </c>
    </row>
    <row r="369">
      <c r="A369" s="456" t="inlineStr">
        <is>
          <t>&lt;head&gt;</t>
        </is>
      </c>
    </row>
    <row r="370">
      <c r="A370" s="456" t="inlineStr">
        <is>
          <t>&lt;base target="_top"&gt;</t>
        </is>
      </c>
    </row>
    <row r="371">
      <c r="A371" s="456" t="inlineStr">
        <is>
          <t>&lt;style&gt;</t>
        </is>
      </c>
    </row>
    <row r="372">
      <c r="A372" s="456" t="inlineStr">
        <is>
          <t xml:space="preserve">  body { font-family: 'Segoe UI', -apple-system, sans-serif; padding: 16px; margin: 0; background: #F8FAFC; color: #0F172A; }</t>
        </is>
      </c>
    </row>
    <row r="373">
      <c r="A373" s="456" t="inlineStr">
        <is>
          <t xml:space="preserve">  h3 { margin-top: 0; font-size: 15px; color: #1E293B; border-bottom: 2px solid #E2E8F0; padding-bottom: 8px; }</t>
        </is>
      </c>
    </row>
    <row r="374">
      <c r="A374" s="456" t="inlineStr">
        <is>
          <t xml:space="preserve">  .field { margin-bottom: 12px; }</t>
        </is>
      </c>
    </row>
    <row r="375">
      <c r="A375" s="456" t="inlineStr">
        <is>
          <t xml:space="preserve">  label { display: block; font-size: 12px; font-weight: 600; color: #475569; margin-bottom: 4px; }</t>
        </is>
      </c>
    </row>
    <row r="376">
      <c r="A376" s="456" t="inlineStr">
        <is>
          <t xml:space="preserve">  input, select { width: 100%; padding: 8px 10px; border: 1px solid #CBD5E1; border-radius: 6px; font-size: 13px; box-sizing: border-box; }</t>
        </is>
      </c>
    </row>
    <row r="377">
      <c r="A377" s="456" t="inlineStr">
        <is>
          <t xml:space="preserve">  input:focus, select:focus { outline: none; border-color: #6366F1; box-shadow: 0 0 0 2px #EEF2FF; }</t>
        </is>
      </c>
    </row>
    <row r="378">
      <c r="A378" s="456" t="inlineStr">
        <is>
          <t xml:space="preserve">  .hint { font-size: 11px; color: #94A3B8; margin-top: 3px; }</t>
        </is>
      </c>
    </row>
    <row r="379">
      <c r="A379" s="456" t="inlineStr">
        <is>
          <t xml:space="preserve">  .btn-group { display: flex; gap: 8px; margin-top: 16px; }</t>
        </is>
      </c>
    </row>
    <row r="380">
      <c r="A380" s="456" t="inlineStr">
        <is>
          <t xml:space="preserve">  .btn { flex: 1; padding: 9px 14px; border-radius: 8px; font-size: 13px; font-weight: bold; cursor: pointer; border: 1px solid transparent; }</t>
        </is>
      </c>
    </row>
    <row r="381">
      <c r="A381" s="456" t="inlineStr">
        <is>
          <t xml:space="preserve">  .btn-primary { background: #4F46E5; color: #FFF; }</t>
        </is>
      </c>
    </row>
    <row r="382">
      <c r="A382" s="456" t="inlineStr">
        <is>
          <t xml:space="preserve">  .btn-primary:hover { background: #4338CA; }</t>
        </is>
      </c>
    </row>
    <row r="383">
      <c r="A383" s="456" t="inlineStr">
        <is>
          <t xml:space="preserve">  .btn-secondary { background: #FFF; border-color: #CBD5E1; color: #334155; }</t>
        </is>
      </c>
    </row>
    <row r="384">
      <c r="A384" s="456" t="inlineStr">
        <is>
          <t xml:space="preserve">  .btn-secondary:hover { background: #F1F5F9; }</t>
        </is>
      </c>
    </row>
    <row r="385">
      <c r="A385" s="456" t="inlineStr">
        <is>
          <t xml:space="preserve">  .status { margin-top: 12px; padding: 8px 12px; border-radius: 6px; font-size: 12px; display: none; }</t>
        </is>
      </c>
    </row>
    <row r="386">
      <c r="A386" s="456" t="inlineStr">
        <is>
          <t xml:space="preserve">  .status.ok { background: #DCFCE7; color: #166534; display: block; }</t>
        </is>
      </c>
    </row>
    <row r="387">
      <c r="A387" s="456" t="inlineStr">
        <is>
          <t xml:space="preserve">  .status.err { background: #FEE2E2; color: #991B1B; display: block; }</t>
        </is>
      </c>
    </row>
    <row r="388">
      <c r="A388" s="456" t="inlineStr">
        <is>
          <t>&lt;/style&gt;</t>
        </is>
      </c>
    </row>
    <row r="389">
      <c r="A389" s="456" t="inlineStr">
        <is>
          <t>&lt;/head&gt;</t>
        </is>
      </c>
    </row>
    <row r="390">
      <c r="A390" s="456" t="inlineStr">
        <is>
          <t>&lt;body&gt;</t>
        </is>
      </c>
    </row>
    <row r="391">
      <c r="A391" s="456" t="inlineStr">
        <is>
          <t xml:space="preserve">  &lt;h3&gt;👥 Добавить пользователя в USERS_ROLES_MAP&lt;/h3&gt;</t>
        </is>
      </c>
    </row>
    <row r="392">
      <c r="A392" s="456" t="inlineStr"/>
    </row>
    <row r="393">
      <c r="A393" s="456" t="inlineStr">
        <is>
          <t xml:space="preserve">  &lt;div class="field"&gt;</t>
        </is>
      </c>
    </row>
    <row r="394">
      <c r="A394" s="456" t="inlineStr">
        <is>
          <t xml:space="preserve">    &lt;label&gt;Email (корпоративный, @company.com):&lt;/label&gt;</t>
        </is>
      </c>
    </row>
    <row r="395">
      <c r="A395" s="456" t="inlineStr">
        <is>
          <t xml:space="preserve">    &lt;input id="email" type="email" placeholder="newkam@company.com" autofocus&gt;</t>
        </is>
      </c>
    </row>
    <row r="396">
      <c r="A396" s="456" t="inlineStr">
        <is>
          <t xml:space="preserve">    &lt;div class="hint"&gt;Если email уже в карте — запись будет обновлена.&lt;/div&gt;</t>
        </is>
      </c>
    </row>
    <row r="397">
      <c r="A397" s="456" t="inlineStr">
        <is>
          <t xml:space="preserve">  &lt;/div&gt;</t>
        </is>
      </c>
    </row>
    <row r="398">
      <c r="A398" s="456" t="inlineStr"/>
    </row>
    <row r="399">
      <c r="A399" s="456" t="inlineStr">
        <is>
          <t xml:space="preserve">  &lt;div class="field"&gt;</t>
        </is>
      </c>
    </row>
    <row r="400">
      <c r="A400" s="456" t="inlineStr">
        <is>
          <t xml:space="preserve">    &lt;label&gt;Роль:&lt;/label&gt;</t>
        </is>
      </c>
    </row>
    <row r="401">
      <c r="A401" s="456" t="inlineStr">
        <is>
          <t xml:space="preserve">    &lt;select id="role"&gt;</t>
        </is>
      </c>
    </row>
    <row r="402">
      <c r="A402" s="456" t="inlineStr">
        <is>
          <t xml:space="preserve">      &lt;option value="👑 CEO"&gt;👑 CEO — Собственник&lt;/option&gt;</t>
        </is>
      </c>
    </row>
    <row r="403">
      <c r="A403" s="456" t="inlineStr">
        <is>
          <t xml:space="preserve">      &lt;option value="📋 РОП"&gt;📋 РОП — Коммерческий директор&lt;/option&gt;</t>
        </is>
      </c>
    </row>
    <row r="404">
      <c r="A404" s="456" t="inlineStr">
        <is>
          <t xml:space="preserve">      &lt;option value="💼 KAM" selected&gt;💼 KAM — Менеджер по продажам&lt;/option&gt;</t>
        </is>
      </c>
    </row>
    <row r="405">
      <c r="A405" s="456" t="inlineStr">
        <is>
          <t xml:space="preserve">      &lt;option value="📞 SDR"&gt;📞 SDR — Телемаркетолог&lt;/option&gt;</t>
        </is>
      </c>
    </row>
    <row r="406">
      <c r="A406" s="456" t="inlineStr">
        <is>
          <t xml:space="preserve">      &lt;option value="🌐 CMO"&gt;🌐 CMO — Маркетолог&lt;/option&gt;</t>
        </is>
      </c>
    </row>
    <row r="407">
      <c r="A407" s="456" t="inlineStr">
        <is>
          <t xml:space="preserve">      &lt;option value="💳 CFO"&gt;💳 CFO — Финансовый директор&lt;/option&gt;</t>
        </is>
      </c>
    </row>
    <row r="408">
      <c r="A408" s="456" t="inlineStr">
        <is>
          <t xml:space="preserve">      &lt;option value="🔧 Admin"&gt;🔧 Admin — RevOps Lead&lt;/option&gt;</t>
        </is>
      </c>
    </row>
    <row r="409">
      <c r="A409" s="456" t="inlineStr">
        <is>
          <t xml:space="preserve">    &lt;/select&gt;</t>
        </is>
      </c>
    </row>
    <row r="410">
      <c r="A410" s="456" t="inlineStr">
        <is>
          <t xml:space="preserve">  &lt;/div&gt;</t>
        </is>
      </c>
    </row>
    <row r="411">
      <c r="A411" s="456" t="inlineStr"/>
    </row>
    <row r="412">
      <c r="A412" s="456" t="inlineStr">
        <is>
          <t xml:space="preserve">  &lt;div class="field"&gt;</t>
        </is>
      </c>
    </row>
    <row r="413">
      <c r="A413" s="456" t="inlineStr">
        <is>
          <t xml:space="preserve">    &lt;label&gt;Landing-дашборд:&lt;/label&gt;</t>
        </is>
      </c>
    </row>
    <row r="414">
      <c r="A414" s="456" t="inlineStr">
        <is>
          <t xml:space="preserve">    &lt;select id="landing"&gt;</t>
        </is>
      </c>
    </row>
    <row r="415">
      <c r="A415" s="456" t="inlineStr">
        <is>
          <t xml:space="preserve">      &lt;option value="📄 Executive_OnePager"&gt;📄 Executive One-Pager (CEO)&lt;/option&gt;</t>
        </is>
      </c>
    </row>
    <row r="416">
      <c r="A416" s="456" t="inlineStr">
        <is>
          <t xml:space="preserve">      &lt;option value="📋 Пульт_РОПа_15_Минут"&gt;📋 Пульт РОПа 15 минут&lt;/option&gt;</t>
        </is>
      </c>
    </row>
    <row r="417">
      <c r="A417" s="456" t="inlineStr">
        <is>
          <t xml:space="preserve">      &lt;option value="⚡ Пульс_Компании" selected&gt;⚡ Пульс компании (KAM / SDR)&lt;/option&gt;</t>
        </is>
      </c>
    </row>
    <row r="418">
      <c r="A418" s="456" t="inlineStr">
        <is>
          <t xml:space="preserve">      &lt;option value="🌐 Маркетинг_и_Трафик"&gt;🌐 Маркетинг и трафик (CMO)&lt;/option&gt;</t>
        </is>
      </c>
    </row>
    <row r="419">
      <c r="A419" s="456" t="inlineStr">
        <is>
          <t xml:space="preserve">      &lt;option value="💳 Финансы_и_AI_Дожим"&gt;💳 Финансы и AI-дожим (CFO)&lt;/option&gt;</t>
        </is>
      </c>
    </row>
    <row r="420">
      <c r="A420" s="456" t="inlineStr">
        <is>
          <t xml:space="preserve">      &lt;option value="⚙️ Настройки"&gt;⚙️ Настройки (Admin)&lt;/option&gt;</t>
        </is>
      </c>
    </row>
    <row r="421">
      <c r="A421" s="456" t="inlineStr">
        <is>
          <t xml:space="preserve">    &lt;/select&gt;</t>
        </is>
      </c>
    </row>
    <row r="422">
      <c r="A422" s="456" t="inlineStr">
        <is>
          <t xml:space="preserve">    &lt;div class="hint"&gt;Автовыбор по роли, можно изменить.&lt;/div&gt;</t>
        </is>
      </c>
    </row>
    <row r="423">
      <c r="A423" s="456" t="inlineStr">
        <is>
          <t xml:space="preserve">  &lt;/div&gt;</t>
        </is>
      </c>
    </row>
    <row r="424">
      <c r="A424" s="456" t="inlineStr"/>
    </row>
    <row r="425">
      <c r="A425" s="456" t="inlineStr">
        <is>
          <t xml:space="preserve">  &lt;div class="btn-group"&gt;</t>
        </is>
      </c>
    </row>
    <row r="426">
      <c r="A426" s="456" t="inlineStr">
        <is>
          <t xml:space="preserve">    &lt;button class="btn btn-primary" onclick="submit_()"&gt;✅ Добавить&lt;/button&gt;</t>
        </is>
      </c>
    </row>
    <row r="427">
      <c r="A427" s="456" t="inlineStr">
        <is>
          <t xml:space="preserve">    &lt;button class="btn btn-secondary" onclick="google.script.host.close()"&gt;Отмена&lt;/button&gt;</t>
        </is>
      </c>
    </row>
    <row r="428">
      <c r="A428" s="456" t="inlineStr">
        <is>
          <t xml:space="preserve">  &lt;/div&gt;</t>
        </is>
      </c>
    </row>
    <row r="429">
      <c r="A429" s="456" t="inlineStr"/>
    </row>
    <row r="430">
      <c r="A430" s="456" t="inlineStr">
        <is>
          <t xml:space="preserve">  &lt;div id="status" class="status"&gt;&lt;/div&gt;</t>
        </is>
      </c>
    </row>
    <row r="431">
      <c r="A431" s="456" t="inlineStr"/>
    </row>
    <row r="432">
      <c r="A432" s="456" t="inlineStr">
        <is>
          <t>&lt;script&gt;</t>
        </is>
      </c>
    </row>
    <row r="433">
      <c r="A433" s="456" t="inlineStr">
        <is>
          <t xml:space="preserve">  const LANDING_BY_ROLE = {</t>
        </is>
      </c>
    </row>
    <row r="434">
      <c r="A434" s="456" t="inlineStr">
        <is>
          <t xml:space="preserve">    '👑 CEO': '📄 Executive_OnePager',</t>
        </is>
      </c>
    </row>
    <row r="435">
      <c r="A435" s="456" t="inlineStr">
        <is>
          <t xml:space="preserve">    '📋 РОП': '📋 Пульт_РОПа_15_Минут',</t>
        </is>
      </c>
    </row>
    <row r="436">
      <c r="A436" s="456" t="inlineStr">
        <is>
          <t xml:space="preserve">    '💼 KAM': '⚡ Пульс_Компании',</t>
        </is>
      </c>
    </row>
    <row r="437">
      <c r="A437" s="456" t="inlineStr">
        <is>
          <t xml:space="preserve">    '📞 SDR': '⚡ Пульс_Компании',</t>
        </is>
      </c>
    </row>
    <row r="438">
      <c r="A438" s="456" t="inlineStr">
        <is>
          <t xml:space="preserve">    '🌐 CMO': '🌐 Маркетинг_и_Трафик',</t>
        </is>
      </c>
    </row>
    <row r="439">
      <c r="A439" s="456" t="inlineStr">
        <is>
          <t xml:space="preserve">    '💳 CFO': '💳 Финансы_и_AI_Дожим',</t>
        </is>
      </c>
    </row>
    <row r="440">
      <c r="A440" s="456" t="inlineStr">
        <is>
          <t xml:space="preserve">    '🔧 Admin': '⚙️ Настройки'</t>
        </is>
      </c>
    </row>
    <row r="441">
      <c r="A441" s="456" t="inlineStr">
        <is>
          <t xml:space="preserve">  };</t>
        </is>
      </c>
    </row>
    <row r="442">
      <c r="A442" s="456" t="inlineStr">
        <is>
          <t xml:space="preserve">  document.getElementById('role').addEventListener('change', function() {</t>
        </is>
      </c>
    </row>
    <row r="443">
      <c r="A443" s="456" t="inlineStr">
        <is>
          <t xml:space="preserve">    document.getElementById('landing').value = LANDING_BY_ROLE[this.value] || '⚡ Пульс_Компании';</t>
        </is>
      </c>
    </row>
    <row r="444">
      <c r="A444" s="456" t="inlineStr">
        <is>
          <t xml:space="preserve">  });</t>
        </is>
      </c>
    </row>
    <row r="445">
      <c r="A445" s="456" t="inlineStr"/>
    </row>
    <row r="446">
      <c r="A446" s="456" t="inlineStr">
        <is>
          <t xml:space="preserve">  function submit_() {</t>
        </is>
      </c>
    </row>
    <row r="447">
      <c r="A447" s="456" t="inlineStr">
        <is>
          <t xml:space="preserve">    var email = document.getElementById('email').value.trim();</t>
        </is>
      </c>
    </row>
    <row r="448">
      <c r="A448" s="456" t="inlineStr">
        <is>
          <t xml:space="preserve">    var role = document.getElementById('role').value;</t>
        </is>
      </c>
    </row>
    <row r="449">
      <c r="A449" s="456" t="inlineStr">
        <is>
          <t xml:space="preserve">    var landing = document.getElementById('landing').value;</t>
        </is>
      </c>
    </row>
    <row r="450">
      <c r="A450" s="456" t="inlineStr">
        <is>
          <t xml:space="preserve">    var st = document.getElementById('status');</t>
        </is>
      </c>
    </row>
    <row r="451">
      <c r="A451" s="456" t="inlineStr">
        <is>
          <t xml:space="preserve">    if (!email || email.indexOf('@') === -1) {</t>
        </is>
      </c>
    </row>
    <row r="452">
      <c r="A452" s="456" t="inlineStr">
        <is>
          <t xml:space="preserve">      st.className = 'status err';</t>
        </is>
      </c>
    </row>
    <row r="453">
      <c r="A453" s="456" t="inlineStr">
        <is>
          <t xml:space="preserve">      st.innerText = '⚠️ Введите корректный email.';</t>
        </is>
      </c>
    </row>
    <row r="454">
      <c r="A454" s="456" t="inlineStr">
        <is>
          <t xml:space="preserve">      return;</t>
        </is>
      </c>
    </row>
    <row r="455">
      <c r="A455" s="456" t="inlineStr">
        <is>
          <t xml:space="preserve">    }</t>
        </is>
      </c>
    </row>
    <row r="456">
      <c r="A456" s="456" t="inlineStr">
        <is>
          <t xml:space="preserve">    st.className = 'status';</t>
        </is>
      </c>
    </row>
    <row r="457">
      <c r="A457" s="456" t="inlineStr">
        <is>
          <t xml:space="preserve">    st.innerText = '';</t>
        </is>
      </c>
    </row>
    <row r="458">
      <c r="A458" s="456" t="inlineStr">
        <is>
          <t xml:space="preserve">    google.script.run</t>
        </is>
      </c>
    </row>
    <row r="459">
      <c r="A459" s="456" t="inlineStr">
        <is>
          <t xml:space="preserve">      .withSuccessHandler(function(res) {</t>
        </is>
      </c>
    </row>
    <row r="460">
      <c r="A460" s="456" t="inlineStr">
        <is>
          <t xml:space="preserve">        if (res &amp;&amp; res.success) {</t>
        </is>
      </c>
    </row>
    <row r="461">
      <c r="A461" s="456" t="inlineStr">
        <is>
          <t xml:space="preserve">          st.className = 'status ok';</t>
        </is>
      </c>
    </row>
    <row r="462">
      <c r="A462" s="456" t="inlineStr">
        <is>
          <t xml:space="preserve">          st.innerText = '✅ Готово. Строка #' + res.row + '. Не забудьте предоставить доступ к таблице для ' + email;</t>
        </is>
      </c>
    </row>
    <row r="463">
      <c r="A463" s="456" t="inlineStr">
        <is>
          <t xml:space="preserve">        } else {</t>
        </is>
      </c>
    </row>
    <row r="464">
      <c r="A464" s="456" t="inlineStr">
        <is>
          <t xml:space="preserve">          st.className = 'status err';</t>
        </is>
      </c>
    </row>
    <row r="465">
      <c r="A465" s="456" t="inlineStr">
        <is>
          <t xml:space="preserve">          st.innerText = '⚠️ Ошибка: ' + ((res &amp;&amp; res.message) || 'unknown');</t>
        </is>
      </c>
    </row>
    <row r="466">
      <c r="A466" s="456" t="inlineStr">
        <is>
          <t xml:space="preserve">        }</t>
        </is>
      </c>
    </row>
    <row r="467">
      <c r="A467" s="456" t="inlineStr">
        <is>
          <t xml:space="preserve">      })</t>
        </is>
      </c>
    </row>
    <row r="468">
      <c r="A468" s="456" t="inlineStr">
        <is>
          <t xml:space="preserve">      .withFailureHandler(function(err) {</t>
        </is>
      </c>
    </row>
    <row r="469">
      <c r="A469" s="456" t="inlineStr">
        <is>
          <t xml:space="preserve">        st.className = 'status err';</t>
        </is>
      </c>
    </row>
    <row r="470">
      <c r="A470" s="456" t="inlineStr">
        <is>
          <t xml:space="preserve">        st.innerText = '⚠️ Ошибка: ' + err.message;</t>
        </is>
      </c>
    </row>
    <row r="471">
      <c r="A471" s="456" t="inlineStr">
        <is>
          <t xml:space="preserve">      })</t>
        </is>
      </c>
    </row>
    <row r="472">
      <c r="A472" s="456" t="inlineStr">
        <is>
          <t xml:space="preserve">      .addUserToMap(email, role, landing);</t>
        </is>
      </c>
    </row>
    <row r="473">
      <c r="A473" s="456" t="inlineStr">
        <is>
          <t xml:space="preserve">  }</t>
        </is>
      </c>
    </row>
    <row r="474">
      <c r="A474" s="456" t="inlineStr">
        <is>
          <t>&lt;/script&gt;</t>
        </is>
      </c>
    </row>
    <row r="475">
      <c r="A475" s="456" t="inlineStr">
        <is>
          <t>&lt;/body&gt;</t>
        </is>
      </c>
    </row>
    <row r="476">
      <c r="A476" s="456" t="inlineStr">
        <is>
          <t>&lt;/html&gt;</t>
        </is>
      </c>
    </row>
    <row r="477">
      <c r="A477" s="456" t="inlineStr">
        <is>
          <t xml:space="preserve">  `).setWidth(400).setHeight(500);</t>
        </is>
      </c>
    </row>
    <row r="478">
      <c r="A478" s="456" t="inlineStr">
        <is>
          <t xml:space="preserve">  ui.showModalDialog(html, 'RevOps User Management');</t>
        </is>
      </c>
    </row>
    <row r="479">
      <c r="A479" s="456" t="inlineStr">
        <is>
          <t>}</t>
        </is>
      </c>
    </row>
    <row r="480">
      <c r="A480" s="456" t="inlineStr"/>
    </row>
    <row r="481">
      <c r="A481" s="456" t="inlineStr">
        <is>
          <t>/**</t>
        </is>
      </c>
    </row>
    <row r="482">
      <c r="A482" s="456" t="inlineStr">
        <is>
          <t xml:space="preserve"> * Добавить/обновить пользователя в USERS_ROLES_MAP (J10:L100)</t>
        </is>
      </c>
    </row>
    <row r="483">
      <c r="A483" s="456" t="inlineStr">
        <is>
          <t xml:space="preserve"> */</t>
        </is>
      </c>
    </row>
    <row r="484">
      <c r="A484" s="456" t="inlineStr">
        <is>
          <t>function addUserToMap(email, role, landing) {</t>
        </is>
      </c>
    </row>
    <row r="485">
      <c r="A485" s="456" t="inlineStr">
        <is>
          <t xml:space="preserve">  try {</t>
        </is>
      </c>
    </row>
    <row r="486">
      <c r="A486" s="456" t="inlineStr">
        <is>
          <t xml:space="preserve">    if (!isCurrentUserAdmin_()) {</t>
        </is>
      </c>
    </row>
    <row r="487">
      <c r="A487" s="456" t="inlineStr">
        <is>
          <t xml:space="preserve">      return { success: false, message: 'Доступ только для CEO / Admin' };</t>
        </is>
      </c>
    </row>
    <row r="488">
      <c r="A488" s="456" t="inlineStr">
        <is>
          <t xml:space="preserve">    }</t>
        </is>
      </c>
    </row>
    <row r="489">
      <c r="A489" s="456" t="inlineStr">
        <is>
          <t xml:space="preserve">    const ss = SpreadsheetApp.getActive();</t>
        </is>
      </c>
    </row>
    <row r="490">
      <c r="A490" s="456" t="inlineStr">
        <is>
          <t xml:space="preserve">    const st = ss.getSheetByName(SETTINGS_SH);</t>
        </is>
      </c>
    </row>
    <row r="491">
      <c r="A491" s="456" t="inlineStr">
        <is>
          <t xml:space="preserve">    if (!st) return { success: false, message: 'Лист ⚙️ Настройки не найден' };</t>
        </is>
      </c>
    </row>
    <row r="492">
      <c r="A492" s="456" t="inlineStr"/>
    </row>
    <row r="493">
      <c r="A493" s="456" t="inlineStr">
        <is>
          <t xml:space="preserve">    email = String(email).trim().toLowerCase();</t>
        </is>
      </c>
    </row>
    <row r="494">
      <c r="A494" s="456" t="inlineStr">
        <is>
          <t xml:space="preserve">    role = String(role).trim();</t>
        </is>
      </c>
    </row>
    <row r="495">
      <c r="A495" s="456" t="inlineStr">
        <is>
          <t xml:space="preserve">    if (!ROLES[role]) return { success: false, message: 'Неизвестная роль: ' + role };</t>
        </is>
      </c>
    </row>
    <row r="496">
      <c r="A496" s="456" t="inlineStr">
        <is>
          <t xml:space="preserve">    const roleKey = ROLES[role];</t>
        </is>
      </c>
    </row>
    <row r="497">
      <c r="A497" s="456" t="inlineStr">
        <is>
          <t xml:space="preserve">    landing = String(landing || '').trim() || LANDING[roleKey];</t>
        </is>
      </c>
    </row>
    <row r="498">
      <c r="A498" s="456" t="inlineStr"/>
    </row>
    <row r="499">
      <c r="A499" s="456" t="inlineStr">
        <is>
          <t xml:space="preserve">    const data = st.getRange('J10:L100').getValues();</t>
        </is>
      </c>
    </row>
    <row r="500">
      <c r="A500" s="456" t="inlineStr">
        <is>
          <t xml:space="preserve">    let targetRow = -1;</t>
        </is>
      </c>
    </row>
    <row r="501">
      <c r="A501" s="456" t="inlineStr">
        <is>
          <t xml:space="preserve">    let isUpdate = false;</t>
        </is>
      </c>
    </row>
    <row r="502">
      <c r="A502" s="456" t="inlineStr">
        <is>
          <t xml:space="preserve">    for (let i = 0; i &lt; data.length; i++) {</t>
        </is>
      </c>
    </row>
    <row r="503">
      <c r="A503" s="456" t="inlineStr">
        <is>
          <t xml:space="preserve">      const rowEmail = String(data[i][0]).trim().toLowerCase();</t>
        </is>
      </c>
    </row>
    <row r="504">
      <c r="A504" s="456" t="inlineStr">
        <is>
          <t xml:space="preserve">      if (rowEmail === email) { targetRow = 10 + i; isUpdate = true; break; }</t>
        </is>
      </c>
    </row>
    <row r="505">
      <c r="A505" s="456" t="inlineStr">
        <is>
          <t xml:space="preserve">      if (targetRow === -1 &amp;&amp; !rowEmail) { targetRow = 10 + i; }</t>
        </is>
      </c>
    </row>
    <row r="506">
      <c r="A506" s="456" t="inlineStr">
        <is>
          <t xml:space="preserve">    }</t>
        </is>
      </c>
    </row>
    <row r="507">
      <c r="A507" s="456" t="inlineStr">
        <is>
          <t xml:space="preserve">    if (targetRow === -1) return { success: false, message: 'Карта заполнена (100 строк)' };</t>
        </is>
      </c>
    </row>
    <row r="508">
      <c r="A508" s="456" t="inlineStr"/>
    </row>
    <row r="509">
      <c r="A509" s="456" t="inlineStr">
        <is>
          <t xml:space="preserve">    st.getRange(targetRow, 10).setValue(email);</t>
        </is>
      </c>
    </row>
    <row r="510">
      <c r="A510" s="456" t="inlineStr">
        <is>
          <t xml:space="preserve">    st.getRange(targetRow, 11).setValue(role);</t>
        </is>
      </c>
    </row>
    <row r="511">
      <c r="A511" s="456" t="inlineStr">
        <is>
          <t xml:space="preserve">    st.getRange(targetRow, 12).setValue(landing);</t>
        </is>
      </c>
    </row>
    <row r="512">
      <c r="A512" s="456" t="inlineStr"/>
    </row>
    <row r="513">
      <c r="A513" s="456" t="inlineStr">
        <is>
          <t xml:space="preserve">    refreshUsersMapProtection_();</t>
        </is>
      </c>
    </row>
    <row r="514">
      <c r="A514" s="456" t="inlineStr"/>
    </row>
    <row r="515">
      <c r="A515" s="456" t="inlineStr">
        <is>
          <t xml:space="preserve">    const auditSh = ss.getSheetByName('raw_audit_log');</t>
        </is>
      </c>
    </row>
    <row r="516">
      <c r="A516" s="456" t="inlineStr">
        <is>
          <t xml:space="preserve">    if (auditSh) {</t>
        </is>
      </c>
    </row>
    <row r="517">
      <c r="A517" s="456" t="inlineStr">
        <is>
          <t xml:space="preserve">      const tz = SpreadsheetApp.getActive() ? SpreadsheetApp.getActive().getSpreadsheetTimeZone() : 'GMT+3';</t>
        </is>
      </c>
    </row>
    <row r="518">
      <c r="A518" s="456" t="inlineStr">
        <is>
          <t xml:space="preserve">  const ts = Utilities.formatDate(new Date(), tz, 'yyyy-MM-dd HH:mm:ss');</t>
        </is>
      </c>
    </row>
    <row r="519">
      <c r="A519" s="456" t="inlineStr">
        <is>
          <t xml:space="preserve">      auditSh.appendRow([</t>
        </is>
      </c>
    </row>
    <row r="520">
      <c r="A520" s="456" t="inlineStr">
        <is>
          <t xml:space="preserve">        'EV-USER-' + Math.floor(100000 + Math.random() * 900000),</t>
        </is>
      </c>
    </row>
    <row r="521">
      <c r="A521" s="456" t="inlineStr">
        <is>
          <t xml:space="preserve">        ts,</t>
        </is>
      </c>
    </row>
    <row r="522">
      <c r="A522" s="456" t="inlineStr">
        <is>
          <t xml:space="preserve">        Session.getActiveUser().getEmail() || 'unknown',</t>
        </is>
      </c>
    </row>
    <row r="523">
      <c r="A523" s="456" t="inlineStr">
        <is>
          <t xml:space="preserve">        SETTINGS_SH,</t>
        </is>
      </c>
    </row>
    <row r="524">
      <c r="A524" s="456" t="inlineStr">
        <is>
          <t xml:space="preserve">        isUpdate ? 'USER_MAP_UPDATE' : 'USER_MAP_ADD',</t>
        </is>
      </c>
    </row>
    <row r="525">
      <c r="A525" s="456" t="inlineStr">
        <is>
          <t xml:space="preserve">        email,</t>
        </is>
      </c>
    </row>
    <row r="526">
      <c r="A526" s="456" t="inlineStr">
        <is>
          <t xml:space="preserve">        'role / landing',</t>
        </is>
      </c>
    </row>
    <row r="527">
      <c r="A527" s="456" t="inlineStr">
        <is>
          <t xml:space="preserve">        '(prev)',</t>
        </is>
      </c>
    </row>
    <row r="528">
      <c r="A528" s="456" t="inlineStr">
        <is>
          <t xml:space="preserve">        roleKey + ' / ' + landing,</t>
        </is>
      </c>
    </row>
    <row r="529">
      <c r="A529" s="456" t="inlineStr">
        <is>
          <t xml:space="preserve">        'RBAC',</t>
        </is>
      </c>
    </row>
    <row r="530">
      <c r="A530" s="456" t="inlineStr">
        <is>
          <t xml:space="preserve">        'SUCCESS'</t>
        </is>
      </c>
    </row>
    <row r="531">
      <c r="A531" s="456" t="inlineStr">
        <is>
          <t xml:space="preserve">      ]);</t>
        </is>
      </c>
    </row>
    <row r="532">
      <c r="A532" s="456" t="inlineStr">
        <is>
          <t xml:space="preserve">    }</t>
        </is>
      </c>
    </row>
    <row r="533">
      <c r="A533" s="456" t="inlineStr"/>
    </row>
    <row r="534">
      <c r="A534" s="456" t="inlineStr">
        <is>
          <t xml:space="preserve">    return { success: true, row: targetRow };</t>
        </is>
      </c>
    </row>
    <row r="535">
      <c r="A535" s="456" t="inlineStr">
        <is>
          <t xml:space="preserve">  } catch (err) {</t>
        </is>
      </c>
    </row>
    <row r="536">
      <c r="A536" s="456" t="inlineStr">
        <is>
          <t xml:space="preserve">    return { success: false, message: err.toString() };</t>
        </is>
      </c>
    </row>
    <row r="537">
      <c r="A537" s="456" t="inlineStr">
        <is>
          <t xml:space="preserve">  }</t>
        </is>
      </c>
    </row>
    <row r="538">
      <c r="A538" s="456" t="inlineStr">
        <is>
          <t>}</t>
        </is>
      </c>
    </row>
    <row r="539">
      <c r="A539" s="456" t="inlineStr"/>
    </row>
    <row r="540">
      <c r="A540" s="456" t="inlineStr">
        <is>
          <t>/**</t>
        </is>
      </c>
    </row>
    <row r="541">
      <c r="A541" s="456" t="inlineStr">
        <is>
          <t xml:space="preserve"> * Обновить защиту карты USERS_ROLES_MAP (J10:L100)</t>
        </is>
      </c>
    </row>
    <row r="542">
      <c r="A542" s="456" t="inlineStr">
        <is>
          <t xml:space="preserve"> */</t>
        </is>
      </c>
    </row>
    <row r="543">
      <c r="A543" s="456" t="inlineStr">
        <is>
          <t>function refreshUsersMapProtection_() {</t>
        </is>
      </c>
    </row>
    <row r="544">
      <c r="A544" s="456" t="inlineStr">
        <is>
          <t xml:space="preserve">  const ss = SpreadsheetApp.getActive();</t>
        </is>
      </c>
    </row>
    <row r="545">
      <c r="A545" s="456" t="inlineStr">
        <is>
          <t xml:space="preserve">  const st = ss.getSheetByName(SETTINGS_SH);</t>
        </is>
      </c>
    </row>
    <row r="546">
      <c r="A546" s="456" t="inlineStr">
        <is>
          <t xml:space="preserve">  if (!st) return;</t>
        </is>
      </c>
    </row>
    <row r="547">
      <c r="A547" s="456" t="inlineStr"/>
    </row>
    <row r="548">
      <c r="A548" s="456" t="inlineStr">
        <is>
          <t xml:space="preserve">  const range = st.getRange('J10:L100');</t>
        </is>
      </c>
    </row>
    <row r="549">
      <c r="A549" s="456" t="inlineStr">
        <is>
          <t xml:space="preserve">  range.getProtections(SpreadsheetApp.ProtectionType.RANGE).forEach(p =&gt; {</t>
        </is>
      </c>
    </row>
    <row r="550">
      <c r="A550" s="456" t="inlineStr">
        <is>
          <t xml:space="preserve">    try { p.remove(); } catch (e) {}</t>
        </is>
      </c>
    </row>
    <row r="551">
      <c r="A551" s="456" t="inlineStr">
        <is>
          <t xml:space="preserve">  });</t>
        </is>
      </c>
    </row>
    <row r="552">
      <c r="A552" s="456" t="inlineStr"/>
    </row>
    <row r="553">
      <c r="A553" s="456" t="inlineStr">
        <is>
          <t xml:space="preserve">  const prot = range.protect().setDescription('RBAC: USERS_ROLES_MAP — только CEO и Admin');</t>
        </is>
      </c>
    </row>
    <row r="554">
      <c r="A554" s="456" t="inlineStr">
        <is>
          <t xml:space="preserve">  prot.removeEditors(prot.getEditors().map(u =&gt; u.getEmail()));</t>
        </is>
      </c>
    </row>
    <row r="555">
      <c r="A555" s="456" t="inlineStr">
        <is>
          <t xml:space="preserve">  if (prot.canDomainEdit()) prot.setDomainEdit(false);</t>
        </is>
      </c>
    </row>
    <row r="556">
      <c r="A556" s="456" t="inlineStr"/>
    </row>
    <row r="557">
      <c r="A557" s="456" t="inlineStr">
        <is>
          <t xml:space="preserve">  const mapData = st.getRange('J10:L100').getValues();</t>
        </is>
      </c>
    </row>
    <row r="558">
      <c r="A558" s="456" t="inlineStr">
        <is>
          <t xml:space="preserve">  mapData.forEach(row =&gt; {</t>
        </is>
      </c>
    </row>
    <row r="559">
      <c r="A559" s="456" t="inlineStr">
        <is>
          <t xml:space="preserve">    const email = String(row[0]).trim().toLowerCase();</t>
        </is>
      </c>
    </row>
    <row r="560">
      <c r="A560" s="456" t="inlineStr">
        <is>
          <t xml:space="preserve">    const role = String(row[1]).trim();</t>
        </is>
      </c>
    </row>
    <row r="561">
      <c r="A561" s="456" t="inlineStr">
        <is>
          <t xml:space="preserve">    if (!email) return;</t>
        </is>
      </c>
    </row>
    <row r="562">
      <c r="A562" s="456" t="inlineStr">
        <is>
          <t xml:space="preserve">    const key = ROLES[role];</t>
        </is>
      </c>
    </row>
    <row r="563">
      <c r="A563" s="456" t="inlineStr">
        <is>
          <t xml:space="preserve">    if (key === '👑 CEO' || key === '🔧 Admin') {</t>
        </is>
      </c>
    </row>
    <row r="564">
      <c r="A564" s="456" t="inlineStr">
        <is>
          <t xml:space="preserve">      try { prot.addEditor(email); } catch (e) {}</t>
        </is>
      </c>
    </row>
    <row r="565">
      <c r="A565" s="456" t="inlineStr">
        <is>
          <t xml:space="preserve">    }</t>
        </is>
      </c>
    </row>
    <row r="566">
      <c r="A566" s="456" t="inlineStr">
        <is>
          <t xml:space="preserve">  });</t>
        </is>
      </c>
    </row>
    <row r="567">
      <c r="A567" s="456" t="inlineStr"/>
    </row>
    <row r="568">
      <c r="A568" s="456" t="inlineStr">
        <is>
          <t xml:space="preserve">  try {</t>
        </is>
      </c>
    </row>
    <row r="569">
      <c r="A569" s="456" t="inlineStr">
        <is>
          <t xml:space="preserve">    const owner = ss.getOwner();</t>
        </is>
      </c>
    </row>
    <row r="570">
      <c r="A570" s="456" t="inlineStr">
        <is>
          <t xml:space="preserve">    if (owner &amp;&amp; owner.getEmail()) prot.addEditor(owner.getEmail());</t>
        </is>
      </c>
    </row>
    <row r="571">
      <c r="A571" s="456" t="inlineStr">
        <is>
          <t xml:space="preserve">  } catch (e) {}</t>
        </is>
      </c>
    </row>
    <row r="572">
      <c r="A572" s="456" t="inlineStr">
        <is>
          <t>}</t>
        </is>
      </c>
    </row>
    <row r="573">
      <c r="A573" s="456" t="inlineStr"/>
    </row>
    <row r="574">
      <c r="A574" s="456" t="inlineStr">
        <is>
          <t>/**</t>
        </is>
      </c>
    </row>
    <row r="575">
      <c r="A575" s="456" t="inlineStr">
        <is>
          <t xml:space="preserve"> * 8. Получение текущего статуса системы для Sidebar</t>
        </is>
      </c>
    </row>
    <row r="576">
      <c r="A576" s="456" t="inlineStr">
        <is>
          <t xml:space="preserve"> */</t>
        </is>
      </c>
    </row>
    <row r="577">
      <c r="A577" s="456" t="inlineStr">
        <is>
          <t>function getEnterpriseSessionStatus() {</t>
        </is>
      </c>
    </row>
    <row r="578">
      <c r="A578" s="456" t="inlineStr">
        <is>
          <t xml:space="preserve">  const ss = SpreadsheetApp.getActive();</t>
        </is>
      </c>
    </row>
    <row r="579">
      <c r="A579" s="456" t="inlineStr">
        <is>
          <t xml:space="preserve">  const st = ss.getSheetByName(SETTINGS_SH);</t>
        </is>
      </c>
    </row>
    <row r="580">
      <c r="A580" s="456" t="inlineStr">
        <is>
          <t xml:space="preserve">  const session = st ? String(st.getRange(SESSION_CELL).getValue() || '🟢 Готова к работе (Свободна)') : '🟢 Готова к работе';</t>
        </is>
      </c>
    </row>
    <row r="581">
      <c r="A581" s="456" t="inlineStr">
        <is>
          <t xml:space="preserve">  const mode = st ? String(st.getRange(MODE_CELL).getValue() || '👥 Multi-User') : '👥 Multi-User';</t>
        </is>
      </c>
    </row>
    <row r="582">
      <c r="A582" s="456" t="inlineStr">
        <is>
          <t xml:space="preserve">  const user = getUserRoleAndLanding_();</t>
        </is>
      </c>
    </row>
    <row r="583">
      <c r="A583" s="456" t="inlineStr">
        <is>
          <t xml:space="preserve">  const email = Session.getActiveUser().getEmail() || '';</t>
        </is>
      </c>
    </row>
    <row r="584">
      <c r="A584" s="456" t="inlineStr">
        <is>
          <t xml:space="preserve">  return {</t>
        </is>
      </c>
    </row>
    <row r="585">
      <c r="A585" s="456" t="inlineStr">
        <is>
          <t xml:space="preserve">    sessionText: session,</t>
        </is>
      </c>
    </row>
    <row r="586">
      <c r="A586" s="456" t="inlineStr">
        <is>
          <t xml:space="preserve">    modeText: mode,</t>
        </is>
      </c>
    </row>
    <row r="587">
      <c r="A587" s="456" t="inlineStr">
        <is>
          <t xml:space="preserve">    userEmail: email,</t>
        </is>
      </c>
    </row>
    <row r="588">
      <c r="A588" s="456" t="inlineStr">
        <is>
          <t xml:space="preserve">    userRole: user.role,</t>
        </is>
      </c>
    </row>
    <row r="589">
      <c r="A589" s="456" t="inlineStr">
        <is>
          <t xml:space="preserve">    userLanding: user.landing,</t>
        </is>
      </c>
    </row>
    <row r="590">
      <c r="A590" s="456" t="inlineStr">
        <is>
          <t xml:space="preserve">    roleSource: user.source</t>
        </is>
      </c>
    </row>
    <row r="591">
      <c r="A591" s="456" t="inlineStr">
        <is>
          <t xml:space="preserve">  };</t>
        </is>
      </c>
    </row>
    <row r="592">
      <c r="A592" s="456" t="inlineStr">
        <is>
          <t>}</t>
        </is>
      </c>
    </row>
    <row r="593">
      <c r="A593" s="456" t="inlineStr"/>
    </row>
    <row r="594">
      <c r="A594" s="456" t="inlineStr">
        <is>
          <t>/**</t>
        </is>
      </c>
    </row>
    <row r="595">
      <c r="A595" s="456" t="inlineStr">
        <is>
          <t xml:space="preserve"> * 9. Персональный навигатор руководителя (Sidebar)</t>
        </is>
      </c>
    </row>
    <row r="596">
      <c r="A596" s="456" t="inlineStr">
        <is>
          <t xml:space="preserve"> */</t>
        </is>
      </c>
    </row>
    <row r="597">
      <c r="A597" s="456" t="inlineStr">
        <is>
          <t>function showEnterpriseNavigator() {</t>
        </is>
      </c>
    </row>
    <row r="598">
      <c r="A598" s="456" t="inlineStr">
        <is>
          <t xml:space="preserve">  const ui = SpreadsheetApp.getUi();</t>
        </is>
      </c>
    </row>
    <row r="599">
      <c r="A599" s="456" t="inlineStr">
        <is>
          <t xml:space="preserve">  const html = HtmlService.createHtmlOutput(`</t>
        </is>
      </c>
    </row>
    <row r="600">
      <c r="A600" s="456" t="inlineStr">
        <is>
          <t xml:space="preserve">    &lt;!DOCTYPE html&gt;</t>
        </is>
      </c>
    </row>
    <row r="601">
      <c r="A601" s="456" t="inlineStr">
        <is>
          <t xml:space="preserve">    &lt;html&gt;</t>
        </is>
      </c>
    </row>
    <row r="602">
      <c r="A602" s="456" t="inlineStr">
        <is>
          <t xml:space="preserve">      &lt;head&gt;</t>
        </is>
      </c>
    </row>
    <row r="603">
      <c r="A603" s="456" t="inlineStr">
        <is>
          <t xml:space="preserve">        &lt;base target="_top"&gt;</t>
        </is>
      </c>
    </row>
    <row r="604">
      <c r="A604" s="456" t="inlineStr">
        <is>
          <t xml:space="preserve">        &lt;style&gt;</t>
        </is>
      </c>
    </row>
    <row r="605">
      <c r="A605" s="456" t="inlineStr">
        <is>
          <t xml:space="preserve">          body { font-family: 'Segoe UI', -apple-system, sans-serif; padding: 14px; margin: 0; background: #F8FAFC; color: #0F172A; }</t>
        </is>
      </c>
    </row>
    <row r="606">
      <c r="A606" s="456" t="inlineStr">
        <is>
          <t xml:space="preserve">          .header { display: flex; align-items: center; justify-content: space-between; border-bottom: 2px solid #E2E8F0; padding-bottom: 8px; margin-bottom: 10px; }</t>
        </is>
      </c>
    </row>
    <row r="607">
      <c r="A607" s="456" t="inlineStr">
        <is>
          <t xml:space="preserve">          .title { font-size: 15px; font-weight: bold; color: #1E293B; }</t>
        </is>
      </c>
    </row>
    <row r="608">
      <c r="A608" s="456" t="inlineStr">
        <is>
          <t xml:space="preserve">          .badge { font-size: 10px; font-weight: bold; padding: 2px 6px; border-radius: 4px; background: #E0E7FF; color: #4338CA; }</t>
        </is>
      </c>
    </row>
    <row r="609">
      <c r="A609" s="456" t="inlineStr">
        <is>
          <t xml:space="preserve">          </t>
        </is>
      </c>
    </row>
    <row r="610">
      <c r="A610" s="456" t="inlineStr">
        <is>
          <t xml:space="preserve">          .status-box { background: #FFFFFF; border: 1px solid #E2E8F0; border-radius: 8px; padding: 10px; margin-bottom: 12px; font-size: 11px; }</t>
        </is>
      </c>
    </row>
    <row r="611">
      <c r="A611" s="456" t="inlineStr">
        <is>
          <t xml:space="preserve">          .status-row { display: flex; justify-content: space-between; margin-bottom: 4px; }</t>
        </is>
      </c>
    </row>
    <row r="612">
      <c r="A612" s="456" t="inlineStr">
        <is>
          <t xml:space="preserve">          .status-val { font-weight: bold; color: #0F172A; }</t>
        </is>
      </c>
    </row>
    <row r="613">
      <c r="A613" s="456" t="inlineStr">
        <is>
          <t xml:space="preserve">          </t>
        </is>
      </c>
    </row>
    <row r="614">
      <c r="A614" s="456" t="inlineStr">
        <is>
          <t xml:space="preserve">          .session-panel { background: #EEF2FF; border: 1px solid #C7D2FE; border-radius: 8px; padding: 10px; margin-bottom: 12px; }</t>
        </is>
      </c>
    </row>
    <row r="615">
      <c r="A615" s="456" t="inlineStr">
        <is>
          <t xml:space="preserve">          .section-title { font-size: 11px; font-weight: bold; text-transform: uppercase; color: #475569; margin: 0 0 6px 0; }</t>
        </is>
      </c>
    </row>
    <row r="616">
      <c r="A616" s="456" t="inlineStr">
        <is>
          <t xml:space="preserve">          </t>
        </is>
      </c>
    </row>
    <row r="617">
      <c r="A617" s="456" t="inlineStr">
        <is>
          <t xml:space="preserve">          .field { margin-bottom: 8px; }</t>
        </is>
      </c>
    </row>
    <row r="618">
      <c r="A618" s="456" t="inlineStr">
        <is>
          <t xml:space="preserve">          label { display: block; font-size: 11px; font-weight: 600; color: #475569; margin-bottom: 3px; }</t>
        </is>
      </c>
    </row>
    <row r="619">
      <c r="A619" s="456" t="inlineStr">
        <is>
          <t xml:space="preserve">          select { width: 100%; padding: 6px 8px; border: 1px solid #CBD5E1; border-radius: 6px; background: #FFF; font-size: 12px; font-weight: 600; }</t>
        </is>
      </c>
    </row>
    <row r="620">
      <c r="A620" s="456" t="inlineStr">
        <is>
          <t xml:space="preserve">          </t>
        </is>
      </c>
    </row>
    <row r="621">
      <c r="A621" s="456" t="inlineStr">
        <is>
          <t xml:space="preserve">          .btn-group { display: flex; gap: 6px; margin-top: 8px; }</t>
        </is>
      </c>
    </row>
    <row r="622">
      <c r="A622" s="456" t="inlineStr">
        <is>
          <t xml:space="preserve">          .btn-action { flex: 1; padding: 7px 10px; border-radius: 6px; font-size: 11px; font-weight: bold; cursor: pointer; text-align: center; border: 1px solid transparent; }</t>
        </is>
      </c>
    </row>
    <row r="623">
      <c r="A623" s="456" t="inlineStr">
        <is>
          <t xml:space="preserve">          .btn-primary { background: #4F46E5; color: #FFFFFF; }</t>
        </is>
      </c>
    </row>
    <row r="624">
      <c r="A624" s="456" t="inlineStr">
        <is>
          <t xml:space="preserve">          .btn-primary:hover { background: #4338CA; }</t>
        </is>
      </c>
    </row>
    <row r="625">
      <c r="A625" s="456" t="inlineStr">
        <is>
          <t xml:space="preserve">          .btn-secondary { background: #FFFFFF; border-color: #CBD5E1; color: #334155; }</t>
        </is>
      </c>
    </row>
    <row r="626">
      <c r="A626" s="456" t="inlineStr">
        <is>
          <t xml:space="preserve">          .btn-secondary:hover { background: #F1F5F9; }</t>
        </is>
      </c>
    </row>
    <row r="627">
      <c r="A627" s="456" t="inlineStr">
        <is>
          <t xml:space="preserve">          </t>
        </is>
      </c>
    </row>
    <row r="628">
      <c r="A628" s="456" t="inlineStr">
        <is>
          <t xml:space="preserve">          .card { background: #FFFFFF; border: 1px solid #E2E8F0; border-radius: 8px; padding: 8px 10px; margin-bottom: 6px; cursor: pointer; transition: all 0.15s; }</t>
        </is>
      </c>
    </row>
    <row r="629">
      <c r="A629" s="456" t="inlineStr">
        <is>
          <t xml:space="preserve">          .card:hover { border-color: #6366F1; background: #F5F7FF; transform: translateY(-1px); }</t>
        </is>
      </c>
    </row>
    <row r="630">
      <c r="A630" s="456" t="inlineStr">
        <is>
          <t xml:space="preserve">          .card-title { font-size: 12px; font-weight: bold; color: #1E293B; display: flex; align-items: center; justify-content: space-between; }</t>
        </is>
      </c>
    </row>
    <row r="631">
      <c r="A631" s="456" t="inlineStr">
        <is>
          <t xml:space="preserve">          .card-desc { font-size: 10px; color: #64748B; margin-top: 2px; }</t>
        </is>
      </c>
    </row>
    <row r="632">
      <c r="A632" s="456" t="inlineStr">
        <is>
          <t xml:space="preserve">          .filter-tag { font-size: 9px; background: #FEF3C7; color: #92400E; padding: 1px 4px; border-radius: 3px; font-weight: 600; }</t>
        </is>
      </c>
    </row>
    <row r="633">
      <c r="A633" s="456" t="inlineStr">
        <is>
          <t xml:space="preserve">        &lt;/style&gt;</t>
        </is>
      </c>
    </row>
    <row r="634">
      <c r="A634" s="456" t="inlineStr">
        <is>
          <t xml:space="preserve">      &lt;/head&gt;</t>
        </is>
      </c>
    </row>
    <row r="635">
      <c r="A635" s="456" t="inlineStr">
        <is>
          <t xml:space="preserve">      &lt;body&gt;</t>
        </is>
      </c>
    </row>
    <row r="636">
      <c r="A636" s="456" t="inlineStr">
        <is>
          <t xml:space="preserve">        &lt;div class="header"&gt;</t>
        </is>
      </c>
    </row>
    <row r="637">
      <c r="A637" s="456" t="inlineStr">
        <is>
          <t xml:space="preserve">          &lt;div class="title"&gt;🧭 RevOps Навигатор&lt;/div&gt;</t>
        </is>
      </c>
    </row>
    <row r="638">
      <c r="A638" s="456" t="inlineStr">
        <is>
          <t xml:space="preserve">          &lt;span class="badge"&gt;V17.6 Enterprise&lt;/span&gt;</t>
        </is>
      </c>
    </row>
    <row r="639">
      <c r="A639" s="456" t="inlineStr">
        <is>
          <t xml:space="preserve">        &lt;/div&gt;</t>
        </is>
      </c>
    </row>
    <row r="640">
      <c r="A640" s="456" t="inlineStr"/>
    </row>
    <row r="641">
      <c r="A641" s="456" t="inlineStr">
        <is>
          <t xml:space="preserve">        &lt;div class="status-box"&gt;</t>
        </is>
      </c>
    </row>
    <row r="642">
      <c r="A642" s="456" t="inlineStr">
        <is>
          <t xml:space="preserve">          &lt;div class="status-row"&gt;</t>
        </is>
      </c>
    </row>
    <row r="643">
      <c r="A643" s="456" t="inlineStr">
        <is>
          <t xml:space="preserve">            &lt;span style="color: #64748B;"&gt;Пользователь:&lt;/span&gt;</t>
        </is>
      </c>
    </row>
    <row r="644">
      <c r="A644" s="456" t="inlineStr">
        <is>
          <t xml:space="preserve">            &lt;span id="userEmail" class="status-val"&gt;Определение...&lt;/span&gt;</t>
        </is>
      </c>
    </row>
    <row r="645">
      <c r="A645" s="456" t="inlineStr">
        <is>
          <t xml:space="preserve">          &lt;/div&gt;</t>
        </is>
      </c>
    </row>
    <row r="646">
      <c r="A646" s="456" t="inlineStr">
        <is>
          <t xml:space="preserve">          &lt;div class="status-row"&gt;</t>
        </is>
      </c>
    </row>
    <row r="647">
      <c r="A647" s="456" t="inlineStr">
        <is>
          <t xml:space="preserve">            &lt;span style="color: #64748B;"&gt;Роль (по Email):&lt;/span&gt;</t>
        </is>
      </c>
    </row>
    <row r="648">
      <c r="A648" s="456" t="inlineStr">
        <is>
          <t xml:space="preserve">            &lt;span id="userRole" class="status-val" style="color: #4338CA;"&gt;-&lt;/span&gt;</t>
        </is>
      </c>
    </row>
    <row r="649">
      <c r="A649" s="456" t="inlineStr">
        <is>
          <t xml:space="preserve">          &lt;/div&gt;</t>
        </is>
      </c>
    </row>
    <row r="650">
      <c r="A650" s="456" t="inlineStr">
        <is>
          <t xml:space="preserve">          &lt;div class="status-row" style="margin-top: 6px; border-top: 1px dashed #E2E8F0; padding-top: 4px;"&gt;</t>
        </is>
      </c>
    </row>
    <row r="651">
      <c r="A651" s="456" t="inlineStr">
        <is>
          <t xml:space="preserve">            &lt;span style="color: #64748B;"&gt;Сессия:&lt;/span&gt;</t>
        </is>
      </c>
    </row>
    <row r="652">
      <c r="A652" s="456" t="inlineStr">
        <is>
          <t xml:space="preserve">            &lt;span id="sessionStatus" class="status-val" style="color: #16A34A;"&gt;🟢 Свободна&lt;/span&gt;</t>
        </is>
      </c>
    </row>
    <row r="653">
      <c r="A653" s="456" t="inlineStr">
        <is>
          <t xml:space="preserve">          &lt;/div&gt;</t>
        </is>
      </c>
    </row>
    <row r="654">
      <c r="A654" s="456" t="inlineStr">
        <is>
          <t xml:space="preserve">        &lt;/div&gt;</t>
        </is>
      </c>
    </row>
    <row r="655">
      <c r="A655" s="456" t="inlineStr"/>
    </row>
    <row r="656">
      <c r="A656" s="456" t="inlineStr">
        <is>
          <t xml:space="preserve">        &lt;div class="session-panel"&gt;</t>
        </is>
      </c>
    </row>
    <row r="657">
      <c r="A657" s="456" t="inlineStr">
        <is>
          <t xml:space="preserve">          &lt;div class="section-title"&gt;🎯 Управление сессией планирования&lt;/div&gt;</t>
        </is>
      </c>
    </row>
    <row r="658">
      <c r="A658" s="456" t="inlineStr">
        <is>
          <t xml:space="preserve">          &lt;div class="field"&gt;</t>
        </is>
      </c>
    </row>
    <row r="659">
      <c r="A659" s="456" t="inlineStr">
        <is>
          <t xml:space="preserve">            &lt;label&gt;Профиль сессии:&lt;/label&gt;</t>
        </is>
      </c>
    </row>
    <row r="660">
      <c r="A660" s="456" t="inlineStr">
        <is>
          <t xml:space="preserve">            &lt;select id="sessionRole"&gt;</t>
        </is>
      </c>
    </row>
    <row r="661">
      <c r="A661" s="456" t="inlineStr">
        <is>
          <t xml:space="preserve">              &lt;option value="👑 CEO"&gt;👑 CEO (Собственник)&lt;/option&gt;</t>
        </is>
      </c>
    </row>
    <row r="662">
      <c r="A662" s="456" t="inlineStr">
        <is>
          <t xml:space="preserve">              &lt;option value="📋 РОП" selected&gt;📋 РОП (Коммерческий директор)&lt;/option&gt;</t>
        </is>
      </c>
    </row>
    <row r="663">
      <c r="A663" s="456" t="inlineStr">
        <is>
          <t xml:space="preserve">              &lt;option value="💼 KAM"&gt;💼 KAM (Менеджер по продажам)&lt;/option&gt;</t>
        </is>
      </c>
    </row>
    <row r="664">
      <c r="A664" s="456" t="inlineStr">
        <is>
          <t xml:space="preserve">              &lt;option value="📞 SDR"&gt;📞 SDR (Телемаркетолог)&lt;/option&gt;</t>
        </is>
      </c>
    </row>
    <row r="665">
      <c r="A665" s="456" t="inlineStr">
        <is>
          <t xml:space="preserve">              &lt;option value="🌐 CMO"&gt;🌐 CMO (Маркетолог)&lt;/option&gt;</t>
        </is>
      </c>
    </row>
    <row r="666">
      <c r="A666" s="456" t="inlineStr">
        <is>
          <t xml:space="preserve">              &lt;option value="💳 CFO"&gt;💳 CFO (Финансовый директор)&lt;/option&gt;</t>
        </is>
      </c>
    </row>
    <row r="667">
      <c r="A667" s="456" t="inlineStr">
        <is>
          <t xml:space="preserve">              &lt;option value="🔧 Admin"&gt;🔧 Admin (RevOps Lead)&lt;/option&gt;</t>
        </is>
      </c>
    </row>
    <row r="668">
      <c r="A668" s="456" t="inlineStr">
        <is>
          <t xml:space="preserve">            &lt;/select&gt;</t>
        </is>
      </c>
    </row>
    <row r="669">
      <c r="A669" s="456" t="inlineStr">
        <is>
          <t xml:space="preserve">          &lt;/div&gt;</t>
        </is>
      </c>
    </row>
    <row r="670">
      <c r="A670" s="456" t="inlineStr">
        <is>
          <t xml:space="preserve">          &lt;div class="field"&gt;</t>
        </is>
      </c>
    </row>
    <row r="671">
      <c r="A671" s="456" t="inlineStr">
        <is>
          <t xml:space="preserve">            &lt;label&gt;Режим экрана:&lt;/label&gt;</t>
        </is>
      </c>
    </row>
    <row r="672">
      <c r="A672" s="456" t="inlineStr">
        <is>
          <t xml:space="preserve">            &lt;select id="sessionMode"&gt;</t>
        </is>
      </c>
    </row>
    <row r="673">
      <c r="A673" s="456" t="inlineStr">
        <is>
          <t xml:space="preserve">              &lt;option value="multi" selected&gt;👥 Multi-User (Не скрывать коллег)&lt;/option&gt;</t>
        </is>
      </c>
    </row>
    <row r="674">
      <c r="A674" s="456" t="inlineStr">
        <is>
          <t xml:space="preserve">              &lt;option value="solo"&gt;🎯 Solo Focus (Скрыть для презентации)&lt;/option&gt;</t>
        </is>
      </c>
    </row>
    <row r="675">
      <c r="A675" s="456" t="inlineStr">
        <is>
          <t xml:space="preserve">            &lt;/select&gt;</t>
        </is>
      </c>
    </row>
    <row r="676">
      <c r="A676" s="456" t="inlineStr">
        <is>
          <t xml:space="preserve">          &lt;/div&gt;</t>
        </is>
      </c>
    </row>
    <row r="677">
      <c r="A677" s="456" t="inlineStr">
        <is>
          <t xml:space="preserve">          &lt;div class="btn-group"&gt;</t>
        </is>
      </c>
    </row>
    <row r="678">
      <c r="A678" s="456" t="inlineStr">
        <is>
          <t xml:space="preserve">            &lt;button class="btn-action btn-primary" onclick="startSession()"&gt;▶️ Начать&lt;/button&gt;</t>
        </is>
      </c>
    </row>
    <row r="679">
      <c r="A679" s="456" t="inlineStr">
        <is>
          <t xml:space="preserve">            &lt;button class="btn-action btn-secondary" onclick="stopSession()"&gt;⏹️ Завершить&lt;/button&gt;</t>
        </is>
      </c>
    </row>
    <row r="680">
      <c r="A680" s="456" t="inlineStr">
        <is>
          <t xml:space="preserve">          &lt;/div&gt;</t>
        </is>
      </c>
    </row>
    <row r="681">
      <c r="A681" s="456" t="inlineStr">
        <is>
          <t xml:space="preserve">        &lt;/div&gt;</t>
        </is>
      </c>
    </row>
    <row r="682">
      <c r="A682" s="456" t="inlineStr"/>
    </row>
    <row r="683">
      <c r="A683" s="456" t="inlineStr">
        <is>
          <t xml:space="preserve">        &lt;div class="section-title" style="margin-top: 10px;"&gt;Быстрый переход к витринам&lt;/div&gt;</t>
        </is>
      </c>
    </row>
    <row r="684">
      <c r="A684" s="456" t="inlineStr">
        <is>
          <t xml:space="preserve">        &lt;div class="card" onclick="jump('📄 Executive_OnePager')"&gt;</t>
        </is>
      </c>
    </row>
    <row r="685">
      <c r="A685" s="456" t="inlineStr">
        <is>
          <t xml:space="preserve">          &lt;div class="card-title"&gt;👑 Собственник / CEO&lt;/div&gt;</t>
        </is>
      </c>
    </row>
    <row r="686">
      <c r="A686" s="456" t="inlineStr">
        <is>
          <t xml:space="preserve">          &lt;div class="card-desc"&gt;One-Pager: выручка, юнит-экономика, капитал&lt;/div&gt;</t>
        </is>
      </c>
    </row>
    <row r="687">
      <c r="A687" s="456" t="inlineStr">
        <is>
          <t xml:space="preserve">        &lt;/div&gt;</t>
        </is>
      </c>
    </row>
    <row r="688">
      <c r="A688" s="456" t="inlineStr">
        <is>
          <t xml:space="preserve">        &lt;div class="card" onclick="jump('📋 Пульт_РОПа_15_Минут')"&gt;</t>
        </is>
      </c>
    </row>
    <row r="689">
      <c r="A689" s="456" t="inlineStr">
        <is>
          <t xml:space="preserve">          &lt;div class="card-title"&gt;📋 Коммерческий директор&lt;/div&gt;</t>
        </is>
      </c>
    </row>
    <row r="690">
      <c r="A690" s="456" t="inlineStr">
        <is>
          <t xml:space="preserve">          &lt;div class="card-desc"&gt;Пульт РОПа 15 минут, горящие сделки&lt;/div&gt;</t>
        </is>
      </c>
    </row>
    <row r="691">
      <c r="A691" s="456" t="inlineStr">
        <is>
          <t xml:space="preserve">        &lt;/div&gt;</t>
        </is>
      </c>
    </row>
    <row r="692">
      <c r="A692" s="456" t="inlineStr">
        <is>
          <t xml:space="preserve">        &lt;div class="card" onclick="jump('⚡ Пульс_Компании')"&gt;</t>
        </is>
      </c>
    </row>
    <row r="693">
      <c r="A693" s="456" t="inlineStr">
        <is>
          <t xml:space="preserve">          &lt;div class="card-title"&gt;💼 KAM / 📞 SDR&lt;/div&gt;</t>
        </is>
      </c>
    </row>
    <row r="694">
      <c r="A694" s="456" t="inlineStr">
        <is>
          <t xml:space="preserve">          &lt;div class="card-desc"&gt;Пульс компании, звонки, личный пайплайн&lt;/div&gt;</t>
        </is>
      </c>
    </row>
    <row r="695">
      <c r="A695" s="456" t="inlineStr">
        <is>
          <t xml:space="preserve">        &lt;/div&gt;</t>
        </is>
      </c>
    </row>
    <row r="696">
      <c r="A696" s="456" t="inlineStr">
        <is>
          <t xml:space="preserve">        &lt;div class="card" onclick="jump('🌐 Маркетинг_и_Трафик')"&gt;</t>
        </is>
      </c>
    </row>
    <row r="697">
      <c r="A697" s="456" t="inlineStr">
        <is>
          <t xml:space="preserve">          &lt;div class="card-title"&gt;🌐 Маркетинг / CMO&lt;/div&gt;</t>
        </is>
      </c>
    </row>
    <row r="698">
      <c r="A698" s="456" t="inlineStr">
        <is>
          <t xml:space="preserve">          &lt;div class="card-desc"&gt;Атрибуция, ROMI, CPL и точки слива бюджета&lt;/div&gt;</t>
        </is>
      </c>
    </row>
    <row r="699">
      <c r="A699" s="456" t="inlineStr">
        <is>
          <t xml:space="preserve">        &lt;/div&gt;</t>
        </is>
      </c>
    </row>
    <row r="700">
      <c r="A700" s="456" t="inlineStr">
        <is>
          <t xml:space="preserve">        &lt;div class="card" onclick="jump('💳 Финансы_и_AI_Дожим')"&gt;</t>
        </is>
      </c>
    </row>
    <row r="701">
      <c r="A701" s="456" t="inlineStr">
        <is>
          <t xml:space="preserve">          &lt;div class="card-title"&gt;💳 Финансы / CFO&lt;/div&gt;</t>
        </is>
      </c>
    </row>
    <row r="702">
      <c r="A702" s="456" t="inlineStr">
        <is>
          <t xml:space="preserve">          &lt;div class="card-desc"&gt;Дебиторка DSO, кассовые разрывы, AI-дожим&lt;/div&gt;</t>
        </is>
      </c>
    </row>
    <row r="703">
      <c r="A703" s="456" t="inlineStr">
        <is>
          <t xml:space="preserve">        &lt;/div&gt;</t>
        </is>
      </c>
    </row>
    <row r="704">
      <c r="A704" s="456" t="inlineStr"/>
    </row>
    <row r="705">
      <c r="A705" s="456" t="inlineStr">
        <is>
          <t xml:space="preserve">        &lt;div class="section-title" style="margin-top: 10px;"&gt;Общие фильтры (Shared Filter Views)&lt;/div&gt;</t>
        </is>
      </c>
    </row>
    <row r="706">
      <c r="A706" s="456" t="inlineStr">
        <is>
          <t xml:space="preserve">        &lt;div class="card" onclick="jump('🎯 Action_Center')"&gt;</t>
        </is>
      </c>
    </row>
    <row r="707">
      <c r="A707" s="456" t="inlineStr">
        <is>
          <t xml:space="preserve">          &lt;div class="card-title"&gt;🎯 Action Center &lt;span class="filter-tag"&gt;4 Views&lt;/span&gt;&lt;/div&gt;</t>
        </is>
      </c>
    </row>
    <row r="708">
      <c r="A708" s="456" t="inlineStr">
        <is>
          <t xml:space="preserve">          &lt;div class="card-desc"&gt;P0 алерты РОПа, задачи КАМа 102, риски CFO&lt;/div&gt;</t>
        </is>
      </c>
    </row>
    <row r="709">
      <c r="A709" s="456" t="inlineStr">
        <is>
          <t xml:space="preserve">        &lt;/div&gt;</t>
        </is>
      </c>
    </row>
    <row r="710">
      <c r="A710" s="456" t="inlineStr">
        <is>
          <t xml:space="preserve">        &lt;div class="card" onclick="jump('📋 Задачи_и_Спринты')"&gt;</t>
        </is>
      </c>
    </row>
    <row r="711">
      <c r="A711" s="456" t="inlineStr">
        <is>
          <t xml:space="preserve">          &lt;div class="card-title"&gt;📋 Задачи и Спринты &lt;span class="filter-tag"&gt;4 Views&lt;/span&gt;&lt;/div&gt;</t>
        </is>
      </c>
    </row>
    <row r="712">
      <c r="A712" s="456" t="inlineStr">
        <is>
          <t xml:space="preserve">          &lt;div class="card-desc"&gt;Фильтры: Продажи, Маркетинг, Финансы, RevOps&lt;/div&gt;</t>
        </is>
      </c>
    </row>
    <row r="713">
      <c r="A713" s="456" t="inlineStr">
        <is>
          <t xml:space="preserve">        &lt;/div&gt;</t>
        </is>
      </c>
    </row>
    <row r="714">
      <c r="A714" s="456" t="inlineStr">
        <is>
          <t xml:space="preserve">        &lt;div class="card" onclick="jump('raw_deals')"&gt;</t>
        </is>
      </c>
    </row>
    <row r="715">
      <c r="A715" s="456" t="inlineStr">
        <is>
          <t xml:space="preserve">          &lt;div class="card-title"&gt;📊 Сделки CRM &lt;span class="filter-tag"&gt;4 Views&lt;/span&gt;&lt;/div&gt;</t>
        </is>
      </c>
    </row>
    <row r="716">
      <c r="A716" s="456" t="inlineStr">
        <is>
          <t xml:space="preserve">          &lt;div class="card-desc"&gt;Пайплайн в работе, выигранные сделки, крупные чеки&lt;/div&gt;</t>
        </is>
      </c>
    </row>
    <row r="717">
      <c r="A717" s="456" t="inlineStr">
        <is>
          <t xml:space="preserve">        &lt;/div&gt;</t>
        </is>
      </c>
    </row>
    <row r="718">
      <c r="A718" s="456" t="inlineStr"/>
    </row>
    <row r="719">
      <c r="A719" s="456" t="inlineStr">
        <is>
          <t xml:space="preserve">        &lt;script&gt;</t>
        </is>
      </c>
    </row>
    <row r="720">
      <c r="A720" s="456" t="inlineStr">
        <is>
          <t xml:space="preserve">          function loadStatus() {</t>
        </is>
      </c>
    </row>
    <row r="721">
      <c r="A721" s="456" t="inlineStr">
        <is>
          <t xml:space="preserve">            google.script.run.withSuccessHandler(function(res) {</t>
        </is>
      </c>
    </row>
    <row r="722">
      <c r="A722" s="456" t="inlineStr">
        <is>
          <t xml:space="preserve">              if (res) {</t>
        </is>
      </c>
    </row>
    <row r="723">
      <c r="A723" s="456" t="inlineStr">
        <is>
          <t xml:space="preserve">                document.getElementById('userEmail').innerText = res.userEmail ? res.userEmail.split('@')[0] : 'Анонимно';</t>
        </is>
      </c>
    </row>
    <row r="724">
      <c r="A724" s="456" t="inlineStr">
        <is>
          <t xml:space="preserve">                document.getElementById('userRole').innerText = res.userRole || '👑 CEO';</t>
        </is>
      </c>
    </row>
    <row r="725">
      <c r="A725" s="456" t="inlineStr">
        <is>
          <t xml:space="preserve">                document.getElementById('sessionStatus').innerText = res.sessionText || '🟢 Свободна';</t>
        </is>
      </c>
    </row>
    <row r="726">
      <c r="A726" s="456" t="inlineStr">
        <is>
          <t xml:space="preserve">              }</t>
        </is>
      </c>
    </row>
    <row r="727">
      <c r="A727" s="456" t="inlineStr">
        <is>
          <t xml:space="preserve">            }).getEnterpriseSessionStatus();</t>
        </is>
      </c>
    </row>
    <row r="728">
      <c r="A728" s="456" t="inlineStr">
        <is>
          <t xml:space="preserve">          }</t>
        </is>
      </c>
    </row>
    <row r="729">
      <c r="A729" s="456" t="inlineStr"/>
    </row>
    <row r="730">
      <c r="A730" s="456" t="inlineStr">
        <is>
          <t xml:space="preserve">          function startSession() {</t>
        </is>
      </c>
    </row>
    <row r="731">
      <c r="A731" s="456" t="inlineStr">
        <is>
          <t xml:space="preserve">            var role = document.getElementById('sessionRole').value;</t>
        </is>
      </c>
    </row>
    <row r="732">
      <c r="A732" s="456" t="inlineStr">
        <is>
          <t xml:space="preserve">            var isSolo = document.getElementById('sessionMode').value === 'solo';</t>
        </is>
      </c>
    </row>
    <row r="733">
      <c r="A733" s="456" t="inlineStr">
        <is>
          <t xml:space="preserve">            google.script.run.withSuccessHandler(function() {</t>
        </is>
      </c>
    </row>
    <row r="734">
      <c r="A734" s="456" t="inlineStr">
        <is>
          <t xml:space="preserve">              loadStatus();</t>
        </is>
      </c>
    </row>
    <row r="735">
      <c r="A735" s="456" t="inlineStr">
        <is>
          <t xml:space="preserve">            }).startPlanningSession(role, isSolo);</t>
        </is>
      </c>
    </row>
    <row r="736">
      <c r="A736" s="456" t="inlineStr">
        <is>
          <t xml:space="preserve">          }</t>
        </is>
      </c>
    </row>
    <row r="737">
      <c r="A737" s="456" t="inlineStr"/>
    </row>
    <row r="738">
      <c r="A738" s="456" t="inlineStr">
        <is>
          <t xml:space="preserve">          function stopSession() {</t>
        </is>
      </c>
    </row>
    <row r="739">
      <c r="A739" s="456" t="inlineStr">
        <is>
          <t xml:space="preserve">            google.script.run.withSuccessHandler(function() {</t>
        </is>
      </c>
    </row>
    <row r="740">
      <c r="A740" s="456" t="inlineStr">
        <is>
          <t xml:space="preserve">              loadStatus();</t>
        </is>
      </c>
    </row>
    <row r="741">
      <c r="A741" s="456" t="inlineStr">
        <is>
          <t xml:space="preserve">            }).endPlanningSession();</t>
        </is>
      </c>
    </row>
    <row r="742">
      <c r="A742" s="456" t="inlineStr">
        <is>
          <t xml:space="preserve">          }</t>
        </is>
      </c>
    </row>
    <row r="743">
      <c r="A743" s="456" t="inlineStr"/>
    </row>
    <row r="744">
      <c r="A744" s="456" t="inlineStr">
        <is>
          <t xml:space="preserve">          function jump(sheetName) {</t>
        </is>
      </c>
    </row>
    <row r="745">
      <c r="A745" s="456" t="inlineStr">
        <is>
          <t xml:space="preserve">            google.script.run.jumpToSheet(sheetName);</t>
        </is>
      </c>
    </row>
    <row r="746">
      <c r="A746" s="456" t="inlineStr">
        <is>
          <t xml:space="preserve">          }</t>
        </is>
      </c>
    </row>
    <row r="747">
      <c r="A747" s="456" t="inlineStr"/>
    </row>
    <row r="748">
      <c r="A748" s="456" t="inlineStr">
        <is>
          <t xml:space="preserve">          loadStatus();</t>
        </is>
      </c>
    </row>
    <row r="749">
      <c r="A749" s="456" t="inlineStr">
        <is>
          <t xml:space="preserve">        &lt;/script&gt;</t>
        </is>
      </c>
    </row>
    <row r="750">
      <c r="A750" s="456" t="inlineStr">
        <is>
          <t xml:space="preserve">      &lt;/body&gt;</t>
        </is>
      </c>
    </row>
    <row r="751">
      <c r="A751" s="456" t="inlineStr">
        <is>
          <t xml:space="preserve">    &lt;/html&gt;</t>
        </is>
      </c>
    </row>
    <row r="752">
      <c r="A752" s="456" t="inlineStr">
        <is>
          <t xml:space="preserve">  `).setTitle('RevOps Enterprise Навигатор').setWidth(300);</t>
        </is>
      </c>
    </row>
    <row r="753">
      <c r="A753" s="456" t="inlineStr">
        <is>
          <t xml:space="preserve">  ui.showSidebar(html);</t>
        </is>
      </c>
    </row>
    <row r="754">
      <c r="A754" s="456" t="inlineStr">
        <is>
          <t>}</t>
        </is>
      </c>
    </row>
    <row r="755">
      <c r="A755" s="456" t="inlineStr"/>
    </row>
    <row r="756">
      <c r="A756" s="456" t="inlineStr">
        <is>
          <t>/**</t>
        </is>
      </c>
    </row>
    <row r="757">
      <c r="A757" s="456" t="inlineStr">
        <is>
          <t xml:space="preserve"> * Быстрый переход на лист из Sidebar</t>
        </is>
      </c>
    </row>
    <row r="758">
      <c r="A758" s="456" t="inlineStr">
        <is>
          <t xml:space="preserve"> */</t>
        </is>
      </c>
    </row>
    <row r="759">
      <c r="A759" s="456" t="inlineStr">
        <is>
          <t>function jumpToSheet(sheetName) {</t>
        </is>
      </c>
    </row>
    <row r="760">
      <c r="A760" s="456" t="inlineStr">
        <is>
          <t xml:space="preserve">  const ss = SpreadsheetApp.getActive();</t>
        </is>
      </c>
    </row>
    <row r="761">
      <c r="A761" s="456" t="inlineStr">
        <is>
          <t xml:space="preserve">  const sh = ss.getSheetByName(sheetName);</t>
        </is>
      </c>
    </row>
    <row r="762">
      <c r="A762" s="456" t="inlineStr">
        <is>
          <t xml:space="preserve">  if (sh) {</t>
        </is>
      </c>
    </row>
    <row r="763">
      <c r="A763" s="456" t="inlineStr">
        <is>
          <t xml:space="preserve">    if (sh.isSheetHidden()) {</t>
        </is>
      </c>
    </row>
    <row r="764">
      <c r="A764" s="456" t="inlineStr">
        <is>
          <t xml:space="preserve">      try { sh.showSheet(); } catch(e) {}</t>
        </is>
      </c>
    </row>
    <row r="765">
      <c r="A765" s="456" t="inlineStr">
        <is>
          <t xml:space="preserve">    }</t>
        </is>
      </c>
    </row>
    <row r="766">
      <c r="A766" s="456" t="inlineStr">
        <is>
          <t xml:space="preserve">    ss.setActiveSheet(sh);</t>
        </is>
      </c>
    </row>
    <row r="767">
      <c r="A767" s="456" t="inlineStr">
        <is>
          <t xml:space="preserve">  }</t>
        </is>
      </c>
    </row>
    <row r="768">
      <c r="A768" s="456" t="inlineStr">
        <is>
          <t>}</t>
        </is>
      </c>
    </row>
    <row r="769">
      <c r="A769" s="456" t="inlineStr"/>
    </row>
    <row r="770">
      <c r="A770" s="456" t="inlineStr">
        <is>
          <t>/**</t>
        </is>
      </c>
    </row>
    <row r="771">
      <c r="A771" s="456" t="inlineStr">
        <is>
          <t xml:space="preserve"> * 10. Событие onOpen (автозапуск при открытии)</t>
        </is>
      </c>
    </row>
    <row r="772">
      <c r="A772" s="456" t="inlineStr">
        <is>
          <t xml:space="preserve"> */</t>
        </is>
      </c>
    </row>
    <row r="773">
      <c r="A773" s="456" t="inlineStr">
        <is>
          <t>function applyRbacOnOpen() {</t>
        </is>
      </c>
    </row>
    <row r="774">
      <c r="A774" s="456" t="inlineStr">
        <is>
          <t xml:space="preserve">  const ss = SpreadsheetApp.getActive();</t>
        </is>
      </c>
    </row>
    <row r="775">
      <c r="A775" s="456" t="inlineStr">
        <is>
          <t xml:space="preserve">  try {</t>
        </is>
      </c>
    </row>
    <row r="776">
      <c r="A776" s="456" t="inlineStr">
        <is>
          <t xml:space="preserve">    const userInfo = getUserRoleAndLanding_();</t>
        </is>
      </c>
    </row>
    <row r="777">
      <c r="A777" s="456" t="inlineStr">
        <is>
          <t xml:space="preserve">    applyRoleVisibility(userInfo.role, { silent: true, targetLanding: userInfo.landing });</t>
        </is>
      </c>
    </row>
    <row r="778">
      <c r="A778" s="456" t="inlineStr">
        <is>
          <t xml:space="preserve">  } catch (e) {</t>
        </is>
      </c>
    </row>
    <row r="779">
      <c r="A779" s="456" t="inlineStr">
        <is>
          <t xml:space="preserve">    ss.toast('RBAC: ' + e.message, '⚠️ Ошибка запуска', 8);</t>
        </is>
      </c>
    </row>
    <row r="780">
      <c r="A780" s="456" t="inlineStr">
        <is>
          <t xml:space="preserve">  }</t>
        </is>
      </c>
    </row>
    <row r="781">
      <c r="A781" s="456" t="inlineStr">
        <is>
          <t>}</t>
        </is>
      </c>
    </row>
    <row r="782">
      <c r="A782" s="456" t="inlineStr"/>
    </row>
    <row r="783">
      <c r="A783" s="456" t="inlineStr">
        <is>
          <t>/**</t>
        </is>
      </c>
    </row>
    <row r="784">
      <c r="A784" s="456" t="inlineStr">
        <is>
          <t xml:space="preserve"> * 11. Installable onEdit</t>
        </is>
      </c>
    </row>
    <row r="785">
      <c r="A785" s="456" t="inlineStr">
        <is>
          <t xml:space="preserve"> * Шаг 5: Проверка прав на RBAC_Matrix через isCurrentUserAdmin_()</t>
        </is>
      </c>
    </row>
    <row r="786">
      <c r="A786" s="456" t="inlineStr">
        <is>
          <t xml:space="preserve"> */</t>
        </is>
      </c>
    </row>
    <row r="787">
      <c r="A787" s="456" t="inlineStr">
        <is>
          <t>function onEditInstallable(e) {</t>
        </is>
      </c>
    </row>
    <row r="788">
      <c r="A788" s="456" t="inlineStr">
        <is>
          <t xml:space="preserve">  if (!e || !e.range) return;</t>
        </is>
      </c>
    </row>
    <row r="789">
      <c r="A789" s="456" t="inlineStr">
        <is>
          <t xml:space="preserve">  const sh = e.range.getSheet();</t>
        </is>
      </c>
    </row>
    <row r="790">
      <c r="A790" s="456" t="inlineStr">
        <is>
          <t xml:space="preserve">  const sheetName = sh.getName();</t>
        </is>
      </c>
    </row>
    <row r="791">
      <c r="A791" s="456" t="inlineStr">
        <is>
          <t xml:space="preserve">  const a1 = e.range.getA1Notation();</t>
        </is>
      </c>
    </row>
    <row r="792">
      <c r="A792" s="456" t="inlineStr">
        <is>
          <t xml:space="preserve">  const ss = SpreadsheetApp.getActive();</t>
        </is>
      </c>
    </row>
    <row r="793">
      <c r="A793" s="456" t="inlineStr"/>
    </row>
    <row r="794">
      <c r="A794" s="456" t="inlineStr">
        <is>
          <t xml:space="preserve">  // 1. Смена роли в Настройках (B10)</t>
        </is>
      </c>
    </row>
    <row r="795">
      <c r="A795" s="456" t="inlineStr">
        <is>
          <t xml:space="preserve">  if (sheetName === SETTINGS_SH &amp;&amp; a1 === ROLE_CELL) {</t>
        </is>
      </c>
    </row>
    <row r="796">
      <c r="A796" s="456" t="inlineStr">
        <is>
          <t xml:space="preserve">    const newRole = String(e.range.getValue()).trim();</t>
        </is>
      </c>
    </row>
    <row r="797">
      <c r="A797" s="456" t="inlineStr">
        <is>
          <t xml:space="preserve">    const oldRole = e.oldValue ? String(e.oldValue).trim() : '';</t>
        </is>
      </c>
    </row>
    <row r="798">
      <c r="A798" s="456" t="inlineStr">
        <is>
          <t xml:space="preserve">    applyRoleVisibility(newRole, { oldRole: oldRole });</t>
        </is>
      </c>
    </row>
    <row r="799">
      <c r="A799" s="456" t="inlineStr">
        <is>
          <t xml:space="preserve">    return;</t>
        </is>
      </c>
    </row>
    <row r="800">
      <c r="A800" s="456" t="inlineStr">
        <is>
          <t xml:space="preserve">  }</t>
        </is>
      </c>
    </row>
    <row r="801">
      <c r="A801" s="456" t="inlineStr"/>
    </row>
    <row r="802">
      <c r="A802" s="456" t="inlineStr">
        <is>
          <t xml:space="preserve">  // 2. Смена режима в Настройках (H10)</t>
        </is>
      </c>
    </row>
    <row r="803">
      <c r="A803" s="456" t="inlineStr">
        <is>
          <t xml:space="preserve">  if (sheetName === SETTINGS_SH &amp;&amp; a1 === MODE_CELL) {</t>
        </is>
      </c>
    </row>
    <row r="804">
      <c r="A804" s="456" t="inlineStr">
        <is>
          <t xml:space="preserve">    const role = ss.getSheetByName(SETTINGS_SH).getRange(ROLE_CELL).getValue();</t>
        </is>
      </c>
    </row>
    <row r="805">
      <c r="A805" s="456" t="inlineStr">
        <is>
          <t xml:space="preserve">    applyRoleVisibility(role, { silent: false });</t>
        </is>
      </c>
    </row>
    <row r="806">
      <c r="A806" s="456" t="inlineStr">
        <is>
          <t xml:space="preserve">    return;</t>
        </is>
      </c>
    </row>
    <row r="807">
      <c r="A807" s="456" t="inlineStr">
        <is>
          <t xml:space="preserve">  }</t>
        </is>
      </c>
    </row>
    <row r="808">
      <c r="A808" s="456" t="inlineStr"/>
    </row>
    <row r="809">
      <c r="A809" s="456" t="inlineStr">
        <is>
          <t xml:space="preserve">  // 3. Правка матрицы RBAC — проверка по email-карте через isCurrentUserAdmin_()</t>
        </is>
      </c>
    </row>
    <row r="810">
      <c r="A810" s="456" t="inlineStr">
        <is>
          <t xml:space="preserve">  if (sheetName === RBAC_SHEET) {</t>
        </is>
      </c>
    </row>
    <row r="811">
      <c r="A811" s="456" t="inlineStr">
        <is>
          <t xml:space="preserve">    if (!isCurrentUserAdmin_()) {</t>
        </is>
      </c>
    </row>
    <row r="812">
      <c r="A812" s="456" t="inlineStr">
        <is>
          <t xml:space="preserve">      if (e.oldValue !== undefined) e.range.setValue(e.oldValue);</t>
        </is>
      </c>
    </row>
    <row r="813">
      <c r="A813" s="456" t="inlineStr">
        <is>
          <t xml:space="preserve">      ss.toast('⛔ Нет прав на изменение матрицы RBAC.', '🛡️ Доступ запрещен', 5);</t>
        </is>
      </c>
    </row>
    <row r="814">
      <c r="A814" s="456" t="inlineStr">
        <is>
          <t xml:space="preserve">      return;</t>
        </is>
      </c>
    </row>
    <row r="815">
      <c r="A815" s="456" t="inlineStr">
        <is>
          <t xml:space="preserve">    }</t>
        </is>
      </c>
    </row>
    <row r="816">
      <c r="A816" s="456" t="inlineStr">
        <is>
          <t xml:space="preserve">    const userInfo = getUserRoleAndLanding_();</t>
        </is>
      </c>
    </row>
    <row r="817">
      <c r="A817" s="456" t="inlineStr">
        <is>
          <t xml:space="preserve">    applyRoleVisibility(userInfo.role, { silent: true });</t>
        </is>
      </c>
    </row>
    <row r="818">
      <c r="A818" s="456" t="inlineStr">
        <is>
          <t xml:space="preserve">    return;</t>
        </is>
      </c>
    </row>
    <row r="819">
      <c r="A819" s="456" t="inlineStr">
        <is>
          <t xml:space="preserve">  }</t>
        </is>
      </c>
    </row>
    <row r="820">
      <c r="A820" s="456" t="inlineStr">
        <is>
          <t>}</t>
        </is>
      </c>
    </row>
    <row r="821">
      <c r="A821" s="456" t="inlineStr"/>
    </row>
    <row r="822">
      <c r="A822" s="456" t="inlineStr">
        <is>
          <t>/**</t>
        </is>
      </c>
    </row>
    <row r="823">
      <c r="A823" s="456" t="inlineStr">
        <is>
          <t xml:space="preserve"> * 12. Установка Installable-триггеров</t>
        </is>
      </c>
    </row>
    <row r="824">
      <c r="A824" s="456" t="inlineStr">
        <is>
          <t xml:space="preserve"> */</t>
        </is>
      </c>
    </row>
    <row r="825">
      <c r="A825" s="456" t="inlineStr">
        <is>
          <t>function installRbacTriggers() {</t>
        </is>
      </c>
    </row>
    <row r="826">
      <c r="A826" s="456" t="inlineStr">
        <is>
          <t xml:space="preserve">  const ss = SpreadsheetApp.getActive();</t>
        </is>
      </c>
    </row>
    <row r="827">
      <c r="A827" s="456" t="inlineStr">
        <is>
          <t xml:space="preserve">  ScriptApp.getProjectTriggers().forEach(t =&gt; {</t>
        </is>
      </c>
    </row>
    <row r="828">
      <c r="A828" s="456" t="inlineStr">
        <is>
          <t xml:space="preserve">    const h = t.getHandlerFunction();</t>
        </is>
      </c>
    </row>
    <row r="829">
      <c r="A829" s="456" t="inlineStr">
        <is>
          <t xml:space="preserve">    if (['onEditInstallable', 'applyRbacOnOpen'].includes(h)) {</t>
        </is>
      </c>
    </row>
    <row r="830">
      <c r="A830" s="456" t="inlineStr">
        <is>
          <t xml:space="preserve">      ScriptApp.deleteTrigger(t);</t>
        </is>
      </c>
    </row>
    <row r="831">
      <c r="A831" s="456" t="inlineStr">
        <is>
          <t xml:space="preserve">    }</t>
        </is>
      </c>
    </row>
    <row r="832">
      <c r="A832" s="456" t="inlineStr">
        <is>
          <t xml:space="preserve">  });</t>
        </is>
      </c>
    </row>
    <row r="833">
      <c r="A833" s="456" t="inlineStr">
        <is>
          <t xml:space="preserve">  ScriptApp.newTrigger('applyRbacOnOpen').forSpreadsheet(ss).onOpen().create();</t>
        </is>
      </c>
    </row>
    <row r="834">
      <c r="A834" s="456" t="inlineStr">
        <is>
          <t xml:space="preserve">  ScriptApp.newTrigger('onEditInstallable').forSpreadsheet(ss).onEdit().create();</t>
        </is>
      </c>
    </row>
    <row r="835">
      <c r="A835" s="456" t="inlineStr">
        <is>
          <t xml:space="preserve">  ss.toast('✅ RBAC-триггеры успешно установлены (onOpen, onEdit)', '🛡️ RevOps', 6);</t>
        </is>
      </c>
    </row>
    <row r="836">
      <c r="A836" s="456" t="inlineStr">
        <is>
          <t>}</t>
        </is>
      </c>
    </row>
    <row r="837">
      <c r="A837" s="456" t="inlineStr"/>
    </row>
    <row r="838">
      <c r="A838" s="456" t="inlineStr">
        <is>
          <t>/**</t>
        </is>
      </c>
    </row>
    <row r="839">
      <c r="A839" s="456" t="inlineStr">
        <is>
          <t xml:space="preserve"> * 13. Защита служебных листов</t>
        </is>
      </c>
    </row>
    <row r="840">
      <c r="A840" s="456" t="inlineStr">
        <is>
          <t xml:space="preserve"> */</t>
        </is>
      </c>
    </row>
    <row r="841">
      <c r="A841" s="456" t="inlineStr">
        <is>
          <t>function protectRbacSheets() {</t>
        </is>
      </c>
    </row>
    <row r="842">
      <c r="A842" s="456" t="inlineStr">
        <is>
          <t xml:space="preserve">  const ss = SpreadsheetApp.getActive();</t>
        </is>
      </c>
    </row>
    <row r="843">
      <c r="A843" s="456" t="inlineStr">
        <is>
          <t xml:space="preserve">  PROTECTED_SHEETS.forEach(name =&gt; {</t>
        </is>
      </c>
    </row>
    <row r="844">
      <c r="A844" s="456" t="inlineStr">
        <is>
          <t xml:space="preserve">    const sh = ss.getSheetByName(name);</t>
        </is>
      </c>
    </row>
    <row r="845">
      <c r="A845" s="456" t="inlineStr">
        <is>
          <t xml:space="preserve">    if (!sh) return;</t>
        </is>
      </c>
    </row>
    <row r="846">
      <c r="A846" s="456" t="inlineStr">
        <is>
          <t xml:space="preserve">    sh.getProtections(SpreadsheetApp.ProtectionType.SHEET).forEach(p =&gt; {</t>
        </is>
      </c>
    </row>
    <row r="847">
      <c r="A847" s="456" t="inlineStr">
        <is>
          <t xml:space="preserve">      try { p.remove(); } catch(e) {}</t>
        </is>
      </c>
    </row>
    <row r="848">
      <c r="A848" s="456" t="inlineStr">
        <is>
          <t xml:space="preserve">    });</t>
        </is>
      </c>
    </row>
    <row r="849">
      <c r="A849" s="456" t="inlineStr">
        <is>
          <t xml:space="preserve">    const p = sh.protect().setDescription('RBAC: служебный лист — только Admin');</t>
        </is>
      </c>
    </row>
    <row r="850">
      <c r="A850" s="456" t="inlineStr">
        <is>
          <t xml:space="preserve">    p.removeEditors(p.getEditors().map(u =&gt; u.getEmail()));</t>
        </is>
      </c>
    </row>
    <row r="851">
      <c r="A851" s="456" t="inlineStr">
        <is>
          <t xml:space="preserve">    if (p.canDomainEdit()) p.setDomainEdit(false);</t>
        </is>
      </c>
    </row>
    <row r="852">
      <c r="A852" s="456" t="inlineStr">
        <is>
          <t xml:space="preserve">  });</t>
        </is>
      </c>
    </row>
    <row r="853">
      <c r="A853" s="456" t="inlineStr"/>
    </row>
    <row r="854">
      <c r="A854" s="456" t="inlineStr">
        <is>
          <t xml:space="preserve">  const st = ss.getSheetByName(SETTINGS_SH);</t>
        </is>
      </c>
    </row>
    <row r="855">
      <c r="A855" s="456" t="inlineStr">
        <is>
          <t xml:space="preserve">  if (st) {</t>
        </is>
      </c>
    </row>
    <row r="856">
      <c r="A856" s="456" t="inlineStr">
        <is>
          <t xml:space="preserve">    ['B9','B10','D9','F10','H9','H10'].forEach(a1 =&gt; {</t>
        </is>
      </c>
    </row>
    <row r="857">
      <c r="A857" s="456" t="inlineStr">
        <is>
          <t xml:space="preserve">      st.getRange(a1).getProtections(SpreadsheetApp.ProtectionType.RANGE).forEach(p =&gt; {</t>
        </is>
      </c>
    </row>
    <row r="858">
      <c r="A858" s="456" t="inlineStr">
        <is>
          <t xml:space="preserve">        try { p.remove(); } catch(e) {}</t>
        </is>
      </c>
    </row>
    <row r="859">
      <c r="A859" s="456" t="inlineStr">
        <is>
          <t xml:space="preserve">      });</t>
        </is>
      </c>
    </row>
    <row r="860">
      <c r="A860" s="456" t="inlineStr">
        <is>
          <t xml:space="preserve">    });</t>
        </is>
      </c>
    </row>
    <row r="861">
      <c r="A861" s="456" t="inlineStr">
        <is>
          <t xml:space="preserve">  }</t>
        </is>
      </c>
    </row>
    <row r="862">
      <c r="A862" s="456" t="inlineStr">
        <is>
          <t xml:space="preserve">  ss.toast('🛡️ Служебные листы защищены (calc_*, raw_*, контракты)', 'RBAC Security', 5);</t>
        </is>
      </c>
    </row>
    <row r="863">
      <c r="A863" s="456" t="inlineStr">
        <is>
          <t>}</t>
        </is>
      </c>
    </row>
    <row r="864">
      <c r="A864" s="456" t="inlineStr"/>
    </row>
    <row r="865">
      <c r="A865" s="456" t="inlineStr">
        <is>
          <t>/**</t>
        </is>
      </c>
    </row>
    <row r="866">
      <c r="A866" s="456" t="inlineStr">
        <is>
          <t xml:space="preserve"> * 14. Меню документа</t>
        </is>
      </c>
    </row>
    <row r="867">
      <c r="A867" s="456" t="inlineStr">
        <is>
          <t xml:space="preserve"> * Шаг 4: Добавлены пункты управления пользователями</t>
        </is>
      </c>
    </row>
    <row r="868">
      <c r="A868" s="456" t="inlineStr">
        <is>
          <t xml:space="preserve"> */</t>
        </is>
      </c>
    </row>
    <row r="869">
      <c r="A869" s="456" t="inlineStr">
        <is>
          <t>function onOpen(e) {</t>
        </is>
      </c>
    </row>
    <row r="870">
      <c r="A870" s="456" t="inlineStr">
        <is>
          <t xml:space="preserve">  const ui = SpreadsheetApp.getUi();</t>
        </is>
      </c>
    </row>
    <row r="871">
      <c r="A871" s="456" t="inlineStr">
        <is>
          <t xml:space="preserve">  ui.createMenu('🛡️ RevOps Управление')</t>
        </is>
      </c>
    </row>
    <row r="872">
      <c r="A872" s="456" t="inlineStr">
        <is>
          <t xml:space="preserve">    .addItem('🧭 Персональный навигатор (Sidebar)...', 'showEnterpriseNavigator')</t>
        </is>
      </c>
    </row>
    <row r="873">
      <c r="A873" s="456" t="inlineStr">
        <is>
          <t xml:space="preserve">    .addItem('⏹️ Завершить сессию (Открыть все дашборды)', 'endPlanningSession')</t>
        </is>
      </c>
    </row>
    <row r="874">
      <c r="A874" s="456" t="inlineStr">
        <is>
          <t xml:space="preserve">    .addSeparator()</t>
        </is>
      </c>
    </row>
    <row r="875">
      <c r="A875" s="456" t="inlineStr">
        <is>
          <t xml:space="preserve">    .addItem('👥 Добавить пользователя в карту ролей...', 'showAddUserDialog')</t>
        </is>
      </c>
    </row>
    <row r="876">
      <c r="A876" s="456" t="inlineStr">
        <is>
          <t xml:space="preserve">    .addItem('🔄 Обновить защиту карты пользователей', 'refreshUsersMapProtection_')</t>
        </is>
      </c>
    </row>
    <row r="877">
      <c r="A877" s="456" t="inlineStr">
        <is>
          <t xml:space="preserve">    .addSeparator()</t>
        </is>
      </c>
    </row>
    <row r="878">
      <c r="A878" s="456" t="inlineStr">
        <is>
          <t xml:space="preserve">    .addItem('👤 Сменить базовую роль (B10)...', 'showRoleSwitcherDialog')</t>
        </is>
      </c>
    </row>
    <row r="879">
      <c r="A879" s="456" t="inlineStr">
        <is>
          <t xml:space="preserve">    .addItem('🔄 Переприменить права RBAC', 'reapplyRbacMenu')</t>
        </is>
      </c>
    </row>
    <row r="880">
      <c r="A880" s="456" t="inlineStr">
        <is>
          <t xml:space="preserve">    .addSeparator()</t>
        </is>
      </c>
    </row>
    <row r="881">
      <c r="A881" s="456" t="inlineStr">
        <is>
          <t xml:space="preserve">    .addItem('🔐 Открыть матрицу RBAC', 'showRbacMatrixMenu')</t>
        </is>
      </c>
    </row>
    <row r="882">
      <c r="A882" s="456" t="inlineStr">
        <is>
          <t xml:space="preserve">    .addItem('🔒 Защитить служебные листы', 'protectRbacSheetsMenu')</t>
        </is>
      </c>
    </row>
    <row r="883">
      <c r="A883" s="456" t="inlineStr">
        <is>
          <t xml:space="preserve">    .addItem('⚡ Установить RBAC-триггеры', 'installRbacTriggersMenu')</t>
        </is>
      </c>
    </row>
    <row r="884">
      <c r="A884" s="456" t="inlineStr">
        <is>
          <t xml:space="preserve">    .addToUi();</t>
        </is>
      </c>
    </row>
    <row r="885">
      <c r="A885" s="456" t="inlineStr">
        <is>
          <t>}</t>
        </is>
      </c>
    </row>
    <row r="886">
      <c r="A886" s="456" t="inlineStr"/>
    </row>
    <row r="887">
      <c r="A887" s="456" t="inlineStr">
        <is>
          <t>function showRbacMatrixMenu() {</t>
        </is>
      </c>
    </row>
    <row r="888">
      <c r="A888" s="456" t="inlineStr">
        <is>
          <t xml:space="preserve">  const sh = SpreadsheetApp.getActive().getSheetByName(RBAC_SHEET);</t>
        </is>
      </c>
    </row>
    <row r="889">
      <c r="A889" s="456" t="inlineStr">
        <is>
          <t xml:space="preserve">  if (sh) SpreadsheetApp.getActive().setActiveSheet(sh);</t>
        </is>
      </c>
    </row>
    <row r="890">
      <c r="A890" s="456" t="inlineStr">
        <is>
          <t>}</t>
        </is>
      </c>
    </row>
    <row r="891">
      <c r="A891" s="456" t="inlineStr"/>
    </row>
    <row r="892">
      <c r="A892" s="456" t="inlineStr">
        <is>
          <t>function reapplyRbacMenu() {</t>
        </is>
      </c>
    </row>
    <row r="893">
      <c r="A893" s="456" t="inlineStr">
        <is>
          <t xml:space="preserve">  const role = SpreadsheetApp.getActive().getSheetByName(SETTINGS_SH).getRange(ROLE_CELL).getValue();</t>
        </is>
      </c>
    </row>
    <row r="894">
      <c r="A894" s="456" t="inlineStr">
        <is>
          <t xml:space="preserve">  applyRoleVisibility(role, { silent: false });</t>
        </is>
      </c>
    </row>
    <row r="895">
      <c r="A895" s="456" t="inlineStr">
        <is>
          <t>}</t>
        </is>
      </c>
    </row>
    <row r="896">
      <c r="A896" s="456" t="inlineStr"/>
    </row>
    <row r="897">
      <c r="A897" s="456" t="inlineStr">
        <is>
          <t>function installRbacTriggersMenu() { installRbacTriggers(); }</t>
        </is>
      </c>
    </row>
    <row r="898">
      <c r="A898" s="456" t="inlineStr">
        <is>
          <t>function protectRbacSheetsMenu()   { protectRbacSheets(); }</t>
        </is>
      </c>
    </row>
    <row r="899">
      <c r="A899" s="456" t="inlineStr"/>
    </row>
    <row r="900">
      <c r="A900" s="456" t="inlineStr">
        <is>
          <t>/**</t>
        </is>
      </c>
    </row>
    <row r="901">
      <c r="A901" s="456" t="inlineStr">
        <is>
          <t xml:space="preserve"> * Диалог смены роли</t>
        </is>
      </c>
    </row>
    <row r="902">
      <c r="A902" s="456" t="inlineStr">
        <is>
          <t xml:space="preserve"> */</t>
        </is>
      </c>
    </row>
    <row r="903">
      <c r="A903" s="456" t="inlineStr">
        <is>
          <t>function showRoleSwitcherDialog() {</t>
        </is>
      </c>
    </row>
    <row r="904">
      <c r="A904" s="456" t="inlineStr">
        <is>
          <t xml:space="preserve">  const ui = SpreadsheetApp.getUi();</t>
        </is>
      </c>
    </row>
    <row r="905">
      <c r="A905" s="456" t="inlineStr">
        <is>
          <t xml:space="preserve">  const html = HtmlService.createHtmlOutput(`</t>
        </is>
      </c>
    </row>
    <row r="906">
      <c r="A906" s="456" t="inlineStr">
        <is>
          <t xml:space="preserve">    &lt;!DOCTYPE html&gt;</t>
        </is>
      </c>
    </row>
    <row r="907">
      <c r="A907" s="456" t="inlineStr">
        <is>
          <t xml:space="preserve">    &lt;html&gt;</t>
        </is>
      </c>
    </row>
    <row r="908">
      <c r="A908" s="456" t="inlineStr">
        <is>
          <t xml:space="preserve">      &lt;head&gt;</t>
        </is>
      </c>
    </row>
    <row r="909">
      <c r="A909" s="456" t="inlineStr">
        <is>
          <t xml:space="preserve">        &lt;base target="_top"&gt;</t>
        </is>
      </c>
    </row>
    <row r="910">
      <c r="A910" s="456" t="inlineStr">
        <is>
          <t xml:space="preserve">        &lt;style&gt;</t>
        </is>
      </c>
    </row>
    <row r="911">
      <c r="A911" s="456" t="inlineStr">
        <is>
          <t xml:space="preserve">          body { font-family: 'Segoe UI', -apple-system, sans-serif; padding: 16px; margin: 0; background: #F8FAFC; color: #0F172A; }</t>
        </is>
      </c>
    </row>
    <row r="912">
      <c r="A912" s="456" t="inlineStr">
        <is>
          <t xml:space="preserve">          h3 { margin-top: 0; font-size: 15px; color: #1E293B; border-bottom: 2px solid #E2E8F0; padding-bottom: 8px; }</t>
        </is>
      </c>
    </row>
    <row r="913">
      <c r="A913" s="456" t="inlineStr">
        <is>
          <t xml:space="preserve">          .sub { font-size: 12px; color: #64748B; margin-bottom: 12px; }</t>
        </is>
      </c>
    </row>
    <row r="914">
      <c r="A914" s="456" t="inlineStr">
        <is>
          <t xml:space="preserve">          .role-btn { display: flex; align-items: center; width: 100%; text-align: left; padding: 10px 14px; margin-bottom: 8px; border: 1px solid #CBD5E1; border-radius: 8px; background: #FFFFFF; font-size: 13px; font-weight: 600; cursor: pointer; transition: all 0.15s ease-in-out; }</t>
        </is>
      </c>
    </row>
    <row r="915">
      <c r="A915" s="456" t="inlineStr">
        <is>
          <t xml:space="preserve">          .role-btn:hover { background: #EEF2FF; border-color: #6366F1; color: #4338CA; transform: translateY(-1px); }</t>
        </is>
      </c>
    </row>
    <row r="916">
      <c r="A916" s="456" t="inlineStr">
        <is>
          <t xml:space="preserve">          .footer { margin-top: 14px; font-size: 11px; color: #94A3B8; text-align: center; }</t>
        </is>
      </c>
    </row>
    <row r="917">
      <c r="A917" s="456" t="inlineStr">
        <is>
          <t xml:space="preserve">        &lt;/style&gt;</t>
        </is>
      </c>
    </row>
    <row r="918">
      <c r="A918" s="456" t="inlineStr">
        <is>
          <t xml:space="preserve">      &lt;/head&gt;</t>
        </is>
      </c>
    </row>
    <row r="919">
      <c r="A919" s="456" t="inlineStr">
        <is>
          <t xml:space="preserve">      &lt;body&gt;</t>
        </is>
      </c>
    </row>
    <row r="920">
      <c r="A920" s="456" t="inlineStr">
        <is>
          <t xml:space="preserve">        &lt;h3&gt;🛡️ Базовая роль системы (B10)&lt;/h3&gt;</t>
        </is>
      </c>
    </row>
    <row r="921">
      <c r="A921" s="456" t="inlineStr">
        <is>
          <t xml:space="preserve">        &lt;div class="sub"&gt;Выберите целевую роль для применения матрицы прав:&lt;/div&gt;</t>
        </is>
      </c>
    </row>
    <row r="922">
      <c r="A922" s="456" t="inlineStr">
        <is>
          <t xml:space="preserve">        &lt;button class="role-btn" onclick="apply('👑 CEO')"&gt;👑 CEO (Собственник)&lt;/button&gt;</t>
        </is>
      </c>
    </row>
    <row r="923">
      <c r="A923" s="456" t="inlineStr">
        <is>
          <t xml:space="preserve">        &lt;button class="role-btn" onclick="apply('📋 РОП')"&gt;📋 РОП (Коммерческий директор)&lt;/button&gt;</t>
        </is>
      </c>
    </row>
    <row r="924">
      <c r="A924" s="456" t="inlineStr">
        <is>
          <t xml:space="preserve">        &lt;button class="role-btn" onclick="apply('💼 KAM')"&gt;💼 KAM (Менеджер по продажам)&lt;/button&gt;</t>
        </is>
      </c>
    </row>
    <row r="925">
      <c r="A925" s="456" t="inlineStr">
        <is>
          <t xml:space="preserve">        &lt;button class="role-btn" onclick="apply('📞 SDR')"&gt;📞 SDR (Телемаркетолог)&lt;/button&gt;</t>
        </is>
      </c>
    </row>
    <row r="926">
      <c r="A926" s="456" t="inlineStr">
        <is>
          <t xml:space="preserve">        &lt;button class="role-btn" onclick="apply('🌐 CMO')"&gt;🌐 CMO (Маркетолог)&lt;/button&gt;</t>
        </is>
      </c>
    </row>
    <row r="927">
      <c r="A927" s="456" t="inlineStr">
        <is>
          <t xml:space="preserve">        &lt;button class="role-btn" onclick="apply('💳 CFO')"&gt;💳 CFO (Финансовый директор)&lt;/button&gt;</t>
        </is>
      </c>
    </row>
    <row r="928">
      <c r="A928" s="456" t="inlineStr">
        <is>
          <t xml:space="preserve">        &lt;button class="role-btn" onclick="apply('🔧 Admin')"&gt;🔧 Admin (RevOps Lead)&lt;/button&gt;</t>
        </is>
      </c>
    </row>
    <row r="929">
      <c r="A929" s="456" t="inlineStr">
        <is>
          <t xml:space="preserve">        &lt;div class="footer"&gt;RevOps Platform V17.6 Enterprise Multi-User&lt;/div&gt;</t>
        </is>
      </c>
    </row>
    <row r="930">
      <c r="A930" s="456" t="inlineStr">
        <is>
          <t xml:space="preserve">        &lt;script&gt;</t>
        </is>
      </c>
    </row>
    <row r="931">
      <c r="A931" s="456" t="inlineStr">
        <is>
          <t xml:space="preserve">          function apply(role) {</t>
        </is>
      </c>
    </row>
    <row r="932">
      <c r="A932" s="456" t="inlineStr">
        <is>
          <t xml:space="preserve">            google.script.run.withSuccessHandler(function() {</t>
        </is>
      </c>
    </row>
    <row r="933">
      <c r="A933" s="456" t="inlineStr">
        <is>
          <t xml:space="preserve">              google.script.host.close();</t>
        </is>
      </c>
    </row>
    <row r="934">
      <c r="A934" s="456" t="inlineStr">
        <is>
          <t xml:space="preserve">            }).applyRoleVisibility(role);</t>
        </is>
      </c>
    </row>
    <row r="935">
      <c r="A935" s="456" t="inlineStr">
        <is>
          <t xml:space="preserve">          }</t>
        </is>
      </c>
    </row>
    <row r="936">
      <c r="A936" s="456" t="inlineStr">
        <is>
          <t xml:space="preserve">        &lt;/script&gt;</t>
        </is>
      </c>
    </row>
    <row r="937">
      <c r="A937" s="456" t="inlineStr">
        <is>
          <t xml:space="preserve">      &lt;/body&gt;</t>
        </is>
      </c>
    </row>
    <row r="938">
      <c r="A938" s="456" t="inlineStr">
        <is>
          <t xml:space="preserve">    &lt;/html&gt;</t>
        </is>
      </c>
    </row>
    <row r="939">
      <c r="A939" s="456" t="inlineStr">
        <is>
          <t xml:space="preserve">  `).setWidth(340).setHeight(460);</t>
        </is>
      </c>
    </row>
    <row r="940">
      <c r="A940" s="456" t="inlineStr">
        <is>
          <t xml:space="preserve">  ui.showModalDialog(html, 'RevOps Access Control');</t>
        </is>
      </c>
    </row>
    <row r="941">
      <c r="A941" s="456" t="inlineStr">
        <is>
          <t>}</t>
        </is>
      </c>
    </row>
    <row r="942">
      <c r="A942" s="456" t="inlineStr"/>
    </row>
    <row r="943">
      <c r="A943" s="456" t="inlineStr">
        <is>
          <t>/**</t>
        </is>
      </c>
    </row>
    <row r="944">
      <c r="A944" s="456" t="inlineStr">
        <is>
          <t xml:space="preserve"> * 15. Telegram Dispatcher с защитой от пустых сделок и тестовых токенов</t>
        </is>
      </c>
    </row>
    <row r="945">
      <c r="A945" s="456" t="inlineStr">
        <is>
          <t xml:space="preserve"> */</t>
        </is>
      </c>
    </row>
    <row r="946">
      <c r="A946" s="456" t="inlineStr">
        <is>
          <t>function checkAndDispatchSlaAlerts() {</t>
        </is>
      </c>
    </row>
    <row r="947">
      <c r="A947" s="456" t="inlineStr">
        <is>
          <t xml:space="preserve">  const ss = SpreadsheetApp.getActiveSpreadsheet();</t>
        </is>
      </c>
    </row>
    <row r="948">
      <c r="A948" s="456" t="inlineStr">
        <is>
          <t xml:space="preserve">  const actionSheet = ss.getSheetByName('🎯 Action_Center');</t>
        </is>
      </c>
    </row>
    <row r="949">
      <c r="A949" s="456" t="inlineStr">
        <is>
          <t xml:space="preserve">  const settingsSheet = ss.getSheetByName('⚙️ Настройки');</t>
        </is>
      </c>
    </row>
    <row r="950">
      <c r="A950" s="456" t="inlineStr">
        <is>
          <t xml:space="preserve">  if (!actionSheet || !settingsSheet) return 0;</t>
        </is>
      </c>
    </row>
    <row r="951">
      <c r="A951" s="456" t="inlineStr"/>
    </row>
    <row r="952">
      <c r="A952" s="456" t="inlineStr">
        <is>
          <t xml:space="preserve">  // Реальная конфигурация Telegram Bot API в ⚙️ Настройки (B52:B54)</t>
        </is>
      </c>
    </row>
    <row r="953">
      <c r="A953" s="456" t="inlineStr">
        <is>
          <t xml:space="preserve">  // Защищенное получение токена: сначала ScriptProperties, фоллбэк на ячейку только при ручной отладке
  let botToken = PropertiesService.getScriptProperties().getProperty('TELEGRAM_BOT_TOKEN');
  if (!botToken) {
    const rawVal = String(settingsSheet.getRange('B52').getValue()).trim();
    if (rawVal &amp;&amp; rawVal.indexOf('placeholder') === -1 &amp;&amp; rawVal.indexOf('🔒') === -1) botToken = rawVal;
  }</t>
        </is>
      </c>
    </row>
    <row r="954">
      <c r="A954" s="456" t="inlineStr">
        <is>
          <t xml:space="preserve">  const ropChatId = String(settingsSheet.getRange('B53').getValue()).trim();</t>
        </is>
      </c>
    </row>
    <row r="955">
      <c r="A955" s="456" t="inlineStr">
        <is>
          <t xml:space="preserve">  const ceoChatId = String(settingsSheet.getRange('B54').getValue()).trim();</t>
        </is>
      </c>
    </row>
    <row r="956">
      <c r="A956" s="456" t="inlineStr">
        <is>
          <t xml:space="preserve">  </t>
        </is>
      </c>
    </row>
    <row r="957">
      <c r="A957" s="456" t="inlineStr">
        <is>
          <t xml:space="preserve">  // Защита от тестовых заглушек (placeholder_bot_token_env / REPLACE) и пустых токенов</t>
        </is>
      </c>
    </row>
    <row r="958">
      <c r="A958" s="456" t="inlineStr">
        <is>
          <t xml:space="preserve">  if (!botToken || botToken.indexOf('placeholder') !== -1 || botToken.indexOf('REPLACE') !== -1) {</t>
        </is>
      </c>
    </row>
    <row r="959">
      <c r="A959" s="456" t="inlineStr">
        <is>
          <t xml:space="preserve">    return 0;</t>
        </is>
      </c>
    </row>
    <row r="960">
      <c r="A960" s="456" t="inlineStr">
        <is>
          <t xml:space="preserve">  }</t>
        </is>
      </c>
    </row>
    <row r="961">
      <c r="A961" s="456" t="inlineStr"/>
    </row>
    <row r="962">
      <c r="A962" s="456" t="inlineStr">
        <is>
          <t xml:space="preserve">  const data = actionSheet.getDataRange().getValues();</t>
        </is>
      </c>
    </row>
    <row r="963">
      <c r="A963" s="456" t="inlineStr">
        <is>
          <t xml:space="preserve">  let dispatchedCount = 0;</t>
        </is>
      </c>
    </row>
    <row r="964">
      <c r="A964" s="456" t="inlineStr"/>
    </row>
    <row r="965">
      <c r="A965" s="456" t="inlineStr">
        <is>
          <t xml:space="preserve">  for (let i = 1; i &lt; data.length; i++) {</t>
        </is>
      </c>
    </row>
    <row r="966">
      <c r="A966" s="456" t="inlineStr">
        <is>
          <t xml:space="preserve">    const urgency = String(data[i][4]).trim();</t>
        </is>
      </c>
    </row>
    <row r="967">
      <c r="A967" s="456" t="inlineStr">
        <is>
          <t xml:space="preserve">    const status = String(data[i][7]).trim();</t>
        </is>
      </c>
    </row>
    <row r="968">
      <c r="A968" s="456" t="inlineStr">
        <is>
          <t xml:space="preserve">    const dealId = String(data[i][2]).trim();</t>
        </is>
      </c>
    </row>
    <row r="969">
      <c r="A969" s="456" t="inlineStr">
        <is>
          <t xml:space="preserve">    const impact = Number(data[i][5]);</t>
        </is>
      </c>
    </row>
    <row r="970">
      <c r="A970" s="456" t="inlineStr">
        <is>
          <t xml:space="preserve">    const action = String(data[i][6]).trim();</t>
        </is>
      </c>
    </row>
    <row r="971">
      <c r="A971" s="456" t="inlineStr"/>
    </row>
    <row r="972">
      <c r="A972" s="456" t="inlineStr">
        <is>
          <t xml:space="preserve">    if (status === 'new' || status === 'in_progress') {</t>
        </is>
      </c>
    </row>
    <row r="973">
      <c r="A973" s="456" t="inlineStr">
        <is>
          <t xml:space="preserve">      if (urgency.indexOf('🔴') !== -1 &amp;&amp; dealId !== '' &amp;&amp; impact &gt; 0) {</t>
        </is>
      </c>
    </row>
    <row r="974">
      <c r="A974" s="456" t="inlineStr">
        <is>
          <t xml:space="preserve">        const msg = '🚨 *REVOPS SLA ALERT (P0)*\n' +</t>
        </is>
      </c>
    </row>
    <row r="975">
      <c r="A975" s="456" t="inlineStr">
        <is>
          <t xml:space="preserve">                    '• *Сделка:* ' + dealId + '\n' +</t>
        </is>
      </c>
    </row>
    <row r="976">
      <c r="A976" s="456" t="inlineStr">
        <is>
          <t xml:space="preserve">                    '• *Сумма в риске:* ' + impact.toLocaleString('ru-RU') + ' ₽\n' +</t>
        </is>
      </c>
    </row>
    <row r="977">
      <c r="A977" s="456" t="inlineStr">
        <is>
          <t xml:space="preserve">                    '• *Действие:* ' + action;</t>
        </is>
      </c>
    </row>
    <row r="978">
      <c r="A978" s="456" t="inlineStr">
        <is>
          <t xml:space="preserve">        </t>
        </is>
      </c>
    </row>
    <row r="979">
      <c r="A979" s="456" t="inlineStr">
        <is>
          <t xml:space="preserve">        const targetChat = ropChatId || ceoChatId;</t>
        </is>
      </c>
    </row>
    <row r="980">
      <c r="A980" s="456" t="inlineStr">
        <is>
          <t xml:space="preserve">        if (!targetChat || (String(targetChat).indexOf('-100') !== 0 &amp;&amp; isNaN(Number(targetChat)))) {</t>
        </is>
      </c>
    </row>
    <row r="981">
      <c r="A981" s="456" t="inlineStr">
        <is>
          <t xml:space="preserve">          continue;</t>
        </is>
      </c>
    </row>
    <row r="982">
      <c r="A982" s="456" t="inlineStr">
        <is>
          <t xml:space="preserve">        }</t>
        </is>
      </c>
    </row>
    <row r="983">
      <c r="A983" s="456" t="inlineStr"/>
    </row>
    <row r="984">
      <c r="A984" s="456" t="inlineStr">
        <is>
          <t xml:space="preserve">        try {</t>
        </is>
      </c>
    </row>
    <row r="985">
      <c r="A985" s="456" t="inlineStr">
        <is>
          <t xml:space="preserve">          UrlFetchApp.fetch('https://api.telegram.org/bot' + botToken + '/sendMessage', {</t>
        </is>
      </c>
    </row>
    <row r="986">
      <c r="A986" s="456" t="inlineStr">
        <is>
          <t xml:space="preserve">            method: 'post',</t>
        </is>
      </c>
    </row>
    <row r="987">
      <c r="A987" s="456" t="inlineStr">
        <is>
          <t xml:space="preserve">            contentType: 'application/json',</t>
        </is>
      </c>
    </row>
    <row r="988">
      <c r="A988" s="456" t="inlineStr">
        <is>
          <t xml:space="preserve">            payload: JSON.stringify({ chat_id: targetChat, text: msg, parse_mode: 'Markdown' }),</t>
        </is>
      </c>
    </row>
    <row r="989">
      <c r="A989" s="456" t="inlineStr">
        <is>
          <t xml:space="preserve">            muteHttpExceptions: true</t>
        </is>
      </c>
    </row>
    <row r="990">
      <c r="A990" s="456" t="inlineStr">
        <is>
          <t xml:space="preserve">          });</t>
        </is>
      </c>
    </row>
    <row r="991">
      <c r="A991" s="456" t="inlineStr">
        <is>
          <t xml:space="preserve">          dispatchedCount++;</t>
        </is>
      </c>
    </row>
    <row r="992">
      <c r="A992" s="456" t="inlineStr">
        <is>
          <t xml:space="preserve">        } catch (e) {</t>
        </is>
      </c>
    </row>
    <row r="993">
      <c r="A993" s="456" t="inlineStr">
        <is>
          <t xml:space="preserve">          console.warn('Ошибка отправки в Telegram: ' + e.message);</t>
        </is>
      </c>
    </row>
    <row r="994">
      <c r="A994" s="456" t="inlineStr">
        <is>
          <t xml:space="preserve">        }</t>
        </is>
      </c>
    </row>
    <row r="995">
      <c r="A995" s="456" t="inlineStr">
        <is>
          <t xml:space="preserve">      }</t>
        </is>
      </c>
    </row>
    <row r="996">
      <c r="A996" s="456" t="inlineStr">
        <is>
          <t xml:space="preserve">    }</t>
        </is>
      </c>
    </row>
    <row r="997">
      <c r="A997" s="456" t="inlineStr">
        <is>
          <t xml:space="preserve">  }</t>
        </is>
      </c>
    </row>
    <row r="998">
      <c r="A998" s="456" t="inlineStr">
        <is>
          <t xml:space="preserve">  return dispatchedCount;</t>
        </is>
      </c>
    </row>
    <row r="999">
      <c r="A999" s="456" t="inlineStr">
        <is>
          <t>}</t>
        </is>
      </c>
    </row>
    <row r="1000">
      <c r="A1000" s="456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0" summaryRight="0"/>
    <pageSetUpPr/>
  </sheetPr>
  <dimension ref="A1:K55"/>
  <sheetViews>
    <sheetView workbookViewId="0">
      <selection activeCell="A1" sqref="A1"/>
    </sheetView>
  </sheetViews>
  <sheetFormatPr baseColWidth="8" defaultColWidth="12.63" defaultRowHeight="15.75" customHeight="1"/>
  <cols>
    <col width="20.13" customWidth="1" style="461" min="1" max="1"/>
    <col width="26.38" customWidth="1" style="461" min="2" max="2"/>
    <col width="13.88" customWidth="1" style="461" min="3" max="3"/>
    <col width="12" customWidth="1" style="461" min="4" max="4"/>
    <col width="16.38" customWidth="1" style="461" min="5" max="5"/>
    <col width="12.63" customWidth="1" style="461" min="6" max="7"/>
    <col width="52.63" customWidth="1" style="461" min="8" max="8"/>
    <col width="18.88" customWidth="1" style="461" min="9" max="9"/>
    <col width="15.13" customWidth="1" style="461" min="10" max="10"/>
    <col width="26.38" customWidth="1" style="461" min="11" max="11"/>
  </cols>
  <sheetData>
    <row r="1">
      <c r="A1" s="218" t="inlineStr">
        <is>
          <t>sheet_name</t>
        </is>
      </c>
      <c r="B1" s="218" t="inlineStr">
        <is>
          <t>field_name</t>
        </is>
      </c>
      <c r="C1" s="218" t="inlineStr">
        <is>
          <t>type</t>
        </is>
      </c>
      <c r="D1" s="218" t="inlineStr">
        <is>
          <t>required</t>
        </is>
      </c>
      <c r="E1" s="218" t="inlineStr">
        <is>
          <t>format</t>
        </is>
      </c>
      <c r="F1" s="218" t="inlineStr">
        <is>
          <t>range_min</t>
        </is>
      </c>
      <c r="G1" s="218" t="inlineStr">
        <is>
          <t>range_max</t>
        </is>
      </c>
      <c r="H1" s="218" t="inlineStr">
        <is>
          <t>source</t>
        </is>
      </c>
      <c r="I1" s="218" t="inlineStr">
        <is>
          <t>owner</t>
        </is>
      </c>
      <c r="J1" s="218" t="inlineStr">
        <is>
          <t>refresh_cadence</t>
        </is>
      </c>
      <c r="K1" s="218" t="inlineStr">
        <is>
          <t>validation_rule</t>
        </is>
      </c>
    </row>
    <row r="2">
      <c r="A2" s="218" t="inlineStr">
        <is>
          <t>raw_deals</t>
        </is>
      </c>
      <c r="B2" s="218" t="inlineStr">
        <is>
          <t>deal_id</t>
        </is>
      </c>
      <c r="C2" s="218" t="inlineStr">
        <is>
          <t>string</t>
        </is>
      </c>
      <c r="D2" s="218" t="b">
        <v>1</v>
      </c>
      <c r="E2" s="218" t="inlineStr">
        <is>
          <t>D-NNN</t>
        </is>
      </c>
      <c r="F2" s="218" t="inlineStr">
        <is>
          <t>-</t>
        </is>
      </c>
      <c r="G2" s="218" t="inlineStr">
        <is>
          <t>-</t>
        </is>
      </c>
      <c r="H2" s="218" t="inlineStr">
        <is>
          <t>CRM</t>
        </is>
      </c>
      <c r="I2" s="218" t="inlineStr">
        <is>
          <t>РОП</t>
        </is>
      </c>
      <c r="J2" s="218" t="inlineStr">
        <is>
          <t>realtime</t>
        </is>
      </c>
      <c r="K2" s="218" t="inlineStr">
        <is>
          <t>UNIQUE</t>
        </is>
      </c>
    </row>
    <row r="3">
      <c r="A3" s="218" t="inlineStr">
        <is>
          <t>raw_deals</t>
        </is>
      </c>
      <c r="B3" s="218" t="inlineStr">
        <is>
          <t>client_name</t>
        </is>
      </c>
      <c r="C3" s="218" t="inlineStr">
        <is>
          <t>string</t>
        </is>
      </c>
      <c r="D3" s="218" t="b">
        <v>1</v>
      </c>
      <c r="E3" s="218" t="inlineStr">
        <is>
          <t>text</t>
        </is>
      </c>
      <c r="F3" s="218" t="inlineStr">
        <is>
          <t>-</t>
        </is>
      </c>
      <c r="G3" s="218" t="inlineStr">
        <is>
          <t>-</t>
        </is>
      </c>
      <c r="H3" s="218" t="inlineStr">
        <is>
          <t>CRM</t>
        </is>
      </c>
      <c r="I3" s="218" t="inlineStr">
        <is>
          <t>РОП</t>
        </is>
      </c>
      <c r="J3" s="218" t="inlineStr">
        <is>
          <t>realtime</t>
        </is>
      </c>
      <c r="K3" s="218" t="inlineStr">
        <is>
          <t>NOT_NULL</t>
        </is>
      </c>
    </row>
    <row r="4">
      <c r="A4" s="218" t="inlineStr">
        <is>
          <t>raw_deals</t>
        </is>
      </c>
      <c r="B4" s="218" t="inlineStr">
        <is>
          <t>amount</t>
        </is>
      </c>
      <c r="C4" s="218" t="inlineStr">
        <is>
          <t>float</t>
        </is>
      </c>
      <c r="D4" s="218" t="b">
        <v>1</v>
      </c>
      <c r="E4" s="218" t="inlineStr">
        <is>
          <t>≥0</t>
        </is>
      </c>
      <c r="F4" s="218" t="n">
        <v>0</v>
      </c>
      <c r="G4" s="218" t="inlineStr">
        <is>
          <t>-</t>
        </is>
      </c>
      <c r="H4" s="218" t="inlineStr">
        <is>
          <t>CRM</t>
        </is>
      </c>
      <c r="I4" s="218" t="inlineStr">
        <is>
          <t>РОП</t>
        </is>
      </c>
      <c r="J4" s="218" t="inlineStr">
        <is>
          <t>realtime</t>
        </is>
      </c>
      <c r="K4" s="218" t="inlineStr">
        <is>
          <t>NOT_NULL</t>
        </is>
      </c>
    </row>
    <row r="5">
      <c r="A5" s="218" t="inlineStr">
        <is>
          <t>raw_deals</t>
        </is>
      </c>
      <c r="B5" s="218" t="inlineStr">
        <is>
          <t>stage_id</t>
        </is>
      </c>
      <c r="C5" s="218" t="inlineStr">
        <is>
          <t>int</t>
        </is>
      </c>
      <c r="D5" s="218" t="b">
        <v>1</v>
      </c>
      <c r="E5" s="218" t="inlineStr">
        <is>
          <t>1..7</t>
        </is>
      </c>
      <c r="F5" s="218" t="n">
        <v>1</v>
      </c>
      <c r="G5" s="218" t="n">
        <v>7</v>
      </c>
      <c r="H5" s="218" t="inlineStr">
        <is>
          <t>CRM</t>
        </is>
      </c>
      <c r="I5" s="218" t="inlineStr">
        <is>
          <t>РОП</t>
        </is>
      </c>
      <c r="J5" s="218" t="inlineStr">
        <is>
          <t>realtime</t>
        </is>
      </c>
      <c r="K5" s="218" t="inlineStr">
        <is>
          <t>IN_RANGE</t>
        </is>
      </c>
    </row>
    <row r="6">
      <c r="A6" s="218" t="inlineStr">
        <is>
          <t>raw_deals</t>
        </is>
      </c>
      <c r="B6" s="218" t="inlineStr">
        <is>
          <t>stage_name</t>
        </is>
      </c>
      <c r="C6" s="218" t="inlineStr">
        <is>
          <t>string</t>
        </is>
      </c>
      <c r="D6" s="218" t="b">
        <v>1</v>
      </c>
      <c r="E6" s="218" t="inlineStr">
        <is>
          <t>text</t>
        </is>
      </c>
      <c r="F6" s="218" t="inlineStr">
        <is>
          <t>-</t>
        </is>
      </c>
      <c r="G6" s="218" t="inlineStr">
        <is>
          <t>-</t>
        </is>
      </c>
      <c r="H6" s="218" t="inlineStr">
        <is>
          <t>CRM</t>
        </is>
      </c>
      <c r="I6" s="218" t="inlineStr">
        <is>
          <t>РОП</t>
        </is>
      </c>
      <c r="J6" s="218" t="inlineStr">
        <is>
          <t>realtime</t>
        </is>
      </c>
      <c r="K6" s="218" t="inlineStr">
        <is>
          <t>NOT_NULL</t>
        </is>
      </c>
    </row>
    <row r="7">
      <c r="A7" s="218" t="inlineStr">
        <is>
          <t>raw_deals</t>
        </is>
      </c>
      <c r="B7" s="218" t="inlineStr">
        <is>
          <t>created_date</t>
        </is>
      </c>
      <c r="C7" s="218" t="inlineStr">
        <is>
          <t>date</t>
        </is>
      </c>
      <c r="D7" s="218" t="b">
        <v>1</v>
      </c>
      <c r="E7" s="218" t="inlineStr">
        <is>
          <t>YYYY-MM-DD</t>
        </is>
      </c>
      <c r="F7" s="246" t="n">
        <v>46023</v>
      </c>
      <c r="G7" s="246" t="n">
        <v>46387</v>
      </c>
      <c r="H7" s="218" t="inlineStr">
        <is>
          <t>CRM</t>
        </is>
      </c>
      <c r="I7" s="218" t="inlineStr">
        <is>
          <t>РОП</t>
        </is>
      </c>
      <c r="J7" s="218" t="inlineStr">
        <is>
          <t>realtime</t>
        </is>
      </c>
      <c r="K7" s="218" t="inlineStr">
        <is>
          <t>DATE_VALID</t>
        </is>
      </c>
    </row>
    <row r="8">
      <c r="A8" s="218" t="inlineStr">
        <is>
          <t>raw_deals</t>
        </is>
      </c>
      <c r="B8" s="218" t="inlineStr">
        <is>
          <t>stage_changed_date</t>
        </is>
      </c>
      <c r="C8" s="218" t="inlineStr">
        <is>
          <t>date</t>
        </is>
      </c>
      <c r="D8" s="218" t="b">
        <v>1</v>
      </c>
      <c r="E8" s="218" t="inlineStr">
        <is>
          <t>YYYY-MM-DD</t>
        </is>
      </c>
      <c r="F8" s="246" t="n">
        <v>46023</v>
      </c>
      <c r="G8" s="246" t="n">
        <v>46387</v>
      </c>
      <c r="H8" s="218" t="inlineStr">
        <is>
          <t>CRM</t>
        </is>
      </c>
      <c r="I8" s="218" t="inlineStr">
        <is>
          <t>РОП</t>
        </is>
      </c>
      <c r="J8" s="218" t="inlineStr">
        <is>
          <t>realtime</t>
        </is>
      </c>
      <c r="K8" s="218" t="inlineStr">
        <is>
          <t>DATE_VALID</t>
        </is>
      </c>
    </row>
    <row r="9">
      <c r="A9" s="218" t="inlineStr">
        <is>
          <t>raw_deals</t>
        </is>
      </c>
      <c r="B9" s="218" t="inlineStr">
        <is>
          <t>manager_id</t>
        </is>
      </c>
      <c r="C9" s="218" t="inlineStr">
        <is>
          <t>int</t>
        </is>
      </c>
      <c r="D9" s="218" t="b">
        <v>1</v>
      </c>
      <c r="E9" s="218" t="inlineStr">
        <is>
          <t>101..104</t>
        </is>
      </c>
      <c r="F9" s="218" t="n">
        <v>101</v>
      </c>
      <c r="G9" s="218" t="n">
        <v>104</v>
      </c>
      <c r="H9" s="218" t="inlineStr">
        <is>
          <t>CRM</t>
        </is>
      </c>
      <c r="I9" s="218" t="inlineStr">
        <is>
          <t>РОП</t>
        </is>
      </c>
      <c r="J9" s="218" t="inlineStr">
        <is>
          <t>realtime</t>
        </is>
      </c>
      <c r="K9" s="218" t="inlineStr">
        <is>
          <t>IN_SET</t>
        </is>
      </c>
    </row>
    <row r="10">
      <c r="A10" s="218" t="inlineStr">
        <is>
          <t>raw_deals</t>
        </is>
      </c>
      <c r="B10" s="218" t="inlineStr">
        <is>
          <t>segment_code</t>
        </is>
      </c>
      <c r="C10" s="218" t="inlineStr">
        <is>
          <t>string</t>
        </is>
      </c>
      <c r="D10" s="218" t="b">
        <v>1</v>
      </c>
      <c r="E10" s="218" t="inlineStr">
        <is>
          <t>SEG1..SEG4</t>
        </is>
      </c>
      <c r="F10" s="218" t="inlineStr">
        <is>
          <t>-</t>
        </is>
      </c>
      <c r="G10" s="218" t="inlineStr">
        <is>
          <t>-</t>
        </is>
      </c>
      <c r="H10" s="218" t="inlineStr">
        <is>
          <t>CRM</t>
        </is>
      </c>
      <c r="I10" s="218" t="inlineStr">
        <is>
          <t>РОП</t>
        </is>
      </c>
      <c r="J10" s="218" t="inlineStr">
        <is>
          <t>realtime</t>
        </is>
      </c>
      <c r="K10" s="218" t="inlineStr">
        <is>
          <t>IN_SET</t>
        </is>
      </c>
    </row>
    <row r="11">
      <c r="A11" s="218" t="inlineStr">
        <is>
          <t>raw_deals</t>
        </is>
      </c>
      <c r="B11" s="218" t="inlineStr">
        <is>
          <t>lead_source</t>
        </is>
      </c>
      <c r="C11" s="218" t="inlineStr">
        <is>
          <t>string</t>
        </is>
      </c>
      <c r="D11" s="218" t="b">
        <v>1</v>
      </c>
      <c r="E11" s="218" t="inlineStr">
        <is>
          <t>text</t>
        </is>
      </c>
      <c r="F11" s="218" t="inlineStr">
        <is>
          <t>-</t>
        </is>
      </c>
      <c r="G11" s="218" t="inlineStr">
        <is>
          <t>-</t>
        </is>
      </c>
      <c r="H11" s="218" t="inlineStr">
        <is>
          <t>Маркетинг</t>
        </is>
      </c>
      <c r="I11" s="218" t="inlineStr">
        <is>
          <t>CMO</t>
        </is>
      </c>
      <c r="J11" s="218" t="inlineStr">
        <is>
          <t>realtime</t>
        </is>
      </c>
      <c r="K11" s="218" t="inlineStr">
        <is>
          <t>NOT_NULL</t>
        </is>
      </c>
    </row>
    <row r="12">
      <c r="A12" s="218" t="inlineStr">
        <is>
          <t>raw_deals</t>
        </is>
      </c>
      <c r="B12" s="218" t="inlineStr">
        <is>
          <t>client_id</t>
        </is>
      </c>
      <c r="C12" s="218" t="inlineStr">
        <is>
          <t>string</t>
        </is>
      </c>
      <c r="D12" s="218" t="b">
        <v>1</v>
      </c>
      <c r="E12" s="218" t="inlineStr">
        <is>
          <t>ga_NN</t>
        </is>
      </c>
      <c r="F12" s="218" t="inlineStr">
        <is>
          <t>-</t>
        </is>
      </c>
      <c r="G12" s="218" t="inlineStr">
        <is>
          <t>-</t>
        </is>
      </c>
      <c r="H12" s="218" t="inlineStr">
        <is>
          <t>CRM</t>
        </is>
      </c>
      <c r="I12" s="218" t="inlineStr">
        <is>
          <t>РОП</t>
        </is>
      </c>
      <c r="J12" s="218" t="inlineStr">
        <is>
          <t>realtime</t>
        </is>
      </c>
      <c r="K12" s="218" t="inlineStr">
        <is>
          <t>FK_CLIENT</t>
        </is>
      </c>
    </row>
    <row r="13">
      <c r="A13" s="218" t="inlineStr">
        <is>
          <t>raw_deals</t>
        </is>
      </c>
      <c r="B13" s="218" t="inlineStr">
        <is>
          <t>scoring_tier</t>
        </is>
      </c>
      <c r="C13" s="218" t="inlineStr">
        <is>
          <t>string</t>
        </is>
      </c>
      <c r="D13" s="218" t="b">
        <v>0</v>
      </c>
      <c r="E13" s="218" t="inlineStr">
        <is>
          <t>A/B/C/D</t>
        </is>
      </c>
      <c r="F13" s="218" t="inlineStr">
        <is>
          <t>-</t>
        </is>
      </c>
      <c r="G13" s="218" t="inlineStr">
        <is>
          <t>-</t>
        </is>
      </c>
      <c r="H13" s="218" t="inlineStr">
        <is>
          <t>AI Engine</t>
        </is>
      </c>
      <c r="I13" s="218" t="inlineStr">
        <is>
          <t>РОП</t>
        </is>
      </c>
      <c r="J13" s="218" t="inlineStr">
        <is>
          <t>daily</t>
        </is>
      </c>
      <c r="K13" s="218" t="inlineStr">
        <is>
          <t>IN_SET</t>
        </is>
      </c>
    </row>
    <row r="14">
      <c r="A14" s="218" t="inlineStr">
        <is>
          <t>raw_deals</t>
        </is>
      </c>
      <c r="B14" s="218" t="inlineStr">
        <is>
          <t>loss_code</t>
        </is>
      </c>
      <c r="C14" s="218" t="inlineStr">
        <is>
          <t>string</t>
        </is>
      </c>
      <c r="D14" s="218" t="b">
        <v>0</v>
      </c>
      <c r="E14" s="218" t="inlineStr">
        <is>
          <t>L1..L4</t>
        </is>
      </c>
      <c r="F14" s="218" t="inlineStr">
        <is>
          <t>-</t>
        </is>
      </c>
      <c r="G14" s="218" t="inlineStr">
        <is>
          <t>-</t>
        </is>
      </c>
      <c r="H14" s="218" t="inlineStr">
        <is>
          <t>CRM</t>
        </is>
      </c>
      <c r="I14" s="218" t="inlineStr">
        <is>
          <t>РОП</t>
        </is>
      </c>
      <c r="J14" s="218" t="inlineStr">
        <is>
          <t>realtime</t>
        </is>
      </c>
      <c r="K14" s="218" t="inlineStr">
        <is>
          <t>IN_SET</t>
        </is>
      </c>
    </row>
    <row r="15">
      <c r="A15" s="218" t="inlineStr">
        <is>
          <t>raw_deals</t>
        </is>
      </c>
      <c r="B15" s="218" t="inlineStr">
        <is>
          <t>synced_at</t>
        </is>
      </c>
      <c r="C15" s="218" t="inlineStr">
        <is>
          <t>datetime</t>
        </is>
      </c>
      <c r="D15" s="218" t="b">
        <v>1</v>
      </c>
      <c r="E15" s="218" t="inlineStr">
        <is>
          <t>ISO8601</t>
        </is>
      </c>
      <c r="F15" s="218" t="inlineStr">
        <is>
          <t>-</t>
        </is>
      </c>
      <c r="G15" s="218" t="inlineStr">
        <is>
          <t>-</t>
        </is>
      </c>
      <c r="H15" s="218" t="inlineStr">
        <is>
          <t>Reverse ETL</t>
        </is>
      </c>
      <c r="I15" s="218" t="inlineStr">
        <is>
          <t>DWH Eng</t>
        </is>
      </c>
      <c r="J15" s="218" t="inlineStr">
        <is>
          <t>hourly</t>
        </is>
      </c>
      <c r="K15" s="218" t="inlineStr">
        <is>
          <t>TIMESTAMP</t>
        </is>
      </c>
    </row>
    <row r="16">
      <c r="A16" s="218" t="inlineStr">
        <is>
          <t>raw_deals</t>
        </is>
      </c>
      <c r="B16" s="218" t="inlineStr">
        <is>
          <t>is_won</t>
        </is>
      </c>
      <c r="C16" s="218" t="inlineStr">
        <is>
          <t>boolean</t>
        </is>
      </c>
      <c r="D16" s="218" t="b">
        <v>1</v>
      </c>
      <c r="E16" s="218" t="inlineStr">
        <is>
          <t>TRUE/FALSE</t>
        </is>
      </c>
      <c r="F16" s="218" t="n"/>
      <c r="G16" s="218" t="n"/>
      <c r="H16" s="218" t="inlineStr">
        <is>
          <t>Calc Engine</t>
        </is>
      </c>
      <c r="I16" s="218" t="inlineStr">
        <is>
          <t>RevOps</t>
        </is>
      </c>
      <c r="J16" s="218" t="inlineStr">
        <is>
          <t>realtime</t>
        </is>
      </c>
      <c r="K16" s="218" t="inlineStr">
        <is>
          <t>IS_BOOL</t>
        </is>
      </c>
    </row>
    <row r="17">
      <c r="A17" s="218" t="inlineStr">
        <is>
          <t>raw_deals</t>
        </is>
      </c>
      <c r="B17" s="218" t="inlineStr">
        <is>
          <t>is_lost</t>
        </is>
      </c>
      <c r="C17" s="218" t="inlineStr">
        <is>
          <t>boolean</t>
        </is>
      </c>
      <c r="D17" s="218" t="b">
        <v>1</v>
      </c>
      <c r="E17" s="218" t="inlineStr">
        <is>
          <t>TRUE/FALSE</t>
        </is>
      </c>
      <c r="F17" s="218" t="n"/>
      <c r="G17" s="218" t="n"/>
      <c r="H17" s="218" t="inlineStr">
        <is>
          <t>Calc Engine</t>
        </is>
      </c>
      <c r="I17" s="218" t="inlineStr">
        <is>
          <t>RevOps</t>
        </is>
      </c>
      <c r="J17" s="218" t="inlineStr">
        <is>
          <t>realtime</t>
        </is>
      </c>
      <c r="K17" s="218" t="inlineStr">
        <is>
          <t>IS_BOOL</t>
        </is>
      </c>
    </row>
    <row r="18">
      <c r="A18" s="218" t="inlineStr">
        <is>
          <t>raw_deals</t>
        </is>
      </c>
      <c r="B18" s="218" t="inlineStr">
        <is>
          <t>days_in_stage</t>
        </is>
      </c>
      <c r="C18" s="218" t="inlineStr">
        <is>
          <t>int</t>
        </is>
      </c>
      <c r="D18" s="218" t="b">
        <v>1</v>
      </c>
      <c r="E18" s="218" t="inlineStr">
        <is>
          <t>≥0</t>
        </is>
      </c>
      <c r="F18" s="218" t="n">
        <v>0</v>
      </c>
      <c r="G18" s="218" t="n">
        <v>365</v>
      </c>
      <c r="H18" s="218" t="inlineStr">
        <is>
          <t>Calc Engine</t>
        </is>
      </c>
      <c r="I18" s="218" t="inlineStr">
        <is>
          <t>RevOps</t>
        </is>
      </c>
      <c r="J18" s="218" t="inlineStr">
        <is>
          <t>realtime</t>
        </is>
      </c>
      <c r="K18" s="218" t="inlineStr">
        <is>
          <t>POSITIVE_INT</t>
        </is>
      </c>
    </row>
    <row r="19">
      <c r="A19" s="218" t="inlineStr">
        <is>
          <t>raw_deals</t>
        </is>
      </c>
      <c r="B19" s="218" t="inlineStr">
        <is>
          <t>aging_cohort</t>
        </is>
      </c>
      <c r="C19" s="218" t="inlineStr">
        <is>
          <t>string</t>
        </is>
      </c>
      <c r="D19" s="218" t="b">
        <v>1</v>
      </c>
      <c r="E19" s="218" t="inlineStr">
        <is>
          <t>cohort</t>
        </is>
      </c>
      <c r="F19" s="218" t="inlineStr">
        <is>
          <t>-</t>
        </is>
      </c>
      <c r="G19" s="218" t="inlineStr">
        <is>
          <t>-</t>
        </is>
      </c>
      <c r="H19" s="218" t="inlineStr">
        <is>
          <t>Calc Engine</t>
        </is>
      </c>
      <c r="I19" s="218" t="inlineStr">
        <is>
          <t>RevOps</t>
        </is>
      </c>
      <c r="J19" s="218" t="inlineStr">
        <is>
          <t>realtime</t>
        </is>
      </c>
      <c r="K19" s="218" t="inlineStr">
        <is>
          <t>IN_SET</t>
        </is>
      </c>
    </row>
    <row r="20">
      <c r="A20" s="218" t="inlineStr">
        <is>
          <t>raw_deals</t>
        </is>
      </c>
      <c r="B20" s="218" t="inlineStr">
        <is>
          <t>weighted_val</t>
        </is>
      </c>
      <c r="C20" s="218" t="inlineStr">
        <is>
          <t>float</t>
        </is>
      </c>
      <c r="D20" s="218" t="b">
        <v>1</v>
      </c>
      <c r="E20" s="218" t="inlineStr">
        <is>
          <t>≥0</t>
        </is>
      </c>
      <c r="F20" s="218" t="n">
        <v>0</v>
      </c>
      <c r="G20" s="218" t="inlineStr">
        <is>
          <t>-</t>
        </is>
      </c>
      <c r="H20" s="218" t="inlineStr">
        <is>
          <t>Calc Engine</t>
        </is>
      </c>
      <c r="I20" s="218" t="inlineStr">
        <is>
          <t>RevOps</t>
        </is>
      </c>
      <c r="J20" s="218" t="inlineStr">
        <is>
          <t>realtime</t>
        </is>
      </c>
      <c r="K20" s="218" t="inlineStr">
        <is>
          <t>NOT_NULL</t>
        </is>
      </c>
    </row>
    <row r="21">
      <c r="A21" s="218" t="inlineStr">
        <is>
          <t>raw_deals</t>
        </is>
      </c>
      <c r="B21" s="218" t="inlineStr">
        <is>
          <t>cycle_days</t>
        </is>
      </c>
      <c r="C21" s="218" t="inlineStr">
        <is>
          <t>int</t>
        </is>
      </c>
      <c r="D21" s="218" t="b">
        <v>1</v>
      </c>
      <c r="E21" s="218" t="inlineStr">
        <is>
          <t>≥0</t>
        </is>
      </c>
      <c r="F21" s="218" t="n">
        <v>0</v>
      </c>
      <c r="G21" s="218" t="n">
        <v>365</v>
      </c>
      <c r="H21" s="218" t="inlineStr">
        <is>
          <t>Calc Engine</t>
        </is>
      </c>
      <c r="I21" s="218" t="inlineStr">
        <is>
          <t>RevOps</t>
        </is>
      </c>
      <c r="J21" s="218" t="inlineStr">
        <is>
          <t>realtime</t>
        </is>
      </c>
      <c r="K21" s="218" t="inlineStr">
        <is>
          <t>POSITIVE_INT</t>
        </is>
      </c>
    </row>
    <row r="22">
      <c r="A22" s="218" t="inlineStr">
        <is>
          <t>raw_deals</t>
        </is>
      </c>
      <c r="B22" s="218" t="inlineStr">
        <is>
          <t>utm_source</t>
        </is>
      </c>
      <c r="C22" s="218" t="inlineStr">
        <is>
          <t>string</t>
        </is>
      </c>
      <c r="D22" s="218" t="b">
        <v>0</v>
      </c>
      <c r="E22" s="218" t="inlineStr">
        <is>
          <t>text</t>
        </is>
      </c>
      <c r="F22" s="218" t="inlineStr">
        <is>
          <t>-</t>
        </is>
      </c>
      <c r="G22" s="218" t="inlineStr">
        <is>
          <t>-</t>
        </is>
      </c>
      <c r="H22" s="218" t="inlineStr">
        <is>
          <t>Маркетинг</t>
        </is>
      </c>
      <c r="I22" s="218" t="inlineStr">
        <is>
          <t>CMO</t>
        </is>
      </c>
      <c r="J22" s="218" t="inlineStr">
        <is>
          <t>realtime</t>
        </is>
      </c>
      <c r="K22" s="218" t="inlineStr">
        <is>
          <t>TEXT</t>
        </is>
      </c>
    </row>
    <row r="23">
      <c r="A23" s="218" t="inlineStr">
        <is>
          <t>raw_deals</t>
        </is>
      </c>
      <c r="B23" s="218" t="inlineStr">
        <is>
          <t>utm_medium</t>
        </is>
      </c>
      <c r="C23" s="218" t="inlineStr">
        <is>
          <t>string</t>
        </is>
      </c>
      <c r="D23" s="218" t="b">
        <v>0</v>
      </c>
      <c r="E23" s="218" t="inlineStr">
        <is>
          <t>text</t>
        </is>
      </c>
      <c r="F23" s="218" t="inlineStr">
        <is>
          <t>-</t>
        </is>
      </c>
      <c r="G23" s="218" t="inlineStr">
        <is>
          <t>-</t>
        </is>
      </c>
      <c r="H23" s="218" t="inlineStr">
        <is>
          <t>Маркетинг</t>
        </is>
      </c>
      <c r="I23" s="218" t="inlineStr">
        <is>
          <t>CMO</t>
        </is>
      </c>
      <c r="J23" s="218" t="inlineStr">
        <is>
          <t>realtime</t>
        </is>
      </c>
      <c r="K23" s="218" t="inlineStr">
        <is>
          <t>TEXT</t>
        </is>
      </c>
    </row>
    <row r="24">
      <c r="A24" s="218" t="inlineStr">
        <is>
          <t>raw_deals</t>
        </is>
      </c>
      <c r="B24" s="218" t="inlineStr">
        <is>
          <t>utm_campaign</t>
        </is>
      </c>
      <c r="C24" s="218" t="inlineStr">
        <is>
          <t>string</t>
        </is>
      </c>
      <c r="D24" s="218" t="b">
        <v>0</v>
      </c>
      <c r="E24" s="218" t="inlineStr">
        <is>
          <t>text</t>
        </is>
      </c>
      <c r="F24" s="218" t="inlineStr">
        <is>
          <t>-</t>
        </is>
      </c>
      <c r="G24" s="218" t="inlineStr">
        <is>
          <t>-</t>
        </is>
      </c>
      <c r="H24" s="218" t="inlineStr">
        <is>
          <t>Маркетинг</t>
        </is>
      </c>
      <c r="I24" s="218" t="inlineStr">
        <is>
          <t>CMO</t>
        </is>
      </c>
      <c r="J24" s="218" t="inlineStr">
        <is>
          <t>realtime</t>
        </is>
      </c>
      <c r="K24" s="218" t="inlineStr">
        <is>
          <t>TEXT</t>
        </is>
      </c>
    </row>
    <row r="25">
      <c r="A25" s="218" t="inlineStr">
        <is>
          <t>raw_calls</t>
        </is>
      </c>
      <c r="B25" s="218" t="inlineStr">
        <is>
          <t>call_id</t>
        </is>
      </c>
      <c r="C25" s="218" t="inlineStr">
        <is>
          <t>string</t>
        </is>
      </c>
      <c r="D25" s="218" t="b">
        <v>1</v>
      </c>
      <c r="E25" s="218" t="inlineStr">
        <is>
          <t>C-NNN</t>
        </is>
      </c>
      <c r="F25" s="218" t="inlineStr">
        <is>
          <t>-</t>
        </is>
      </c>
      <c r="G25" s="218" t="inlineStr">
        <is>
          <t>-</t>
        </is>
      </c>
      <c r="H25" s="218" t="inlineStr">
        <is>
          <t>Телефония</t>
        </is>
      </c>
      <c r="I25" s="218" t="inlineStr">
        <is>
          <t>РОП</t>
        </is>
      </c>
      <c r="J25" s="218" t="inlineStr">
        <is>
          <t>daily</t>
        </is>
      </c>
      <c r="K25" s="218" t="inlineStr">
        <is>
          <t>UNIQUE</t>
        </is>
      </c>
    </row>
    <row r="26">
      <c r="A26" s="218" t="inlineStr">
        <is>
          <t>raw_calls</t>
        </is>
      </c>
      <c r="B26" s="218" t="inlineStr">
        <is>
          <t>deal_id</t>
        </is>
      </c>
      <c r="C26" s="218" t="inlineStr">
        <is>
          <t>string</t>
        </is>
      </c>
      <c r="D26" s="218" t="b">
        <v>1</v>
      </c>
      <c r="E26" s="218" t="inlineStr">
        <is>
          <t>D-NNN</t>
        </is>
      </c>
      <c r="F26" s="218" t="inlineStr">
        <is>
          <t>-</t>
        </is>
      </c>
      <c r="G26" s="218" t="inlineStr">
        <is>
          <t>-</t>
        </is>
      </c>
      <c r="H26" s="218" t="inlineStr">
        <is>
          <t>CRM</t>
        </is>
      </c>
      <c r="I26" s="218" t="inlineStr">
        <is>
          <t>РОП</t>
        </is>
      </c>
      <c r="J26" s="218" t="inlineStr">
        <is>
          <t>daily</t>
        </is>
      </c>
      <c r="K26" s="218" t="inlineStr">
        <is>
          <t>FK_DEAL</t>
        </is>
      </c>
    </row>
    <row r="27">
      <c r="A27" s="218" t="inlineStr">
        <is>
          <t>raw_calls</t>
        </is>
      </c>
      <c r="B27" s="218" t="inlineStr">
        <is>
          <t>manager_id</t>
        </is>
      </c>
      <c r="C27" s="218" t="inlineStr">
        <is>
          <t>int</t>
        </is>
      </c>
      <c r="D27" s="218" t="b">
        <v>1</v>
      </c>
      <c r="E27" s="218" t="inlineStr">
        <is>
          <t>101..104</t>
        </is>
      </c>
      <c r="F27" s="218" t="n">
        <v>101</v>
      </c>
      <c r="G27" s="218" t="n">
        <v>104</v>
      </c>
      <c r="H27" s="218" t="inlineStr">
        <is>
          <t>Телефония</t>
        </is>
      </c>
      <c r="I27" s="218" t="inlineStr">
        <is>
          <t>РОП</t>
        </is>
      </c>
      <c r="J27" s="218" t="inlineStr">
        <is>
          <t>daily</t>
        </is>
      </c>
      <c r="K27" s="218" t="inlineStr">
        <is>
          <t>IN_SET</t>
        </is>
      </c>
    </row>
    <row r="28">
      <c r="A28" s="218" t="inlineStr">
        <is>
          <t>raw_calls</t>
        </is>
      </c>
      <c r="B28" s="218" t="inlineStr">
        <is>
          <t>call_date</t>
        </is>
      </c>
      <c r="C28" s="218" t="inlineStr">
        <is>
          <t>date</t>
        </is>
      </c>
      <c r="D28" s="218" t="b">
        <v>1</v>
      </c>
      <c r="E28" s="218" t="inlineStr">
        <is>
          <t>YYYY-MM-DD</t>
        </is>
      </c>
      <c r="F28" s="246" t="n">
        <v>46023</v>
      </c>
      <c r="G28" s="246" t="n">
        <v>46387</v>
      </c>
      <c r="H28" s="218" t="inlineStr">
        <is>
          <t>Телефония</t>
        </is>
      </c>
      <c r="I28" s="218" t="inlineStr">
        <is>
          <t>РОП</t>
        </is>
      </c>
      <c r="J28" s="218" t="inlineStr">
        <is>
          <t>daily</t>
        </is>
      </c>
      <c r="K28" s="218" t="inlineStr">
        <is>
          <t>DATE_VALID</t>
        </is>
      </c>
    </row>
    <row r="29">
      <c r="A29" s="218" t="inlineStr">
        <is>
          <t>raw_calls</t>
        </is>
      </c>
      <c r="B29" s="218" t="inlineStr">
        <is>
          <t>duration_sec</t>
        </is>
      </c>
      <c r="C29" s="218" t="inlineStr">
        <is>
          <t>int</t>
        </is>
      </c>
      <c r="D29" s="218" t="b">
        <v>1</v>
      </c>
      <c r="E29" s="218" t="inlineStr">
        <is>
          <t>&gt;0</t>
        </is>
      </c>
      <c r="F29" s="218" t="n">
        <v>1</v>
      </c>
      <c r="G29" s="218" t="n">
        <v>7200</v>
      </c>
      <c r="H29" s="218" t="inlineStr">
        <is>
          <t>Телефония</t>
        </is>
      </c>
      <c r="I29" s="218" t="inlineStr">
        <is>
          <t>РОП</t>
        </is>
      </c>
      <c r="J29" s="218" t="inlineStr">
        <is>
          <t>daily</t>
        </is>
      </c>
      <c r="K29" s="218" t="inlineStr">
        <is>
          <t>POSITIVE</t>
        </is>
      </c>
    </row>
    <row r="30">
      <c r="A30" s="218" t="inlineStr">
        <is>
          <t>raw_calls</t>
        </is>
      </c>
      <c r="B30" s="218" t="inlineStr">
        <is>
          <t>total_score</t>
        </is>
      </c>
      <c r="C30" s="218" t="inlineStr">
        <is>
          <t>float</t>
        </is>
      </c>
      <c r="D30" s="218" t="b">
        <v>1</v>
      </c>
      <c r="E30" s="218" t="inlineStr">
        <is>
          <t>0..13</t>
        </is>
      </c>
      <c r="F30" s="218" t="n">
        <v>0</v>
      </c>
      <c r="G30" s="218" t="n">
        <v>13</v>
      </c>
      <c r="H30" s="218" t="inlineStr">
        <is>
          <t>AI Speech</t>
        </is>
      </c>
      <c r="I30" s="218" t="inlineStr">
        <is>
          <t>QA Lead</t>
        </is>
      </c>
      <c r="J30" s="218" t="inlineStr">
        <is>
          <t>daily</t>
        </is>
      </c>
      <c r="K30" s="218" t="inlineStr">
        <is>
          <t>RANGE_0_13</t>
        </is>
      </c>
    </row>
    <row r="31">
      <c r="A31" s="218" t="inlineStr">
        <is>
          <t>raw_calls</t>
        </is>
      </c>
      <c r="B31" s="218" t="inlineStr">
        <is>
          <t>next_step_flag</t>
        </is>
      </c>
      <c r="C31" s="218" t="inlineStr">
        <is>
          <t>string</t>
        </is>
      </c>
      <c r="D31" s="218" t="b">
        <v>1</v>
      </c>
      <c r="E31" s="218" t="inlineStr">
        <is>
          <t>YES/NO</t>
        </is>
      </c>
      <c r="F31" s="218" t="inlineStr">
        <is>
          <t>-</t>
        </is>
      </c>
      <c r="G31" s="218" t="inlineStr">
        <is>
          <t>-</t>
        </is>
      </c>
      <c r="H31" s="218" t="inlineStr">
        <is>
          <t>AI Speech</t>
        </is>
      </c>
      <c r="I31" s="218" t="inlineStr">
        <is>
          <t>QA Lead</t>
        </is>
      </c>
      <c r="J31" s="218" t="inlineStr">
        <is>
          <t>daily</t>
        </is>
      </c>
      <c r="K31" s="218" t="inlineStr">
        <is>
          <t>IN_SET</t>
        </is>
      </c>
    </row>
    <row r="32">
      <c r="A32" s="218" t="inlineStr">
        <is>
          <t>raw_invoices</t>
        </is>
      </c>
      <c r="B32" s="218" t="inlineStr">
        <is>
          <t>invoice_id</t>
        </is>
      </c>
      <c r="C32" s="218" t="inlineStr">
        <is>
          <t>string</t>
        </is>
      </c>
      <c r="D32" s="218" t="b">
        <v>1</v>
      </c>
      <c r="E32" s="218" t="inlineStr">
        <is>
          <t>INV-NNN</t>
        </is>
      </c>
      <c r="F32" s="218" t="inlineStr">
        <is>
          <t>-</t>
        </is>
      </c>
      <c r="G32" s="218" t="inlineStr">
        <is>
          <t>-</t>
        </is>
      </c>
      <c r="H32" s="218" t="inlineStr">
        <is>
          <t>1С</t>
        </is>
      </c>
      <c r="I32" s="218" t="inlineStr">
        <is>
          <t>CFO</t>
        </is>
      </c>
      <c r="J32" s="218" t="inlineStr">
        <is>
          <t>daily</t>
        </is>
      </c>
      <c r="K32" s="218" t="inlineStr">
        <is>
          <t>UNIQUE</t>
        </is>
      </c>
    </row>
    <row r="33">
      <c r="A33" s="218" t="inlineStr">
        <is>
          <t>raw_invoices</t>
        </is>
      </c>
      <c r="B33" s="218" t="inlineStr">
        <is>
          <t>deal_id</t>
        </is>
      </c>
      <c r="C33" s="218" t="inlineStr">
        <is>
          <t>string</t>
        </is>
      </c>
      <c r="D33" s="218" t="b">
        <v>1</v>
      </c>
      <c r="E33" s="218" t="inlineStr">
        <is>
          <t>D-NNN</t>
        </is>
      </c>
      <c r="F33" s="218" t="inlineStr">
        <is>
          <t>-</t>
        </is>
      </c>
      <c r="G33" s="218" t="inlineStr">
        <is>
          <t>-</t>
        </is>
      </c>
      <c r="H33" s="218" t="inlineStr">
        <is>
          <t>CRM</t>
        </is>
      </c>
      <c r="I33" s="218" t="inlineStr">
        <is>
          <t>РОП</t>
        </is>
      </c>
      <c r="J33" s="218" t="inlineStr">
        <is>
          <t>daily</t>
        </is>
      </c>
      <c r="K33" s="218" t="inlineStr">
        <is>
          <t>FK_DEAL</t>
        </is>
      </c>
    </row>
    <row r="34">
      <c r="A34" s="218" t="inlineStr">
        <is>
          <t>raw_invoices</t>
        </is>
      </c>
      <c r="B34" s="218" t="inlineStr">
        <is>
          <t>client_id</t>
        </is>
      </c>
      <c r="C34" s="218" t="inlineStr">
        <is>
          <t>string</t>
        </is>
      </c>
      <c r="D34" s="218" t="b">
        <v>1</v>
      </c>
      <c r="E34" s="218" t="inlineStr">
        <is>
          <t>ga_NN</t>
        </is>
      </c>
      <c r="F34" s="218" t="inlineStr">
        <is>
          <t>-</t>
        </is>
      </c>
      <c r="G34" s="218" t="inlineStr">
        <is>
          <t>-</t>
        </is>
      </c>
      <c r="H34" s="218" t="inlineStr">
        <is>
          <t>1С</t>
        </is>
      </c>
      <c r="I34" s="218" t="inlineStr">
        <is>
          <t>CFO</t>
        </is>
      </c>
      <c r="J34" s="218" t="inlineStr">
        <is>
          <t>daily</t>
        </is>
      </c>
      <c r="K34" s="218" t="inlineStr">
        <is>
          <t>FK_CLIENT</t>
        </is>
      </c>
    </row>
    <row r="35">
      <c r="A35" s="218" t="inlineStr">
        <is>
          <t>raw_invoices</t>
        </is>
      </c>
      <c r="B35" s="218" t="inlineStr">
        <is>
          <t>client_name</t>
        </is>
      </c>
      <c r="C35" s="218" t="inlineStr">
        <is>
          <t>string</t>
        </is>
      </c>
      <c r="D35" s="218" t="b">
        <v>1</v>
      </c>
      <c r="E35" s="218" t="inlineStr">
        <is>
          <t>text</t>
        </is>
      </c>
      <c r="F35" s="218" t="inlineStr">
        <is>
          <t>-</t>
        </is>
      </c>
      <c r="G35" s="218" t="inlineStr">
        <is>
          <t>-</t>
        </is>
      </c>
      <c r="H35" s="218" t="inlineStr">
        <is>
          <t>1С</t>
        </is>
      </c>
      <c r="I35" s="218" t="inlineStr">
        <is>
          <t>CFO</t>
        </is>
      </c>
      <c r="J35" s="218" t="inlineStr">
        <is>
          <t>daily</t>
        </is>
      </c>
      <c r="K35" s="218" t="inlineStr">
        <is>
          <t>NOT_NULL</t>
        </is>
      </c>
    </row>
    <row r="36">
      <c r="A36" s="218" t="inlineStr">
        <is>
          <t>raw_invoices</t>
        </is>
      </c>
      <c r="B36" s="218" t="inlineStr">
        <is>
          <t>issue_date</t>
        </is>
      </c>
      <c r="C36" s="218" t="inlineStr">
        <is>
          <t>date</t>
        </is>
      </c>
      <c r="D36" s="218" t="b">
        <v>1</v>
      </c>
      <c r="E36" s="218" t="inlineStr">
        <is>
          <t>YYYY-MM-DD</t>
        </is>
      </c>
      <c r="F36" s="246" t="n">
        <v>46023</v>
      </c>
      <c r="G36" s="246" t="n">
        <v>46387</v>
      </c>
      <c r="H36" s="218" t="inlineStr">
        <is>
          <t>1С</t>
        </is>
      </c>
      <c r="I36" s="218" t="inlineStr">
        <is>
          <t>CFO</t>
        </is>
      </c>
      <c r="J36" s="218" t="inlineStr">
        <is>
          <t>daily</t>
        </is>
      </c>
      <c r="K36" s="218" t="inlineStr">
        <is>
          <t>DATE_VALID</t>
        </is>
      </c>
    </row>
    <row r="37">
      <c r="A37" s="218" t="inlineStr">
        <is>
          <t>raw_invoices</t>
        </is>
      </c>
      <c r="B37" s="218" t="inlineStr">
        <is>
          <t>due_date</t>
        </is>
      </c>
      <c r="C37" s="218" t="inlineStr">
        <is>
          <t>date</t>
        </is>
      </c>
      <c r="D37" s="218" t="b">
        <v>1</v>
      </c>
      <c r="E37" s="218" t="inlineStr">
        <is>
          <t>YYYY-MM-DD</t>
        </is>
      </c>
      <c r="F37" s="246" t="n">
        <v>46023</v>
      </c>
      <c r="G37" s="246" t="n">
        <v>46387</v>
      </c>
      <c r="H37" s="218" t="inlineStr">
        <is>
          <t>1С</t>
        </is>
      </c>
      <c r="I37" s="218" t="inlineStr">
        <is>
          <t>CFO</t>
        </is>
      </c>
      <c r="J37" s="218" t="inlineStr">
        <is>
          <t>daily</t>
        </is>
      </c>
      <c r="K37" s="218" t="inlineStr">
        <is>
          <t>NOT_NULL</t>
        </is>
      </c>
    </row>
    <row r="38">
      <c r="A38" s="218" t="inlineStr">
        <is>
          <t>raw_invoices</t>
        </is>
      </c>
      <c r="B38" s="218" t="inlineStr">
        <is>
          <t>amount</t>
        </is>
      </c>
      <c r="C38" s="218" t="inlineStr">
        <is>
          <t>float</t>
        </is>
      </c>
      <c r="D38" s="218" t="b">
        <v>1</v>
      </c>
      <c r="E38" s="218" t="inlineStr">
        <is>
          <t>&gt;0</t>
        </is>
      </c>
      <c r="F38" s="218" t="n">
        <v>1</v>
      </c>
      <c r="G38" s="218" t="inlineStr">
        <is>
          <t>-</t>
        </is>
      </c>
      <c r="H38" s="218" t="inlineStr">
        <is>
          <t>1С</t>
        </is>
      </c>
      <c r="I38" s="218" t="inlineStr">
        <is>
          <t>CFO</t>
        </is>
      </c>
      <c r="J38" s="218" t="inlineStr">
        <is>
          <t>daily</t>
        </is>
      </c>
      <c r="K38" s="218" t="inlineStr">
        <is>
          <t>POSITIVE</t>
        </is>
      </c>
    </row>
    <row r="39">
      <c r="A39" s="218" t="inlineStr">
        <is>
          <t>raw_invoices</t>
        </is>
      </c>
      <c r="B39" s="218" t="inlineStr">
        <is>
          <t>status</t>
        </is>
      </c>
      <c r="C39" s="218" t="inlineStr">
        <is>
          <t>string</t>
        </is>
      </c>
      <c r="D39" s="218" t="b">
        <v>1</v>
      </c>
      <c r="E39" s="218" t="inlineStr">
        <is>
          <t>status</t>
        </is>
      </c>
      <c r="F39" s="218" t="inlineStr">
        <is>
          <t>-</t>
        </is>
      </c>
      <c r="G39" s="218" t="inlineStr">
        <is>
          <t>-</t>
        </is>
      </c>
      <c r="H39" s="218" t="inlineStr">
        <is>
          <t>1С</t>
        </is>
      </c>
      <c r="I39" s="218" t="inlineStr">
        <is>
          <t>CFO</t>
        </is>
      </c>
      <c r="J39" s="218" t="inlineStr">
        <is>
          <t>daily</t>
        </is>
      </c>
      <c r="K39" s="218" t="inlineStr">
        <is>
          <t>IN_SET</t>
        </is>
      </c>
    </row>
    <row r="40">
      <c r="A40" s="218" t="inlineStr">
        <is>
          <t>raw_invoices</t>
        </is>
      </c>
      <c r="B40" s="218" t="inlineStr">
        <is>
          <t>paid_date</t>
        </is>
      </c>
      <c r="C40" s="218" t="inlineStr">
        <is>
          <t>date</t>
        </is>
      </c>
      <c r="D40" s="218" t="b">
        <v>0</v>
      </c>
      <c r="E40" s="218" t="inlineStr">
        <is>
          <t>YYYY-MM-DD</t>
        </is>
      </c>
      <c r="F40" s="246" t="n">
        <v>46023</v>
      </c>
      <c r="G40" s="246" t="n">
        <v>46387</v>
      </c>
      <c r="H40" s="218" t="inlineStr">
        <is>
          <t>1С</t>
        </is>
      </c>
      <c r="I40" s="218" t="inlineStr">
        <is>
          <t>CFO</t>
        </is>
      </c>
      <c r="J40" s="218" t="inlineStr">
        <is>
          <t>daily</t>
        </is>
      </c>
      <c r="K40" s="218" t="inlineStr">
        <is>
          <t>DATE_OR_NULL</t>
        </is>
      </c>
    </row>
    <row r="41">
      <c r="A41" s="218" t="inlineStr">
        <is>
          <t>raw_invoices</t>
        </is>
      </c>
      <c r="B41" s="218" t="inlineStr">
        <is>
          <t>overdue_days</t>
        </is>
      </c>
      <c r="C41" s="218" t="inlineStr">
        <is>
          <t>int</t>
        </is>
      </c>
      <c r="D41" s="218" t="b">
        <v>1</v>
      </c>
      <c r="E41" s="218" t="inlineStr">
        <is>
          <t>≥0</t>
        </is>
      </c>
      <c r="F41" s="218" t="n">
        <v>0</v>
      </c>
      <c r="G41" s="218" t="n">
        <v>365</v>
      </c>
      <c r="H41" s="218" t="inlineStr">
        <is>
          <t>1С</t>
        </is>
      </c>
      <c r="I41" s="218" t="inlineStr">
        <is>
          <t>CFO</t>
        </is>
      </c>
      <c r="J41" s="218" t="inlineStr">
        <is>
          <t>daily</t>
        </is>
      </c>
      <c r="K41" s="218" t="inlineStr">
        <is>
          <t>POSITIVE_INT</t>
        </is>
      </c>
    </row>
    <row r="42">
      <c r="A42" s="218" t="inlineStr">
        <is>
          <t>raw_marketing</t>
        </is>
      </c>
      <c r="B42" s="218" t="inlineStr">
        <is>
          <t>channel_id</t>
        </is>
      </c>
      <c r="C42" s="218" t="inlineStr">
        <is>
          <t>string</t>
        </is>
      </c>
      <c r="D42" s="218" t="b">
        <v>1</v>
      </c>
      <c r="E42" s="218" t="inlineStr">
        <is>
          <t>CH-NNN</t>
        </is>
      </c>
      <c r="F42" s="218" t="inlineStr">
        <is>
          <t>-</t>
        </is>
      </c>
      <c r="G42" s="218" t="inlineStr">
        <is>
          <t>-</t>
        </is>
      </c>
      <c r="H42" s="218" t="inlineStr">
        <is>
          <t>Яндекс/Google</t>
        </is>
      </c>
      <c r="I42" s="218" t="inlineStr">
        <is>
          <t>CMO</t>
        </is>
      </c>
      <c r="J42" s="218" t="inlineStr">
        <is>
          <t>daily</t>
        </is>
      </c>
      <c r="K42" s="218" t="inlineStr">
        <is>
          <t>UNIQUE</t>
        </is>
      </c>
    </row>
    <row r="43">
      <c r="A43" s="218" t="inlineStr">
        <is>
          <t>raw_marketing</t>
        </is>
      </c>
      <c r="B43" s="218" t="inlineStr">
        <is>
          <t>channel_name</t>
        </is>
      </c>
      <c r="C43" s="218" t="inlineStr">
        <is>
          <t>string</t>
        </is>
      </c>
      <c r="D43" s="218" t="b">
        <v>1</v>
      </c>
      <c r="E43" s="218" t="inlineStr">
        <is>
          <t>text</t>
        </is>
      </c>
      <c r="F43" s="218" t="inlineStr">
        <is>
          <t>-</t>
        </is>
      </c>
      <c r="G43" s="218" t="inlineStr">
        <is>
          <t>-</t>
        </is>
      </c>
      <c r="H43" s="218" t="inlineStr">
        <is>
          <t>Ad Manager</t>
        </is>
      </c>
      <c r="I43" s="218" t="inlineStr">
        <is>
          <t>CMO</t>
        </is>
      </c>
      <c r="J43" s="218" t="inlineStr">
        <is>
          <t>daily</t>
        </is>
      </c>
      <c r="K43" s="218" t="inlineStr">
        <is>
          <t>NOT_NULL</t>
        </is>
      </c>
    </row>
    <row r="44">
      <c r="A44" s="218" t="inlineStr">
        <is>
          <t>raw_marketing</t>
        </is>
      </c>
      <c r="B44" s="218" t="inlineStr">
        <is>
          <t>cost</t>
        </is>
      </c>
      <c r="C44" s="218" t="inlineStr">
        <is>
          <t>float</t>
        </is>
      </c>
      <c r="D44" s="218" t="b">
        <v>1</v>
      </c>
      <c r="E44" s="218" t="inlineStr">
        <is>
          <t>≥0</t>
        </is>
      </c>
      <c r="F44" s="218" t="n">
        <v>0</v>
      </c>
      <c r="G44" s="218" t="inlineStr">
        <is>
          <t>-</t>
        </is>
      </c>
      <c r="H44" s="218" t="inlineStr">
        <is>
          <t>Ad Manager</t>
        </is>
      </c>
      <c r="I44" s="218" t="inlineStr">
        <is>
          <t>CMO</t>
        </is>
      </c>
      <c r="J44" s="218" t="inlineStr">
        <is>
          <t>daily</t>
        </is>
      </c>
      <c r="K44" s="218" t="inlineStr">
        <is>
          <t>POSITIVE</t>
        </is>
      </c>
    </row>
    <row r="45">
      <c r="A45" s="218" t="inlineStr">
        <is>
          <t>raw_marketing</t>
        </is>
      </c>
      <c r="B45" s="218" t="inlineStr">
        <is>
          <t>clicks</t>
        </is>
      </c>
      <c r="C45" s="218" t="inlineStr">
        <is>
          <t>int</t>
        </is>
      </c>
      <c r="D45" s="218" t="b">
        <v>1</v>
      </c>
      <c r="E45" s="218" t="inlineStr">
        <is>
          <t>≥0</t>
        </is>
      </c>
      <c r="F45" s="218" t="n">
        <v>0</v>
      </c>
      <c r="G45" s="218" t="inlineStr">
        <is>
          <t>-</t>
        </is>
      </c>
      <c r="H45" s="218" t="inlineStr">
        <is>
          <t>Ad Manager</t>
        </is>
      </c>
      <c r="I45" s="218" t="inlineStr">
        <is>
          <t>CMO</t>
        </is>
      </c>
      <c r="J45" s="218" t="inlineStr">
        <is>
          <t>daily</t>
        </is>
      </c>
      <c r="K45" s="218" t="inlineStr">
        <is>
          <t>POSITIVE_INT</t>
        </is>
      </c>
    </row>
    <row r="46">
      <c r="A46" s="218" t="inlineStr">
        <is>
          <t>raw_marketing</t>
        </is>
      </c>
      <c r="B46" s="218" t="inlineStr">
        <is>
          <t>leads</t>
        </is>
      </c>
      <c r="C46" s="218" t="inlineStr">
        <is>
          <t>int</t>
        </is>
      </c>
      <c r="D46" s="218" t="b">
        <v>1</v>
      </c>
      <c r="E46" s="218" t="inlineStr">
        <is>
          <t>≥0</t>
        </is>
      </c>
      <c r="F46" s="218" t="n">
        <v>0</v>
      </c>
      <c r="G46" s="218" t="inlineStr">
        <is>
          <t>-</t>
        </is>
      </c>
      <c r="H46" s="218" t="inlineStr">
        <is>
          <t>CRM</t>
        </is>
      </c>
      <c r="I46" s="218" t="inlineStr">
        <is>
          <t>CMO</t>
        </is>
      </c>
      <c r="J46" s="218" t="inlineStr">
        <is>
          <t>daily</t>
        </is>
      </c>
      <c r="K46" s="218" t="inlineStr">
        <is>
          <t>POSITIVE_INT</t>
        </is>
      </c>
    </row>
    <row r="47">
      <c r="A47" s="218" t="inlineStr">
        <is>
          <t>raw_payments</t>
        </is>
      </c>
      <c r="B47" s="218" t="inlineStr">
        <is>
          <t>payment_id</t>
        </is>
      </c>
      <c r="C47" s="218" t="inlineStr">
        <is>
          <t>string</t>
        </is>
      </c>
      <c r="D47" s="218" t="b">
        <v>1</v>
      </c>
      <c r="E47" s="218" t="inlineStr">
        <is>
          <t>PAY-NNN</t>
        </is>
      </c>
      <c r="F47" s="218" t="inlineStr">
        <is>
          <t>-</t>
        </is>
      </c>
      <c r="G47" s="218" t="inlineStr">
        <is>
          <t>-</t>
        </is>
      </c>
      <c r="H47" s="218" t="inlineStr">
        <is>
          <t>Банк</t>
        </is>
      </c>
      <c r="I47" s="218" t="inlineStr">
        <is>
          <t>CFO</t>
        </is>
      </c>
      <c r="J47" s="218" t="inlineStr">
        <is>
          <t>daily</t>
        </is>
      </c>
      <c r="K47" s="218" t="inlineStr">
        <is>
          <t>UNIQUE</t>
        </is>
      </c>
    </row>
    <row r="48">
      <c r="A48" s="218" t="inlineStr">
        <is>
          <t>raw_payments</t>
        </is>
      </c>
      <c r="B48" s="218" t="inlineStr">
        <is>
          <t>invoice_id</t>
        </is>
      </c>
      <c r="C48" s="218" t="inlineStr">
        <is>
          <t>string</t>
        </is>
      </c>
      <c r="D48" s="218" t="b">
        <v>1</v>
      </c>
      <c r="E48" s="218" t="inlineStr">
        <is>
          <t>INV-NNN</t>
        </is>
      </c>
      <c r="F48" s="218" t="inlineStr">
        <is>
          <t>-</t>
        </is>
      </c>
      <c r="G48" s="218" t="inlineStr">
        <is>
          <t>-</t>
        </is>
      </c>
      <c r="H48" s="218" t="inlineStr">
        <is>
          <t>1С</t>
        </is>
      </c>
      <c r="I48" s="218" t="inlineStr">
        <is>
          <t>CFO</t>
        </is>
      </c>
      <c r="J48" s="218" t="inlineStr">
        <is>
          <t>daily</t>
        </is>
      </c>
      <c r="K48" s="218" t="inlineStr">
        <is>
          <t>FK_INVOICE</t>
        </is>
      </c>
    </row>
    <row r="49">
      <c r="A49" s="218" t="inlineStr">
        <is>
          <t>raw_payments</t>
        </is>
      </c>
      <c r="B49" s="218" t="inlineStr">
        <is>
          <t>amount</t>
        </is>
      </c>
      <c r="C49" s="218" t="inlineStr">
        <is>
          <t>float</t>
        </is>
      </c>
      <c r="D49" s="218" t="b">
        <v>1</v>
      </c>
      <c r="E49" s="218" t="inlineStr">
        <is>
          <t>&gt;0</t>
        </is>
      </c>
      <c r="F49" s="218" t="n">
        <v>1</v>
      </c>
      <c r="G49" s="218" t="inlineStr">
        <is>
          <t>-</t>
        </is>
      </c>
      <c r="H49" s="218" t="inlineStr">
        <is>
          <t>Банк</t>
        </is>
      </c>
      <c r="I49" s="218" t="inlineStr">
        <is>
          <t>CFO</t>
        </is>
      </c>
      <c r="J49" s="218" t="inlineStr">
        <is>
          <t>daily</t>
        </is>
      </c>
      <c r="K49" s="218" t="inlineStr">
        <is>
          <t>POSITIVE</t>
        </is>
      </c>
    </row>
    <row r="50">
      <c r="A50" s="218" t="inlineStr">
        <is>
          <t>raw_payments</t>
        </is>
      </c>
      <c r="B50" s="218" t="inlineStr">
        <is>
          <t>payment_date</t>
        </is>
      </c>
      <c r="C50" s="218" t="inlineStr">
        <is>
          <t>date</t>
        </is>
      </c>
      <c r="D50" s="218" t="b">
        <v>1</v>
      </c>
      <c r="E50" s="218" t="inlineStr">
        <is>
          <t>YYYY-MM-DD</t>
        </is>
      </c>
      <c r="F50" s="246" t="n">
        <v>46023</v>
      </c>
      <c r="G50" s="246" t="n">
        <v>46387</v>
      </c>
      <c r="H50" s="218" t="inlineStr">
        <is>
          <t>Банк</t>
        </is>
      </c>
      <c r="I50" s="218" t="inlineStr">
        <is>
          <t>CFO</t>
        </is>
      </c>
      <c r="J50" s="218" t="inlineStr">
        <is>
          <t>daily</t>
        </is>
      </c>
      <c r="K50" s="218" t="inlineStr">
        <is>
          <t>DATE_VALID</t>
        </is>
      </c>
    </row>
    <row r="51">
      <c r="A51" s="218" t="inlineStr">
        <is>
          <t>raw_touchpoints</t>
        </is>
      </c>
      <c r="B51" s="218" t="inlineStr">
        <is>
          <t>touch_id</t>
        </is>
      </c>
      <c r="C51" s="218" t="inlineStr">
        <is>
          <t>string</t>
        </is>
      </c>
      <c r="D51" s="218" t="b">
        <v>1</v>
      </c>
      <c r="E51" s="218" t="inlineStr">
        <is>
          <t>TP-NNN</t>
        </is>
      </c>
      <c r="F51" s="218" t="inlineStr">
        <is>
          <t>-</t>
        </is>
      </c>
      <c r="G51" s="218" t="inlineStr">
        <is>
          <t>-</t>
        </is>
      </c>
      <c r="H51" s="218" t="inlineStr">
        <is>
          <t>CDP</t>
        </is>
      </c>
      <c r="I51" s="218" t="inlineStr">
        <is>
          <t>CMO</t>
        </is>
      </c>
      <c r="J51" s="218" t="inlineStr">
        <is>
          <t>realtime</t>
        </is>
      </c>
      <c r="K51" s="218" t="inlineStr">
        <is>
          <t>UNIQUE</t>
        </is>
      </c>
    </row>
    <row r="52">
      <c r="A52" s="218" t="inlineStr">
        <is>
          <t>raw_touchpoints</t>
        </is>
      </c>
      <c r="B52" s="218" t="inlineStr">
        <is>
          <t>deal_id</t>
        </is>
      </c>
      <c r="C52" s="218" t="inlineStr">
        <is>
          <t>string</t>
        </is>
      </c>
      <c r="D52" s="218" t="b">
        <v>1</v>
      </c>
      <c r="E52" s="218" t="inlineStr">
        <is>
          <t>D-NNN</t>
        </is>
      </c>
      <c r="F52" s="218" t="inlineStr">
        <is>
          <t>-</t>
        </is>
      </c>
      <c r="G52" s="218" t="inlineStr">
        <is>
          <t>-</t>
        </is>
      </c>
      <c r="H52" s="218" t="inlineStr">
        <is>
          <t>CRM</t>
        </is>
      </c>
      <c r="I52" s="218" t="inlineStr">
        <is>
          <t>CMO</t>
        </is>
      </c>
      <c r="J52" s="218" t="inlineStr">
        <is>
          <t>realtime</t>
        </is>
      </c>
      <c r="K52" s="218" t="inlineStr">
        <is>
          <t>FK_DEAL</t>
        </is>
      </c>
    </row>
    <row r="53">
      <c r="A53" s="218" t="inlineStr">
        <is>
          <t>raw_touchpoints</t>
        </is>
      </c>
      <c r="B53" s="218" t="inlineStr">
        <is>
          <t>touch_date</t>
        </is>
      </c>
      <c r="C53" s="218" t="inlineStr">
        <is>
          <t>date</t>
        </is>
      </c>
      <c r="D53" s="218" t="b">
        <v>1</v>
      </c>
      <c r="E53" s="218" t="inlineStr">
        <is>
          <t>YYYY-MM-DD</t>
        </is>
      </c>
      <c r="F53" s="246" t="n">
        <v>46023</v>
      </c>
      <c r="G53" s="246" t="n">
        <v>46387</v>
      </c>
      <c r="H53" s="218" t="inlineStr">
        <is>
          <t>CDP</t>
        </is>
      </c>
      <c r="I53" s="218" t="inlineStr">
        <is>
          <t>CMO</t>
        </is>
      </c>
      <c r="J53" s="218" t="inlineStr">
        <is>
          <t>realtime</t>
        </is>
      </c>
      <c r="K53" s="218" t="inlineStr">
        <is>
          <t>DATE_VALID</t>
        </is>
      </c>
    </row>
    <row r="54">
      <c r="A54" s="218" t="inlineStr">
        <is>
          <t>raw_touchpoints</t>
        </is>
      </c>
      <c r="B54" s="218" t="inlineStr">
        <is>
          <t>channel_id</t>
        </is>
      </c>
      <c r="C54" s="218" t="inlineStr">
        <is>
          <t>string</t>
        </is>
      </c>
      <c r="D54" s="218" t="b">
        <v>1</v>
      </c>
      <c r="E54" s="218" t="inlineStr">
        <is>
          <t>text</t>
        </is>
      </c>
      <c r="F54" s="218" t="inlineStr">
        <is>
          <t>-</t>
        </is>
      </c>
      <c r="G54" s="218" t="inlineStr">
        <is>
          <t>-</t>
        </is>
      </c>
      <c r="H54" s="218" t="inlineStr">
        <is>
          <t>CDP</t>
        </is>
      </c>
      <c r="I54" s="218" t="inlineStr">
        <is>
          <t>CMO</t>
        </is>
      </c>
      <c r="J54" s="218" t="inlineStr">
        <is>
          <t>realtime</t>
        </is>
      </c>
      <c r="K54" s="218" t="inlineStr">
        <is>
          <t>NOT_NULL</t>
        </is>
      </c>
    </row>
    <row r="55">
      <c r="A55" s="218" t="inlineStr">
        <is>
          <t>raw_touchpoints</t>
        </is>
      </c>
      <c r="B55" s="218" t="inlineStr">
        <is>
          <t>weight_w_shaped</t>
        </is>
      </c>
      <c r="C55" s="218" t="inlineStr">
        <is>
          <t>float</t>
        </is>
      </c>
      <c r="D55" s="218" t="b">
        <v>1</v>
      </c>
      <c r="E55" s="218" t="inlineStr">
        <is>
          <t>0..1</t>
        </is>
      </c>
      <c r="F55" s="218" t="n">
        <v>0</v>
      </c>
      <c r="G55" s="218" t="n">
        <v>1</v>
      </c>
      <c r="H55" s="218" t="inlineStr">
        <is>
          <t>RevOps Engine</t>
        </is>
      </c>
      <c r="I55" s="218" t="inlineStr">
        <is>
          <t>RevOps</t>
        </is>
      </c>
      <c r="J55" s="218" t="inlineStr">
        <is>
          <t>daily</t>
        </is>
      </c>
      <c r="K55" s="218" t="inlineStr">
        <is>
          <t>PROBABILITY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0" summaryRight="0"/>
    <pageSetUpPr/>
  </sheetPr>
  <dimension ref="A1:F9"/>
  <sheetViews>
    <sheetView workbookViewId="0">
      <selection activeCell="A1" sqref="A1"/>
    </sheetView>
  </sheetViews>
  <sheetFormatPr baseColWidth="8" defaultColWidth="12.63" defaultRowHeight="15.75" customHeight="1"/>
  <cols>
    <col width="13.88" customWidth="1" style="461" min="1" max="1"/>
    <col width="22.63" customWidth="1" style="461" min="2" max="2"/>
    <col width="20.13" customWidth="1" style="461" min="3" max="4"/>
    <col width="18.88" customWidth="1" style="461" min="5" max="5"/>
    <col width="26.38" customWidth="1" style="461" min="6" max="6"/>
  </cols>
  <sheetData>
    <row r="1">
      <c r="A1" s="218" t="inlineStr">
        <is>
          <t>entity_type</t>
        </is>
      </c>
      <c r="B1" s="218" t="inlineStr">
        <is>
          <t>id_prefix</t>
        </is>
      </c>
      <c r="C1" s="218" t="inlineStr">
        <is>
          <t>next_number</t>
        </is>
      </c>
      <c r="D1" s="218" t="inlineStr">
        <is>
          <t>last_issued</t>
        </is>
      </c>
      <c r="E1" s="218" t="inlineStr">
        <is>
          <t>total_issued</t>
        </is>
      </c>
      <c r="F1" s="218" t="inlineStr">
        <is>
          <t>uniqueness_scope</t>
        </is>
      </c>
    </row>
    <row r="2">
      <c r="A2" s="218" t="inlineStr">
        <is>
          <t>deal</t>
        </is>
      </c>
      <c r="B2" s="218" t="inlineStr">
        <is>
          <t>D-</t>
        </is>
      </c>
      <c r="C2" s="218">
        <f>MAX(IFERROR(VALUE(SUBSTITUTE(raw_deals!$A$2:$A$50000,"D-","")),0))+1</f>
        <v/>
      </c>
      <c r="D2" s="218">
        <f>"D-" &amp; TEXT(C2-1, "000")</f>
        <v/>
      </c>
      <c r="E2" s="218">
        <f>COUNTA(raw_deals!$A$2:$A$50000)</f>
        <v/>
      </c>
      <c r="F2" s="218" t="inlineStr">
        <is>
          <t>Global CRM Pipeline</t>
        </is>
      </c>
    </row>
    <row r="3">
      <c r="A3" s="218" t="inlineStr">
        <is>
          <t>call</t>
        </is>
      </c>
      <c r="B3" s="218" t="inlineStr">
        <is>
          <t>C-</t>
        </is>
      </c>
      <c r="C3" s="218">
        <f>MAX(IFERROR(VALUE(SUBSTITUTE(raw_calls!$A$2:$A$50000,"C-","")),0))+1</f>
        <v/>
      </c>
      <c r="D3" s="218">
        <f>"C-" &amp; TEXT(C3-1, "000")</f>
        <v/>
      </c>
      <c r="E3" s="218">
        <f>COUNTA(raw_calls!$A$2:$A$50000)</f>
        <v/>
      </c>
      <c r="F3" s="218" t="inlineStr">
        <is>
          <t>Telephony Event Log</t>
        </is>
      </c>
    </row>
    <row r="4">
      <c r="A4" s="218" t="inlineStr">
        <is>
          <t>invoice</t>
        </is>
      </c>
      <c r="B4" s="218" t="inlineStr">
        <is>
          <t>INV-</t>
        </is>
      </c>
      <c r="C4" s="218">
        <f>MAX(IFERROR(VALUE(SUBSTITUTE(raw_invoices!$A$2:$A$50000,"INV-","")),0))+1</f>
        <v/>
      </c>
      <c r="D4" s="218">
        <f>"INV-" &amp; TEXT(C4-1, "000")</f>
        <v/>
      </c>
      <c r="E4" s="218">
        <f>COUNTA(raw_invoices!$A$2:$A$50000)</f>
        <v/>
      </c>
      <c r="F4" s="218" t="inlineStr">
        <is>
          <t>ERP Billing Ledger</t>
        </is>
      </c>
    </row>
    <row r="5">
      <c r="A5" s="218" t="inlineStr">
        <is>
          <t>payment</t>
        </is>
      </c>
      <c r="B5" s="218" t="inlineStr">
        <is>
          <t>PAY-</t>
        </is>
      </c>
      <c r="C5" s="218">
        <f>MAX(IFERROR(VALUE(SUBSTITUTE(raw_payments!$A$2:$A$50000,"PAY-","")),0))+1</f>
        <v/>
      </c>
      <c r="D5" s="218">
        <f>"PAY-" &amp; TEXT(C5-1, "000")</f>
        <v/>
      </c>
      <c r="E5" s="218">
        <f>COUNTA(raw_payments!$A$2:$A$50000)</f>
        <v/>
      </c>
      <c r="F5" s="218" t="inlineStr">
        <is>
          <t>Bank Gateway Fact</t>
        </is>
      </c>
    </row>
    <row r="6">
      <c r="A6" s="218" t="inlineStr">
        <is>
          <t>touch</t>
        </is>
      </c>
      <c r="B6" s="218" t="inlineStr">
        <is>
          <t>TP-</t>
        </is>
      </c>
      <c r="C6" s="218" t="n">
        <v>114</v>
      </c>
      <c r="D6" s="218" t="inlineStr">
        <is>
          <t>TP-113</t>
        </is>
      </c>
      <c r="E6" s="218">
        <f>COUNTA(raw_touchpoints!$A$2:$A$50000)</f>
        <v/>
      </c>
      <c r="F6" s="218" t="inlineStr">
        <is>
          <t>CDP Multi-Touch Engine</t>
        </is>
      </c>
    </row>
    <row r="7">
      <c r="A7" s="218" t="inlineStr">
        <is>
          <t>client</t>
        </is>
      </c>
      <c r="B7" s="218" t="inlineStr">
        <is>
          <t>CL-</t>
        </is>
      </c>
      <c r="C7" s="218">
        <f>MAX(IFERROR(VALUE(SUBSTITUTE(raw_deals!$K$2:$K$50000,"ga_","")),0))+1</f>
        <v/>
      </c>
      <c r="D7" s="218" t="inlineStr">
        <is>
          <t>CL-021</t>
        </is>
      </c>
      <c r="E7" s="218" t="n">
        <v>11</v>
      </c>
      <c r="F7" s="218" t="inlineStr">
        <is>
          <t>SSOT MDM Master Record</t>
        </is>
      </c>
    </row>
    <row r="8">
      <c r="A8" s="218" t="inlineStr">
        <is>
          <t>campaign</t>
        </is>
      </c>
      <c r="B8" s="218" t="inlineStr">
        <is>
          <t>CMP-</t>
        </is>
      </c>
      <c r="C8" s="218" t="n">
        <v>5</v>
      </c>
      <c r="D8" s="218" t="inlineStr">
        <is>
          <t>CMP-004</t>
        </is>
      </c>
      <c r="E8" s="218">
        <f>COUNTA(raw_marketing!$A$2:$A$50000)</f>
        <v/>
      </c>
      <c r="F8" s="218" t="inlineStr">
        <is>
          <t>Marketing Ad Platforms</t>
        </is>
      </c>
    </row>
    <row r="9">
      <c r="A9" s="218" t="inlineStr">
        <is>
          <t>task</t>
        </is>
      </c>
      <c r="B9" s="218" t="inlineStr">
        <is>
          <t>TSK-</t>
        </is>
      </c>
      <c r="C9" s="218" t="n">
        <v>101</v>
      </c>
      <c r="D9" s="218" t="inlineStr">
        <is>
          <t>TSK-100</t>
        </is>
      </c>
      <c r="E9" s="218" t="n">
        <v>0</v>
      </c>
      <c r="F9" s="218" t="inlineStr">
        <is>
          <t>RevOps Automation Queue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0" summaryRight="0"/>
    <pageSetUpPr/>
  </sheetPr>
  <dimension ref="A1:D9"/>
  <sheetViews>
    <sheetView workbookViewId="0">
      <selection activeCell="A1" sqref="A1"/>
    </sheetView>
  </sheetViews>
  <sheetFormatPr baseColWidth="8" defaultColWidth="12.63" defaultRowHeight="15.75" customHeight="1"/>
  <cols>
    <col width="26.38" customWidth="1" style="461" min="1" max="1"/>
    <col width="52.63" customWidth="1" style="461" min="2" max="2"/>
    <col width="18.88" customWidth="1" style="461" min="3" max="3"/>
    <col width="28.88" customWidth="1" style="461" min="4" max="4"/>
  </cols>
  <sheetData>
    <row r="1">
      <c r="A1" s="218" t="inlineStr">
        <is>
          <t>Метрика</t>
        </is>
      </c>
      <c r="B1" s="218" t="inlineStr">
        <is>
          <t>Описание</t>
        </is>
      </c>
      <c r="C1" s="218" t="inlineStr">
        <is>
          <t>Формула / Значение</t>
        </is>
      </c>
      <c r="D1" s="218" t="inlineStr">
        <is>
          <t>Статус</t>
        </is>
      </c>
    </row>
    <row r="2">
      <c r="A2" s="218" t="inlineStr">
        <is>
          <t>Всего записей</t>
        </is>
      </c>
      <c r="B2" s="218" t="inlineStr">
        <is>
          <t>Общее число сделок в реестре CRM</t>
        </is>
      </c>
      <c r="C2" s="218">
        <f>COUNTA(raw_deals!$A$2:$A$50000)</f>
        <v/>
      </c>
      <c r="D2" s="218">
        <f>IF(C2&gt;0, "🟢 OK", "🔴 EMPTY")</f>
        <v/>
      </c>
    </row>
    <row r="3">
      <c r="A3" s="218" t="inlineStr">
        <is>
          <t>Доля пустых обязательных полей</t>
        </is>
      </c>
      <c r="B3" s="218" t="inlineStr">
        <is>
          <t>Проверка отсутствия незаполненных контрагентов</t>
        </is>
      </c>
      <c r="C3" s="218">
        <f>COUNTIFS(raw_deals!$A$2:$A$50000, "?*", raw_deals!$B$2:$B$50000, "")/MAX(COUNTA(raw_deals!$A$2:$A$50000), 1)</f>
        <v/>
      </c>
      <c r="D3" s="218">
        <f>IF(C3=0, "🟢 0% NULL", "🔴 HAS NULL")</f>
        <v/>
      </c>
    </row>
    <row r="4">
      <c r="A4" s="218" t="inlineStr">
        <is>
          <t>Доля дублей по client_name</t>
        </is>
      </c>
      <c r="B4" s="218" t="inlineStr">
        <is>
          <t>Проверка уникальности контрагентов</t>
        </is>
      </c>
      <c r="C4" s="218">
        <f>SUMPRODUCT((raw_deals!$A$2:$A$50000&lt;&gt;"")*(COUNTIF(raw_deals!$B$2:$B$50000, raw_deals!$B$2:$B$50000)&gt;1))/MAX(COUNTA(raw_deals!$A$2:$A$50000), 1)</f>
        <v/>
      </c>
      <c r="D4" s="218">
        <f>IF(C4=0, "🟢 0% DUP", "🟡 DUPLICATES")</f>
        <v/>
      </c>
    </row>
    <row r="5">
      <c r="A5" s="218" t="inlineStr">
        <is>
          <t>Битые ссылки (deal без client)</t>
        </is>
      </c>
      <c r="B5" s="218" t="inlineStr">
        <is>
          <t>Сделки без привязки к client_id</t>
        </is>
      </c>
      <c r="C5" s="218">
        <f>COUNTIFS(raw_deals!$K$2:$K$50000, "", raw_deals!$A$2:$A$50000, "?*")</f>
        <v/>
      </c>
      <c r="D5" s="218">
        <f>IF(C5=0, "🟢 0 ORPHANS", "🔴 ORPHANS")</f>
        <v/>
      </c>
    </row>
    <row r="6">
      <c r="A6" s="218" t="inlineStr">
        <is>
          <t>Несогласованные статусы</t>
        </is>
      </c>
      <c r="B6" s="218" t="inlineStr">
        <is>
          <t>Оплаченные счета без даты фактической оплаты</t>
        </is>
      </c>
      <c r="C6" s="218">
        <f>COUNTIFS(raw_invoices!$H$2:$H$50000, "paid", raw_invoices!$I$2:$I$50000, "")</f>
        <v/>
      </c>
      <c r="D6" s="218">
        <f>IF(C6=0, "🟢 0 MISMATCH", "🔴 MISMATCH")</f>
        <v/>
      </c>
    </row>
    <row r="7"/>
    <row r="8">
      <c r="A8" s="218" t="inlineStr">
        <is>
          <t>DQ Score</t>
        </is>
      </c>
      <c r="B8" s="218" t="inlineStr">
        <is>
          <t>Интегральный скоринг качества данных</t>
        </is>
      </c>
      <c r="C8" s="218">
        <f>MAX(0, 1 - (C3 + C4 + (C5 + C6) / MAX(COUNTA(raw_deals!$A$2:$A$50000), 1)))</f>
        <v/>
      </c>
      <c r="D8" s="218">
        <f>IF(C8&gt;=0.95, "🟢 EXCELLENT", IF(C8&gt;=0.85, "🟡 ACCEPTABLE", "🔴 ATTENTION"))</f>
        <v/>
      </c>
    </row>
    <row r="9">
      <c r="A9" s="218" t="inlineStr">
        <is>
          <t>Вердикт</t>
        </is>
      </c>
      <c r="B9" s="218" t="inlineStr">
        <is>
          <t>Заключение по готовности данных для Wave 2</t>
        </is>
      </c>
      <c r="C9" s="218">
        <f>IF(C8&gt;=0.95, "🟢 EXCELLENT", IF(C8&gt;=0.85, "🟡 ACCEPTABLE", "🔴 ATTENTION"))</f>
        <v/>
      </c>
      <c r="D9" s="218">
        <f>IF(C8&gt;=0.95, "🟢 Готово к переходу на Wave 2", IF(C8&gt;=0.85, "🟡 Требуется доработка", "🔴 Блокировка Wave 2"))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0" summaryRight="0"/>
    <pageSetUpPr/>
  </sheetPr>
  <dimension ref="A1:J23"/>
  <sheetViews>
    <sheetView workbookViewId="0">
      <selection activeCell="A1" sqref="A1"/>
    </sheetView>
  </sheetViews>
  <sheetFormatPr baseColWidth="8" defaultColWidth="12.63" defaultRowHeight="15.75" customHeight="1"/>
  <cols>
    <col width="15.13" customWidth="1" style="461" min="1" max="2"/>
    <col width="22.63" customWidth="1" style="461" min="3" max="3"/>
    <col width="25.13" customWidth="1" style="461" min="4" max="4"/>
    <col width="22.63" customWidth="1" style="461" min="5" max="7"/>
    <col width="14.5" customWidth="1" style="461" min="8" max="10"/>
  </cols>
  <sheetData>
    <row r="1">
      <c r="A1" s="218" t="inlineStr">
        <is>
          <t>event_id</t>
        </is>
      </c>
      <c r="B1" s="218" t="inlineStr">
        <is>
          <t>deal_id</t>
        </is>
      </c>
      <c r="C1" s="218" t="inlineStr">
        <is>
          <t>event_date</t>
        </is>
      </c>
      <c r="D1" s="218" t="inlineStr">
        <is>
          <t>event_type</t>
        </is>
      </c>
      <c r="E1" s="218" t="inlineStr">
        <is>
          <t>field_changed</t>
        </is>
      </c>
      <c r="F1" s="218" t="inlineStr">
        <is>
          <t>old_value</t>
        </is>
      </c>
      <c r="G1" s="218" t="inlineStr">
        <is>
          <t>new_value</t>
        </is>
      </c>
      <c r="H1" s="218" t="inlineStr">
        <is>
          <t>manager_id</t>
        </is>
      </c>
      <c r="I1" s="218" t="inlineStr">
        <is>
          <t>sla_impact</t>
        </is>
      </c>
      <c r="J1" s="218" t="inlineStr">
        <is>
          <t>source</t>
        </is>
      </c>
    </row>
    <row r="2">
      <c r="A2" s="218" t="inlineStr">
        <is>
          <t>EVT-001</t>
        </is>
      </c>
      <c r="B2" s="218" t="inlineStr">
        <is>
          <t>D-101</t>
        </is>
      </c>
      <c r="C2" s="247" t="n">
        <v>46267.41666666666</v>
      </c>
      <c r="D2" s="218" t="inlineStr">
        <is>
          <t>stage_change</t>
        </is>
      </c>
      <c r="E2" s="218" t="inlineStr">
        <is>
          <t>stage_id</t>
        </is>
      </c>
      <c r="F2" s="218" t="n">
        <v>0</v>
      </c>
      <c r="G2" s="218" t="n">
        <v>1</v>
      </c>
      <c r="H2" s="218" t="n">
        <v>102</v>
      </c>
      <c r="I2" s="218" t="inlineStr">
        <is>
          <t>NONE</t>
        </is>
      </c>
      <c r="J2" s="218" t="inlineStr">
        <is>
          <t>CRM</t>
        </is>
      </c>
    </row>
    <row r="3">
      <c r="A3" s="218" t="inlineStr">
        <is>
          <t>EVT-002</t>
        </is>
      </c>
      <c r="B3" s="218" t="inlineStr">
        <is>
          <t>D-101</t>
        </is>
      </c>
      <c r="C3" s="247" t="n">
        <v>46268.60416666666</v>
      </c>
      <c r="D3" s="218" t="inlineStr">
        <is>
          <t>stage_change</t>
        </is>
      </c>
      <c r="E3" s="218" t="inlineStr">
        <is>
          <t>stage_id</t>
        </is>
      </c>
      <c r="F3" s="218" t="n">
        <v>1</v>
      </c>
      <c r="G3" s="218" t="n">
        <v>2</v>
      </c>
      <c r="H3" s="218" t="n">
        <v>102</v>
      </c>
      <c r="I3" s="218" t="inlineStr">
        <is>
          <t>🟢 IN_NORM</t>
        </is>
      </c>
      <c r="J3" s="218" t="inlineStr">
        <is>
          <t>CRM</t>
        </is>
      </c>
    </row>
    <row r="4">
      <c r="A4" s="218" t="inlineStr">
        <is>
          <t>EVT-003</t>
        </is>
      </c>
      <c r="B4" s="218" t="inlineStr">
        <is>
          <t>D-101</t>
        </is>
      </c>
      <c r="C4" s="247" t="n">
        <v>46270.45833333334</v>
      </c>
      <c r="D4" s="218" t="inlineStr">
        <is>
          <t>stage_change</t>
        </is>
      </c>
      <c r="E4" s="218" t="inlineStr">
        <is>
          <t>stage_id</t>
        </is>
      </c>
      <c r="F4" s="218" t="n">
        <v>2</v>
      </c>
      <c r="G4" s="218" t="n">
        <v>3</v>
      </c>
      <c r="H4" s="218" t="n">
        <v>102</v>
      </c>
      <c r="I4" s="218" t="inlineStr">
        <is>
          <t>🟢 IN_NORM</t>
        </is>
      </c>
      <c r="J4" s="218" t="inlineStr">
        <is>
          <t>CRM</t>
        </is>
      </c>
    </row>
    <row r="5">
      <c r="A5" s="218" t="inlineStr">
        <is>
          <t>EVT-004</t>
        </is>
      </c>
      <c r="B5" s="218" t="inlineStr">
        <is>
          <t>D-101</t>
        </is>
      </c>
      <c r="C5" s="247" t="n">
        <v>46273.66666666666</v>
      </c>
      <c r="D5" s="218" t="inlineStr">
        <is>
          <t>stage_change</t>
        </is>
      </c>
      <c r="E5" s="218" t="inlineStr">
        <is>
          <t>stage_id</t>
        </is>
      </c>
      <c r="F5" s="218" t="n">
        <v>3</v>
      </c>
      <c r="G5" s="218" t="n">
        <v>4</v>
      </c>
      <c r="H5" s="218" t="n">
        <v>102</v>
      </c>
      <c r="I5" s="218" t="inlineStr">
        <is>
          <t>🟢 IN_NORM</t>
        </is>
      </c>
      <c r="J5" s="218" t="inlineStr">
        <is>
          <t>CRM</t>
        </is>
      </c>
    </row>
    <row r="6">
      <c r="A6" s="218" t="inlineStr">
        <is>
          <t>EVT-005</t>
        </is>
      </c>
      <c r="B6" s="218" t="inlineStr">
        <is>
          <t>D-101</t>
        </is>
      </c>
      <c r="C6" s="247" t="n">
        <v>46275.5</v>
      </c>
      <c r="D6" s="218" t="inlineStr">
        <is>
          <t>stage_change</t>
        </is>
      </c>
      <c r="E6" s="218" t="inlineStr">
        <is>
          <t>stage_id</t>
        </is>
      </c>
      <c r="F6" s="218" t="n">
        <v>4</v>
      </c>
      <c r="G6" s="218" t="n">
        <v>5</v>
      </c>
      <c r="H6" s="218" t="n">
        <v>102</v>
      </c>
      <c r="I6" s="218" t="inlineStr">
        <is>
          <t>🟢 IN_NORM</t>
        </is>
      </c>
      <c r="J6" s="218" t="inlineStr">
        <is>
          <t>CRM</t>
        </is>
      </c>
    </row>
    <row r="7">
      <c r="A7" s="218" t="inlineStr">
        <is>
          <t>EVT-006</t>
        </is>
      </c>
      <c r="B7" s="218" t="inlineStr">
        <is>
          <t>D-101</t>
        </is>
      </c>
      <c r="C7" s="247" t="n">
        <v>46277.70833333334</v>
      </c>
      <c r="D7" s="218" t="inlineStr">
        <is>
          <t>stage_change</t>
        </is>
      </c>
      <c r="E7" s="218" t="inlineStr">
        <is>
          <t>stage_id</t>
        </is>
      </c>
      <c r="F7" s="218" t="n">
        <v>5</v>
      </c>
      <c r="G7" s="218" t="n">
        <v>6</v>
      </c>
      <c r="H7" s="218" t="n">
        <v>102</v>
      </c>
      <c r="I7" s="218" t="inlineStr">
        <is>
          <t>🟢 IN_NORM</t>
        </is>
      </c>
      <c r="J7" s="218" t="inlineStr">
        <is>
          <t>CRM</t>
        </is>
      </c>
    </row>
    <row r="8">
      <c r="A8" s="218" t="inlineStr">
        <is>
          <t>EVT-007</t>
        </is>
      </c>
      <c r="B8" s="218" t="inlineStr">
        <is>
          <t>D-102</t>
        </is>
      </c>
      <c r="C8" s="247" t="n">
        <v>46270.39583333334</v>
      </c>
      <c r="D8" s="218" t="inlineStr">
        <is>
          <t>stage_change</t>
        </is>
      </c>
      <c r="E8" s="218" t="inlineStr">
        <is>
          <t>stage_id</t>
        </is>
      </c>
      <c r="F8" s="218" t="n">
        <v>0</v>
      </c>
      <c r="G8" s="218" t="n">
        <v>1</v>
      </c>
      <c r="H8" s="218" t="n">
        <v>101</v>
      </c>
      <c r="I8" s="218" t="inlineStr">
        <is>
          <t>NONE</t>
        </is>
      </c>
      <c r="J8" s="218" t="inlineStr">
        <is>
          <t>CRM</t>
        </is>
      </c>
    </row>
    <row r="9">
      <c r="A9" s="218" t="inlineStr">
        <is>
          <t>EVT-008</t>
        </is>
      </c>
      <c r="B9" s="218" t="inlineStr">
        <is>
          <t>D-102</t>
        </is>
      </c>
      <c r="C9" s="247" t="n">
        <v>46271.625</v>
      </c>
      <c r="D9" s="218" t="inlineStr">
        <is>
          <t>stage_change</t>
        </is>
      </c>
      <c r="E9" s="218" t="inlineStr">
        <is>
          <t>stage_id</t>
        </is>
      </c>
      <c r="F9" s="218" t="n">
        <v>1</v>
      </c>
      <c r="G9" s="218" t="n">
        <v>2</v>
      </c>
      <c r="H9" s="218" t="n">
        <v>101</v>
      </c>
      <c r="I9" s="218" t="inlineStr">
        <is>
          <t>🟢 IN_NORM</t>
        </is>
      </c>
      <c r="J9" s="218" t="inlineStr">
        <is>
          <t>CRM</t>
        </is>
      </c>
    </row>
    <row r="10">
      <c r="A10" s="218" t="inlineStr">
        <is>
          <t>EVT-009</t>
        </is>
      </c>
      <c r="B10" s="218" t="inlineStr">
        <is>
          <t>D-102</t>
        </is>
      </c>
      <c r="C10" s="247" t="n">
        <v>46273.5</v>
      </c>
      <c r="D10" s="218" t="inlineStr">
        <is>
          <t>stage_change</t>
        </is>
      </c>
      <c r="E10" s="218" t="inlineStr">
        <is>
          <t>stage_id</t>
        </is>
      </c>
      <c r="F10" s="218" t="n">
        <v>2</v>
      </c>
      <c r="G10" s="218" t="n">
        <v>3</v>
      </c>
      <c r="H10" s="218" t="n">
        <v>101</v>
      </c>
      <c r="I10" s="218" t="inlineStr">
        <is>
          <t>🟢 IN_NORM</t>
        </is>
      </c>
      <c r="J10" s="218" t="inlineStr">
        <is>
          <t>CRM</t>
        </is>
      </c>
    </row>
    <row r="11">
      <c r="A11" s="218" t="inlineStr">
        <is>
          <t>EVT-010</t>
        </is>
      </c>
      <c r="B11" s="218" t="inlineStr">
        <is>
          <t>D-102</t>
        </is>
      </c>
      <c r="C11" s="247" t="n">
        <v>46276.75</v>
      </c>
      <c r="D11" s="218" t="inlineStr">
        <is>
          <t>stage_change</t>
        </is>
      </c>
      <c r="E11" s="218" t="inlineStr">
        <is>
          <t>stage_id</t>
        </is>
      </c>
      <c r="F11" s="218" t="n">
        <v>3</v>
      </c>
      <c r="G11" s="218" t="n">
        <v>4</v>
      </c>
      <c r="H11" s="218" t="n">
        <v>101</v>
      </c>
      <c r="I11" s="218" t="inlineStr">
        <is>
          <t>🟢 IN_NORM</t>
        </is>
      </c>
      <c r="J11" s="218" t="inlineStr">
        <is>
          <t>CRM</t>
        </is>
      </c>
    </row>
    <row r="12">
      <c r="A12" s="218" t="inlineStr">
        <is>
          <t>EVT-011</t>
        </is>
      </c>
      <c r="B12" s="218" t="inlineStr">
        <is>
          <t>D-102</t>
        </is>
      </c>
      <c r="C12" s="247" t="n">
        <v>46278.58333333334</v>
      </c>
      <c r="D12" s="218" t="inlineStr">
        <is>
          <t>stage_change</t>
        </is>
      </c>
      <c r="E12" s="218" t="inlineStr">
        <is>
          <t>stage_id</t>
        </is>
      </c>
      <c r="F12" s="218" t="n">
        <v>4</v>
      </c>
      <c r="G12" s="218" t="n">
        <v>5</v>
      </c>
      <c r="H12" s="218" t="n">
        <v>101</v>
      </c>
      <c r="I12" s="218" t="inlineStr">
        <is>
          <t>🟢 IN_NORM</t>
        </is>
      </c>
      <c r="J12" s="218" t="inlineStr">
        <is>
          <t>CRM</t>
        </is>
      </c>
    </row>
    <row r="13">
      <c r="A13" s="218" t="inlineStr">
        <is>
          <t>EVT-012</t>
        </is>
      </c>
      <c r="B13" s="218" t="inlineStr">
        <is>
          <t>D-102</t>
        </is>
      </c>
      <c r="C13" s="247" t="n">
        <v>46281.47916666666</v>
      </c>
      <c r="D13" s="218" t="inlineStr">
        <is>
          <t>stage_change</t>
        </is>
      </c>
      <c r="E13" s="218" t="inlineStr">
        <is>
          <t>stage_id</t>
        </is>
      </c>
      <c r="F13" s="218" t="n">
        <v>5</v>
      </c>
      <c r="G13" s="218" t="n">
        <v>6</v>
      </c>
      <c r="H13" s="218" t="n">
        <v>101</v>
      </c>
      <c r="I13" s="218" t="inlineStr">
        <is>
          <t>🟢 IN_NORM</t>
        </is>
      </c>
      <c r="J13" s="218" t="inlineStr">
        <is>
          <t>CRM</t>
        </is>
      </c>
    </row>
    <row r="14">
      <c r="A14" s="218" t="inlineStr">
        <is>
          <t>EVT-013</t>
        </is>
      </c>
      <c r="B14" s="218" t="inlineStr">
        <is>
          <t>D-103</t>
        </is>
      </c>
      <c r="C14" s="247" t="n">
        <v>46275.41666666666</v>
      </c>
      <c r="D14" s="218" t="inlineStr">
        <is>
          <t>stage_change</t>
        </is>
      </c>
      <c r="E14" s="218" t="inlineStr">
        <is>
          <t>stage_id</t>
        </is>
      </c>
      <c r="F14" s="218" t="n">
        <v>0</v>
      </c>
      <c r="G14" s="218" t="n">
        <v>1</v>
      </c>
      <c r="H14" s="218" t="n">
        <v>102</v>
      </c>
      <c r="I14" s="218" t="inlineStr">
        <is>
          <t>NONE</t>
        </is>
      </c>
      <c r="J14" s="218" t="inlineStr">
        <is>
          <t>CRM</t>
        </is>
      </c>
    </row>
    <row r="15">
      <c r="A15" s="218" t="inlineStr">
        <is>
          <t>EVT-014</t>
        </is>
      </c>
      <c r="B15" s="218" t="inlineStr">
        <is>
          <t>D-104</t>
        </is>
      </c>
      <c r="C15" s="247" t="n">
        <v>46277.45833333334</v>
      </c>
      <c r="D15" s="218" t="inlineStr">
        <is>
          <t>stage_change</t>
        </is>
      </c>
      <c r="E15" s="218" t="inlineStr">
        <is>
          <t>stage_id</t>
        </is>
      </c>
      <c r="F15" s="218" t="n">
        <v>0</v>
      </c>
      <c r="G15" s="218" t="n">
        <v>1</v>
      </c>
      <c r="H15" s="218" t="n">
        <v>101</v>
      </c>
      <c r="I15" s="218" t="inlineStr">
        <is>
          <t>NONE</t>
        </is>
      </c>
      <c r="J15" s="218" t="inlineStr">
        <is>
          <t>CRM</t>
        </is>
      </c>
    </row>
    <row r="16">
      <c r="A16" s="218" t="inlineStr">
        <is>
          <t>EVT-015</t>
        </is>
      </c>
      <c r="B16" s="218" t="inlineStr">
        <is>
          <t>D-105</t>
        </is>
      </c>
      <c r="C16" s="247" t="n">
        <v>46279.58333333334</v>
      </c>
      <c r="D16" s="218" t="inlineStr">
        <is>
          <t>stage_change</t>
        </is>
      </c>
      <c r="E16" s="218" t="inlineStr">
        <is>
          <t>stage_id</t>
        </is>
      </c>
      <c r="F16" s="218" t="n">
        <v>0</v>
      </c>
      <c r="G16" s="218" t="n">
        <v>1</v>
      </c>
      <c r="H16" s="218" t="n">
        <v>103</v>
      </c>
      <c r="I16" s="218" t="inlineStr">
        <is>
          <t>NONE</t>
        </is>
      </c>
      <c r="J16" s="218" t="inlineStr">
        <is>
          <t>CRM</t>
        </is>
      </c>
    </row>
    <row r="17">
      <c r="A17" s="218" t="inlineStr">
        <is>
          <t>EVT-016</t>
        </is>
      </c>
      <c r="B17" s="218" t="inlineStr">
        <is>
          <t>D-106</t>
        </is>
      </c>
      <c r="C17" s="247" t="n">
        <v>46287.375</v>
      </c>
      <c r="D17" s="218" t="inlineStr">
        <is>
          <t>stage_change</t>
        </is>
      </c>
      <c r="E17" s="218" t="inlineStr">
        <is>
          <t>stage_id</t>
        </is>
      </c>
      <c r="F17" s="218" t="n">
        <v>0</v>
      </c>
      <c r="G17" s="218" t="n">
        <v>1</v>
      </c>
      <c r="H17" s="218" t="n">
        <v>102</v>
      </c>
      <c r="I17" s="218" t="inlineStr">
        <is>
          <t>NONE</t>
        </is>
      </c>
      <c r="J17" s="218" t="inlineStr">
        <is>
          <t>CRM</t>
        </is>
      </c>
    </row>
    <row r="18">
      <c r="A18" s="218" t="inlineStr">
        <is>
          <t>EVT-017</t>
        </is>
      </c>
      <c r="B18" s="218" t="inlineStr">
        <is>
          <t>D-107</t>
        </is>
      </c>
      <c r="C18" s="247" t="n">
        <v>46289.66666666666</v>
      </c>
      <c r="D18" s="218" t="inlineStr">
        <is>
          <t>stage_change</t>
        </is>
      </c>
      <c r="E18" s="218" t="inlineStr">
        <is>
          <t>stage_id</t>
        </is>
      </c>
      <c r="F18" s="218" t="n">
        <v>0</v>
      </c>
      <c r="G18" s="218" t="n">
        <v>1</v>
      </c>
      <c r="H18" s="218" t="n">
        <v>103</v>
      </c>
      <c r="I18" s="218" t="inlineStr">
        <is>
          <t>NONE</t>
        </is>
      </c>
      <c r="J18" s="218" t="inlineStr">
        <is>
          <t>CRM</t>
        </is>
      </c>
    </row>
    <row r="19">
      <c r="A19" s="218" t="inlineStr">
        <is>
          <t>EVT-018</t>
        </is>
      </c>
      <c r="B19" s="218" t="inlineStr">
        <is>
          <t>D-108</t>
        </is>
      </c>
      <c r="C19" s="247" t="n">
        <v>46291.5</v>
      </c>
      <c r="D19" s="218" t="inlineStr">
        <is>
          <t>stage_change</t>
        </is>
      </c>
      <c r="E19" s="218" t="inlineStr">
        <is>
          <t>stage_id</t>
        </is>
      </c>
      <c r="F19" s="218" t="n">
        <v>0</v>
      </c>
      <c r="G19" s="218" t="n">
        <v>1</v>
      </c>
      <c r="H19" s="218" t="n">
        <v>103</v>
      </c>
      <c r="I19" s="218" t="inlineStr">
        <is>
          <t>NONE</t>
        </is>
      </c>
      <c r="J19" s="218" t="inlineStr">
        <is>
          <t>CRM</t>
        </is>
      </c>
    </row>
    <row r="20">
      <c r="A20" s="218" t="inlineStr">
        <is>
          <t>EVT-019</t>
        </is>
      </c>
      <c r="B20" s="218" t="inlineStr">
        <is>
          <t>D-109</t>
        </is>
      </c>
      <c r="C20" s="247" t="n">
        <v>46273.41666666666</v>
      </c>
      <c r="D20" s="218" t="inlineStr">
        <is>
          <t>stage_change</t>
        </is>
      </c>
      <c r="E20" s="218" t="inlineStr">
        <is>
          <t>stage_id</t>
        </is>
      </c>
      <c r="F20" s="218" t="n">
        <v>0</v>
      </c>
      <c r="G20" s="218" t="n">
        <v>1</v>
      </c>
      <c r="H20" s="218" t="n">
        <v>102</v>
      </c>
      <c r="I20" s="218" t="inlineStr">
        <is>
          <t>NONE</t>
        </is>
      </c>
      <c r="J20" s="218" t="inlineStr">
        <is>
          <t>CRM</t>
        </is>
      </c>
    </row>
    <row r="21">
      <c r="A21" s="218" t="inlineStr">
        <is>
          <t>EVT-020</t>
        </is>
      </c>
      <c r="B21" s="218" t="inlineStr">
        <is>
          <t>D-110</t>
        </is>
      </c>
      <c r="C21" s="247" t="n">
        <v>46275.625</v>
      </c>
      <c r="D21" s="218" t="inlineStr">
        <is>
          <t>stage_change</t>
        </is>
      </c>
      <c r="E21" s="218" t="inlineStr">
        <is>
          <t>stage_id</t>
        </is>
      </c>
      <c r="F21" s="218" t="n">
        <v>0</v>
      </c>
      <c r="G21" s="218" t="n">
        <v>1</v>
      </c>
      <c r="H21" s="218" t="n">
        <v>101</v>
      </c>
      <c r="I21" s="218" t="inlineStr">
        <is>
          <t>NONE</t>
        </is>
      </c>
      <c r="J21" s="218" t="inlineStr">
        <is>
          <t>CRM</t>
        </is>
      </c>
    </row>
    <row r="22">
      <c r="A22" s="218" t="inlineStr">
        <is>
          <t>EVT-021</t>
        </is>
      </c>
      <c r="B22" s="218" t="inlineStr">
        <is>
          <t>D-099</t>
        </is>
      </c>
      <c r="C22" s="247" t="n">
        <v>46266.375</v>
      </c>
      <c r="D22" s="218" t="inlineStr">
        <is>
          <t>stage_change</t>
        </is>
      </c>
      <c r="E22" s="218" t="inlineStr">
        <is>
          <t>stage_id</t>
        </is>
      </c>
      <c r="F22" s="218" t="n">
        <v>0</v>
      </c>
      <c r="G22" s="218" t="n">
        <v>1</v>
      </c>
      <c r="H22" s="218" t="n">
        <v>101</v>
      </c>
      <c r="I22" s="218" t="inlineStr">
        <is>
          <t>NONE</t>
        </is>
      </c>
      <c r="J22" s="218" t="inlineStr">
        <is>
          <t>CRM</t>
        </is>
      </c>
    </row>
    <row r="23">
      <c r="A23" s="218" t="inlineStr">
        <is>
          <t>EVT-022</t>
        </is>
      </c>
      <c r="B23" s="218" t="inlineStr">
        <is>
          <t>D-105</t>
        </is>
      </c>
      <c r="C23" s="247" t="n">
        <v>46294.96875</v>
      </c>
      <c r="D23" s="218" t="inlineStr">
        <is>
          <t>MANAGER_REASSIGN</t>
        </is>
      </c>
      <c r="E23" s="218" t="inlineStr">
        <is>
          <t>manager_id</t>
        </is>
      </c>
      <c r="F23" s="218" t="n">
        <v>101</v>
      </c>
      <c r="G23" s="218" t="n">
        <v>102</v>
      </c>
      <c r="H23" s="218" t="n">
        <v>102</v>
      </c>
      <c r="I23" s="218" t="inlineStr">
        <is>
          <t>OPTIMIZED</t>
        </is>
      </c>
      <c r="J23" s="218" t="inlineStr">
        <is>
          <t>RevOps Capacity Engine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0" summaryRight="0"/>
    <pageSetUpPr/>
  </sheetPr>
  <dimension ref="A1:H40"/>
  <sheetViews>
    <sheetView workbookViewId="0">
      <selection activeCell="A1" sqref="A1"/>
    </sheetView>
  </sheetViews>
  <sheetFormatPr baseColWidth="8" defaultColWidth="12.63" defaultRowHeight="15.75" customHeight="1"/>
  <cols>
    <col width="15.13" customWidth="1" style="461" min="1" max="2"/>
    <col width="22.63" customWidth="1" style="461" min="3" max="4"/>
    <col width="17.63" customWidth="1" style="461" min="5" max="8"/>
    <col width="18.88" customWidth="1" style="461" min="9" max="9"/>
  </cols>
  <sheetData>
    <row r="1">
      <c r="A1" s="218" t="inlineStr">
        <is>
          <t>deal_id</t>
        </is>
      </c>
      <c r="B1" s="218" t="inlineStr">
        <is>
          <t>stage_id</t>
        </is>
      </c>
      <c r="C1" s="218" t="inlineStr">
        <is>
          <t>entered_at</t>
        </is>
      </c>
      <c r="D1" s="218" t="inlineStr">
        <is>
          <t>exited_at</t>
        </is>
      </c>
      <c r="E1" s="218" t="inlineStr">
        <is>
          <t>hours_in_stage</t>
        </is>
      </c>
      <c r="F1" s="218" t="inlineStr">
        <is>
          <t>sla_norm_hours</t>
        </is>
      </c>
      <c r="G1" s="218" t="inlineStr">
        <is>
          <t>sla_status</t>
        </is>
      </c>
      <c r="H1" s="218" t="inlineStr">
        <is>
          <t>transferred_by</t>
        </is>
      </c>
    </row>
    <row r="2">
      <c r="A2" s="218" t="inlineStr">
        <is>
          <t>D-101</t>
        </is>
      </c>
      <c r="B2" s="218" t="n">
        <v>1</v>
      </c>
      <c r="C2" s="247" t="n">
        <v>46267.41666666666</v>
      </c>
      <c r="D2" s="247" t="n">
        <v>46268.41666666666</v>
      </c>
      <c r="E2" s="218">
        <f>(D2-C2)*24</f>
        <v/>
      </c>
      <c r="F2" s="218">
        <f>VLOOKUP(B2, '⚙️ Настройки'!$A$12:$D$18, 3, FALSE)</f>
        <v/>
      </c>
      <c r="G2" s="218">
        <f>IF(E2&lt;=F2, "🟢 В НОРМЕ", "🔴 СРЫВ")</f>
        <v/>
      </c>
      <c r="H2" s="218" t="n">
        <v>102</v>
      </c>
    </row>
    <row r="3">
      <c r="A3" s="218" t="inlineStr">
        <is>
          <t>D-101</t>
        </is>
      </c>
      <c r="B3" s="218" t="n">
        <v>2</v>
      </c>
      <c r="C3" s="247" t="n">
        <v>46268.41666666666</v>
      </c>
      <c r="D3" s="247" t="n">
        <v>46270.41666666666</v>
      </c>
      <c r="E3" s="218">
        <f>(D3-C3)*24</f>
        <v/>
      </c>
      <c r="F3" s="218">
        <f>VLOOKUP(B3, '⚙️ Настройки'!$A$12:$D$18, 3, FALSE)</f>
        <v/>
      </c>
      <c r="G3" s="218">
        <f>IF(E3&lt;=F3, "🟢 В НОРМЕ", "🔴 СРЫВ")</f>
        <v/>
      </c>
      <c r="H3" s="218" t="n">
        <v>102</v>
      </c>
    </row>
    <row r="4">
      <c r="A4" s="218" t="inlineStr">
        <is>
          <t>D-101</t>
        </is>
      </c>
      <c r="B4" s="218" t="n">
        <v>3</v>
      </c>
      <c r="C4" s="247" t="n">
        <v>46270.41666666666</v>
      </c>
      <c r="D4" s="247" t="n">
        <v>46273.41666666666</v>
      </c>
      <c r="E4" s="218">
        <f>(D4-C4)*24</f>
        <v/>
      </c>
      <c r="F4" s="218">
        <f>VLOOKUP(B4, '⚙️ Настройки'!$A$12:$D$18, 3, FALSE)</f>
        <v/>
      </c>
      <c r="G4" s="218">
        <f>IF(E4&lt;=F4, "🟢 В НОРМЕ", "🔴 СРЫВ")</f>
        <v/>
      </c>
      <c r="H4" s="218" t="n">
        <v>102</v>
      </c>
    </row>
    <row r="5">
      <c r="A5" s="218" t="inlineStr">
        <is>
          <t>D-101</t>
        </is>
      </c>
      <c r="B5" s="218" t="n">
        <v>4</v>
      </c>
      <c r="C5" s="247" t="n">
        <v>46273.41666666666</v>
      </c>
      <c r="D5" s="247" t="n">
        <v>46275.41666666666</v>
      </c>
      <c r="E5" s="218">
        <f>(D5-C5)*24</f>
        <v/>
      </c>
      <c r="F5" s="218">
        <f>VLOOKUP(B5, '⚙️ Настройки'!$A$12:$D$18, 3, FALSE)</f>
        <v/>
      </c>
      <c r="G5" s="218">
        <f>IF(E5&lt;=F5, "🟢 В НОРМЕ", "🔴 СРЫВ")</f>
        <v/>
      </c>
      <c r="H5" s="218" t="n">
        <v>102</v>
      </c>
    </row>
    <row r="6">
      <c r="A6" s="218" t="inlineStr">
        <is>
          <t>D-101</t>
        </is>
      </c>
      <c r="B6" s="218" t="n">
        <v>5</v>
      </c>
      <c r="C6" s="247" t="n">
        <v>46275.41666666666</v>
      </c>
      <c r="D6" s="247" t="n">
        <v>46277.41666666666</v>
      </c>
      <c r="E6" s="218">
        <f>(D6-C6)*24</f>
        <v/>
      </c>
      <c r="F6" s="218">
        <f>VLOOKUP(B6, '⚙️ Настройки'!$A$12:$D$18, 3, FALSE)</f>
        <v/>
      </c>
      <c r="G6" s="218">
        <f>IF(E6&lt;=F6, "🟢 В НОРМЕ", "🔴 СРЫВ")</f>
        <v/>
      </c>
      <c r="H6" s="218" t="n">
        <v>102</v>
      </c>
    </row>
    <row r="7">
      <c r="A7" s="218" t="inlineStr">
        <is>
          <t>D-101</t>
        </is>
      </c>
      <c r="B7" s="218" t="n">
        <v>6</v>
      </c>
      <c r="C7" s="247" t="n">
        <v>46277.41666666666</v>
      </c>
      <c r="D7" s="247" t="n">
        <v>46277.41666666666</v>
      </c>
      <c r="E7" s="218">
        <f>(D7-C7)*24</f>
        <v/>
      </c>
      <c r="F7" s="218">
        <f>VLOOKUP(B7, '⚙️ Настройки'!$A$12:$D$18, 3, FALSE)</f>
        <v/>
      </c>
      <c r="G7" s="218">
        <f>IF(E7&lt;=F7, "🟢 В НОРМЕ", "🔴 СРЫВ")</f>
        <v/>
      </c>
      <c r="H7" s="218" t="n">
        <v>102</v>
      </c>
    </row>
    <row r="8">
      <c r="A8" s="218" t="inlineStr">
        <is>
          <t>D-102</t>
        </is>
      </c>
      <c r="B8" s="218" t="n">
        <v>1</v>
      </c>
      <c r="C8" s="247" t="n">
        <v>46270.375</v>
      </c>
      <c r="D8" s="247" t="n">
        <v>46271.375</v>
      </c>
      <c r="E8" s="218">
        <f>(D8-C8)*24</f>
        <v/>
      </c>
      <c r="F8" s="218">
        <f>VLOOKUP(B8, '⚙️ Настройки'!$A$12:$D$18, 3, FALSE)</f>
        <v/>
      </c>
      <c r="G8" s="218">
        <f>IF(E8&lt;=F8, "🟢 В НОРМЕ", "🔴 СРЫВ")</f>
        <v/>
      </c>
      <c r="H8" s="218" t="n">
        <v>101</v>
      </c>
    </row>
    <row r="9">
      <c r="A9" s="218" t="inlineStr">
        <is>
          <t>D-102</t>
        </is>
      </c>
      <c r="B9" s="218" t="n">
        <v>2</v>
      </c>
      <c r="C9" s="247" t="n">
        <v>46271.375</v>
      </c>
      <c r="D9" s="247" t="n">
        <v>46273.375</v>
      </c>
      <c r="E9" s="218">
        <f>(D9-C9)*24</f>
        <v/>
      </c>
      <c r="F9" s="218">
        <f>VLOOKUP(B9, '⚙️ Настройки'!$A$12:$D$18, 3, FALSE)</f>
        <v/>
      </c>
      <c r="G9" s="218">
        <f>IF(E9&lt;=F9, "🟢 В НОРМЕ", "🔴 СРЫВ")</f>
        <v/>
      </c>
      <c r="H9" s="218" t="n">
        <v>101</v>
      </c>
    </row>
    <row r="10">
      <c r="A10" s="218" t="inlineStr">
        <is>
          <t>D-102</t>
        </is>
      </c>
      <c r="B10" s="218" t="n">
        <v>3</v>
      </c>
      <c r="C10" s="247" t="n">
        <v>46273.375</v>
      </c>
      <c r="D10" s="247" t="n">
        <v>46276.375</v>
      </c>
      <c r="E10" s="218">
        <f>(D10-C10)*24</f>
        <v/>
      </c>
      <c r="F10" s="218">
        <f>VLOOKUP(B10, '⚙️ Настройки'!$A$12:$D$18, 3, FALSE)</f>
        <v/>
      </c>
      <c r="G10" s="218">
        <f>IF(E10&lt;=F10, "🟢 В НОРМЕ", "🔴 СРЫВ")</f>
        <v/>
      </c>
      <c r="H10" s="218" t="n">
        <v>101</v>
      </c>
    </row>
    <row r="11">
      <c r="A11" s="218" t="inlineStr">
        <is>
          <t>D-102</t>
        </is>
      </c>
      <c r="B11" s="218" t="n">
        <v>4</v>
      </c>
      <c r="C11" s="247" t="n">
        <v>46276.375</v>
      </c>
      <c r="D11" s="247" t="n">
        <v>46278.375</v>
      </c>
      <c r="E11" s="218">
        <f>(D11-C11)*24</f>
        <v/>
      </c>
      <c r="F11" s="218">
        <f>VLOOKUP(B11, '⚙️ Настройки'!$A$12:$D$18, 3, FALSE)</f>
        <v/>
      </c>
      <c r="G11" s="218">
        <f>IF(E11&lt;=F11, "🟢 В НОРМЕ", "🔴 СРЫВ")</f>
        <v/>
      </c>
      <c r="H11" s="218" t="n">
        <v>101</v>
      </c>
    </row>
    <row r="12">
      <c r="A12" s="218" t="inlineStr">
        <is>
          <t>D-102</t>
        </is>
      </c>
      <c r="B12" s="218" t="n">
        <v>5</v>
      </c>
      <c r="C12" s="247" t="n">
        <v>46278.375</v>
      </c>
      <c r="D12" s="247" t="n">
        <v>46281.375</v>
      </c>
      <c r="E12" s="218">
        <f>(D12-C12)*24</f>
        <v/>
      </c>
      <c r="F12" s="218">
        <f>VLOOKUP(B12, '⚙️ Настройки'!$A$12:$D$18, 3, FALSE)</f>
        <v/>
      </c>
      <c r="G12" s="218">
        <f>IF(E12&lt;=F12, "🟢 В НОРМЕ", "🔴 СРЫВ")</f>
        <v/>
      </c>
      <c r="H12" s="218" t="n">
        <v>101</v>
      </c>
    </row>
    <row r="13">
      <c r="A13" s="218" t="inlineStr">
        <is>
          <t>D-102</t>
        </is>
      </c>
      <c r="B13" s="218" t="n">
        <v>6</v>
      </c>
      <c r="C13" s="247" t="n">
        <v>46281.375</v>
      </c>
      <c r="D13" s="247" t="n">
        <v>46281.375</v>
      </c>
      <c r="E13" s="218">
        <f>(D13-C13)*24</f>
        <v/>
      </c>
      <c r="F13" s="218">
        <f>VLOOKUP(B13, '⚙️ Настройки'!$A$12:$D$18, 3, FALSE)</f>
        <v/>
      </c>
      <c r="G13" s="218">
        <f>IF(E13&lt;=F13, "🟢 В НОРМЕ", "🔴 СРЫВ")</f>
        <v/>
      </c>
      <c r="H13" s="218" t="n">
        <v>101</v>
      </c>
    </row>
    <row r="14">
      <c r="A14" s="218" t="inlineStr">
        <is>
          <t>D-103</t>
        </is>
      </c>
      <c r="B14" s="218" t="n">
        <v>1</v>
      </c>
      <c r="C14" s="247" t="n">
        <v>46275.41666666666</v>
      </c>
      <c r="D14" s="247" t="n">
        <v>46276.41666666666</v>
      </c>
      <c r="E14" s="218">
        <f>(D14-C14)*24</f>
        <v/>
      </c>
      <c r="F14" s="218">
        <f>VLOOKUP(B14, '⚙️ Настройки'!$A$12:$D$18, 3, FALSE)</f>
        <v/>
      </c>
      <c r="G14" s="218">
        <f>IF(E14&lt;=F14, "🟢 В НОРМЕ", "🔴 СРЫВ")</f>
        <v/>
      </c>
      <c r="H14" s="218" t="n">
        <v>102</v>
      </c>
    </row>
    <row r="15">
      <c r="A15" s="218" t="inlineStr">
        <is>
          <t>D-103</t>
        </is>
      </c>
      <c r="B15" s="218" t="n">
        <v>2</v>
      </c>
      <c r="C15" s="247" t="n">
        <v>46276.41666666666</v>
      </c>
      <c r="D15" s="247" t="n">
        <v>46278.41666666666</v>
      </c>
      <c r="E15" s="218">
        <f>(D15-C15)*24</f>
        <v/>
      </c>
      <c r="F15" s="218">
        <f>VLOOKUP(B15, '⚙️ Настройки'!$A$12:$D$18, 3, FALSE)</f>
        <v/>
      </c>
      <c r="G15" s="218">
        <f>IF(E15&lt;=F15, "🟢 В НОРМЕ", "🔴 СРЫВ")</f>
        <v/>
      </c>
      <c r="H15" s="218" t="n">
        <v>102</v>
      </c>
    </row>
    <row r="16">
      <c r="A16" s="218" t="inlineStr">
        <is>
          <t>D-103</t>
        </is>
      </c>
      <c r="B16" s="218" t="n">
        <v>4</v>
      </c>
      <c r="C16" s="247" t="n">
        <v>46278.41666666666</v>
      </c>
      <c r="D16" s="247" t="n">
        <v>46280.41666666666</v>
      </c>
      <c r="E16" s="218">
        <f>(D16-C16)*24</f>
        <v/>
      </c>
      <c r="F16" s="218">
        <f>VLOOKUP(B16, '⚙️ Настройки'!$A$12:$D$18, 3, FALSE)</f>
        <v/>
      </c>
      <c r="G16" s="218">
        <f>IF(E16&lt;=F16, "🟢 В НОРМЕ", "🔴 СРЫВ")</f>
        <v/>
      </c>
      <c r="H16" s="218" t="n">
        <v>102</v>
      </c>
    </row>
    <row r="17">
      <c r="A17" s="218" t="inlineStr">
        <is>
          <t>D-103</t>
        </is>
      </c>
      <c r="B17" s="218" t="n">
        <v>5</v>
      </c>
      <c r="C17" s="247" t="n">
        <v>46280.41666666666</v>
      </c>
      <c r="D17" s="247" t="n">
        <v>46285.41666666666</v>
      </c>
      <c r="E17" s="218">
        <f>(D17-C17)*24</f>
        <v/>
      </c>
      <c r="F17" s="218">
        <f>VLOOKUP(B17, '⚙️ Настройки'!$A$12:$D$18, 3, FALSE)</f>
        <v/>
      </c>
      <c r="G17" s="218">
        <f>IF(E17&lt;=F17, "🟢 В НОРМЕ", "🔴 СРЫВ")</f>
        <v/>
      </c>
      <c r="H17" s="218" t="n">
        <v>102</v>
      </c>
    </row>
    <row r="18">
      <c r="A18" s="218" t="inlineStr">
        <is>
          <t>D-104</t>
        </is>
      </c>
      <c r="B18" s="218" t="n">
        <v>1</v>
      </c>
      <c r="C18" s="247" t="n">
        <v>46277.45833333334</v>
      </c>
      <c r="D18" s="247" t="n">
        <v>46278.45833333334</v>
      </c>
      <c r="E18" s="218">
        <f>(D18-C18)*24</f>
        <v/>
      </c>
      <c r="F18" s="218">
        <f>VLOOKUP(B18, '⚙️ Настройки'!$A$12:$D$18, 3, FALSE)</f>
        <v/>
      </c>
      <c r="G18" s="218">
        <f>IF(E18&lt;=F18, "🟢 В НОРМЕ", "🔴 СРЫВ")</f>
        <v/>
      </c>
      <c r="H18" s="218" t="n">
        <v>101</v>
      </c>
    </row>
    <row r="19">
      <c r="A19" s="218" t="inlineStr">
        <is>
          <t>D-104</t>
        </is>
      </c>
      <c r="B19" s="218" t="n">
        <v>2</v>
      </c>
      <c r="C19" s="247" t="n">
        <v>46278.45833333334</v>
      </c>
      <c r="D19" s="247" t="n">
        <v>46280.45833333334</v>
      </c>
      <c r="E19" s="218">
        <f>(D19-C19)*24</f>
        <v/>
      </c>
      <c r="F19" s="218">
        <f>VLOOKUP(B19, '⚙️ Настройки'!$A$12:$D$18, 3, FALSE)</f>
        <v/>
      </c>
      <c r="G19" s="218">
        <f>IF(E19&lt;=F19, "🟢 В НОРМЕ", "🔴 СРЫВ")</f>
        <v/>
      </c>
      <c r="H19" s="218" t="n">
        <v>101</v>
      </c>
    </row>
    <row r="20">
      <c r="A20" s="218" t="inlineStr">
        <is>
          <t>D-104</t>
        </is>
      </c>
      <c r="B20" s="218" t="n">
        <v>3</v>
      </c>
      <c r="C20" s="247" t="n">
        <v>46280.45833333334</v>
      </c>
      <c r="D20" s="247" t="n">
        <v>46283.45833333334</v>
      </c>
      <c r="E20" s="218">
        <f>(D20-C20)*24</f>
        <v/>
      </c>
      <c r="F20" s="218">
        <f>VLOOKUP(B20, '⚙️ Настройки'!$A$12:$D$18, 3, FALSE)</f>
        <v/>
      </c>
      <c r="G20" s="218">
        <f>IF(E20&lt;=F20, "🟢 В НОРМЕ", "🔴 СРЫВ")</f>
        <v/>
      </c>
      <c r="H20" s="218" t="n">
        <v>101</v>
      </c>
    </row>
    <row r="21">
      <c r="A21" s="218" t="inlineStr">
        <is>
          <t>D-104</t>
        </is>
      </c>
      <c r="B21" s="218" t="n">
        <v>4</v>
      </c>
      <c r="C21" s="247" t="n">
        <v>46283.45833333334</v>
      </c>
      <c r="D21" s="247" t="n">
        <v>46289.45833333334</v>
      </c>
      <c r="E21" s="218">
        <f>(D21-C21)*24</f>
        <v/>
      </c>
      <c r="F21" s="218">
        <f>VLOOKUP(B21, '⚙️ Настройки'!$A$12:$D$18, 3, FALSE)</f>
        <v/>
      </c>
      <c r="G21" s="218">
        <f>IF(E21&lt;=F21, "🟢 В НОРМЕ", "🔴 СРЫВ")</f>
        <v/>
      </c>
      <c r="H21" s="218" t="n">
        <v>101</v>
      </c>
    </row>
    <row r="22">
      <c r="A22" s="218" t="inlineStr">
        <is>
          <t>D-105</t>
        </is>
      </c>
      <c r="B22" s="218" t="n">
        <v>1</v>
      </c>
      <c r="C22" s="247" t="n">
        <v>46279.58333333334</v>
      </c>
      <c r="D22" s="247" t="n">
        <v>46280.58333333334</v>
      </c>
      <c r="E22" s="218">
        <f>(D22-C22)*24</f>
        <v/>
      </c>
      <c r="F22" s="218">
        <f>VLOOKUP(B22, '⚙️ Настройки'!$A$12:$D$18, 3, FALSE)</f>
        <v/>
      </c>
      <c r="G22" s="218">
        <f>IF(E22&lt;=F22, "🟢 В НОРМЕ", "🔴 СРЫВ")</f>
        <v/>
      </c>
      <c r="H22" s="218" t="n">
        <v>103</v>
      </c>
    </row>
    <row r="23">
      <c r="A23" s="218" t="inlineStr">
        <is>
          <t>D-105</t>
        </is>
      </c>
      <c r="B23" s="218" t="n">
        <v>2</v>
      </c>
      <c r="C23" s="247" t="n">
        <v>46280.58333333334</v>
      </c>
      <c r="D23" s="247" t="n">
        <v>46282.58333333334</v>
      </c>
      <c r="E23" s="218">
        <f>(D23-C23)*24</f>
        <v/>
      </c>
      <c r="F23" s="218">
        <f>VLOOKUP(B23, '⚙️ Настройки'!$A$12:$D$18, 3, FALSE)</f>
        <v/>
      </c>
      <c r="G23" s="218">
        <f>IF(E23&lt;=F23, "🟢 В НОРМЕ", "🔴 СРЫВ")</f>
        <v/>
      </c>
      <c r="H23" s="218" t="n">
        <v>103</v>
      </c>
    </row>
    <row r="24">
      <c r="A24" s="218" t="inlineStr">
        <is>
          <t>D-105</t>
        </is>
      </c>
      <c r="B24" s="218" t="n">
        <v>3</v>
      </c>
      <c r="C24" s="247" t="n">
        <v>46282.58333333334</v>
      </c>
      <c r="D24" s="247" t="n">
        <v>46285.58333333334</v>
      </c>
      <c r="E24" s="218">
        <f>(D24-C24)*24</f>
        <v/>
      </c>
      <c r="F24" s="218">
        <f>VLOOKUP(B24, '⚙️ Настройки'!$A$12:$D$18, 3, FALSE)</f>
        <v/>
      </c>
      <c r="G24" s="218">
        <f>IF(E24&lt;=F24, "🟢 В НОРМЕ", "🔴 СРЫВ")</f>
        <v/>
      </c>
      <c r="H24" s="218" t="n">
        <v>103</v>
      </c>
    </row>
    <row r="25">
      <c r="A25" s="218" t="inlineStr">
        <is>
          <t>D-105</t>
        </is>
      </c>
      <c r="B25" s="218" t="n">
        <v>4</v>
      </c>
      <c r="C25" s="247" t="n">
        <v>46285.58333333334</v>
      </c>
      <c r="D25" s="247" t="n">
        <v>46290.58333333334</v>
      </c>
      <c r="E25" s="218">
        <f>(D25-C25)*24</f>
        <v/>
      </c>
      <c r="F25" s="218">
        <f>VLOOKUP(B25, '⚙️ Настройки'!$A$12:$D$18, 3, FALSE)</f>
        <v/>
      </c>
      <c r="G25" s="218">
        <f>IF(E25&lt;=F25, "🟢 В НОРМЕ", "🔴 СРЫВ")</f>
        <v/>
      </c>
      <c r="H25" s="218" t="n">
        <v>103</v>
      </c>
    </row>
    <row r="26">
      <c r="A26" s="218" t="inlineStr">
        <is>
          <t>D-106</t>
        </is>
      </c>
      <c r="B26" s="218" t="n">
        <v>1</v>
      </c>
      <c r="C26" s="247" t="n">
        <v>46287.375</v>
      </c>
      <c r="D26" s="247" t="n">
        <v>46288.375</v>
      </c>
      <c r="E26" s="218">
        <f>(D26-C26)*24</f>
        <v/>
      </c>
      <c r="F26" s="218">
        <f>VLOOKUP(B26, '⚙️ Настройки'!$A$12:$D$18, 3, FALSE)</f>
        <v/>
      </c>
      <c r="G26" s="218">
        <f>IF(E26&lt;=F26, "🟢 В НОРМЕ", "🔴 СРЫВ")</f>
        <v/>
      </c>
      <c r="H26" s="218" t="n">
        <v>102</v>
      </c>
    </row>
    <row r="27">
      <c r="A27" s="218" t="inlineStr">
        <is>
          <t>D-106</t>
        </is>
      </c>
      <c r="B27" s="218" t="n">
        <v>2</v>
      </c>
      <c r="C27" s="247" t="n">
        <v>46288.375</v>
      </c>
      <c r="D27" s="247" t="n">
        <v>46290.375</v>
      </c>
      <c r="E27" s="218">
        <f>(D27-C27)*24</f>
        <v/>
      </c>
      <c r="F27" s="218">
        <f>VLOOKUP(B27, '⚙️ Настройки'!$A$12:$D$18, 3, FALSE)</f>
        <v/>
      </c>
      <c r="G27" s="218">
        <f>IF(E27&lt;=F27, "🟢 В НОРМЕ", "🔴 СРЫВ")</f>
        <v/>
      </c>
      <c r="H27" s="218" t="n">
        <v>102</v>
      </c>
    </row>
    <row r="28">
      <c r="A28" s="218" t="inlineStr">
        <is>
          <t>D-106</t>
        </is>
      </c>
      <c r="B28" s="218" t="n">
        <v>3</v>
      </c>
      <c r="C28" s="247" t="n">
        <v>46290.375</v>
      </c>
      <c r="D28" s="247" t="n">
        <v>46291.375</v>
      </c>
      <c r="E28" s="218">
        <f>(D28-C28)*24</f>
        <v/>
      </c>
      <c r="F28" s="218">
        <f>VLOOKUP(B28, '⚙️ Настройки'!$A$12:$D$18, 3, FALSE)</f>
        <v/>
      </c>
      <c r="G28" s="218">
        <f>IF(E28&lt;=F28, "🟢 В НОРМЕ", "🔴 СРЫВ")</f>
        <v/>
      </c>
      <c r="H28" s="218" t="n">
        <v>102</v>
      </c>
    </row>
    <row r="29">
      <c r="A29" s="218" t="inlineStr">
        <is>
          <t>D-107</t>
        </is>
      </c>
      <c r="B29" s="218" t="n">
        <v>1</v>
      </c>
      <c r="C29" s="247" t="n">
        <v>46289.66666666666</v>
      </c>
      <c r="D29" s="247" t="n">
        <v>46290.66666666666</v>
      </c>
      <c r="E29" s="218">
        <f>(D29-C29)*24</f>
        <v/>
      </c>
      <c r="F29" s="218">
        <f>VLOOKUP(B29, '⚙️ Настройки'!$A$12:$D$18, 3, FALSE)</f>
        <v/>
      </c>
      <c r="G29" s="218">
        <f>IF(E29&lt;=F29, "🟢 В НОРМЕ", "🔴 СРЫВ")</f>
        <v/>
      </c>
      <c r="H29" s="218" t="n">
        <v>103</v>
      </c>
    </row>
    <row r="30">
      <c r="A30" s="218" t="inlineStr">
        <is>
          <t>D-107</t>
        </is>
      </c>
      <c r="B30" s="218" t="n">
        <v>2</v>
      </c>
      <c r="C30" s="247" t="n">
        <v>46290.66666666666</v>
      </c>
      <c r="D30" s="247" t="n">
        <v>46292.66666666666</v>
      </c>
      <c r="E30" s="218">
        <f>(D30-C30)*24</f>
        <v/>
      </c>
      <c r="F30" s="218">
        <f>VLOOKUP(B30, '⚙️ Настройки'!$A$12:$D$18, 3, FALSE)</f>
        <v/>
      </c>
      <c r="G30" s="218">
        <f>IF(E30&lt;=F30, "🟢 В НОРМЕ", "🔴 СРЫВ")</f>
        <v/>
      </c>
      <c r="H30" s="218" t="n">
        <v>103</v>
      </c>
    </row>
    <row r="31">
      <c r="A31" s="218" t="inlineStr">
        <is>
          <t>D-108</t>
        </is>
      </c>
      <c r="B31" s="218" t="n">
        <v>1</v>
      </c>
      <c r="C31" s="247" t="n">
        <v>46291.5</v>
      </c>
      <c r="D31" s="247" t="n">
        <v>46292.5</v>
      </c>
      <c r="E31" s="218">
        <f>(D31-C31)*24</f>
        <v/>
      </c>
      <c r="F31" s="218">
        <f>VLOOKUP(B31, '⚙️ Настройки'!$A$12:$D$18, 3, FALSE)</f>
        <v/>
      </c>
      <c r="G31" s="218">
        <f>IF(E31&lt;=F31, "🟢 В НОРМЕ", "🔴 СРЫВ")</f>
        <v/>
      </c>
      <c r="H31" s="218" t="n">
        <v>103</v>
      </c>
    </row>
    <row r="32">
      <c r="A32" s="218" t="inlineStr">
        <is>
          <t>D-109</t>
        </is>
      </c>
      <c r="B32" s="218" t="n">
        <v>1</v>
      </c>
      <c r="C32" s="247" t="n">
        <v>46273.41666666666</v>
      </c>
      <c r="D32" s="247" t="n">
        <v>46274.41666666666</v>
      </c>
      <c r="E32" s="218">
        <f>(D32-C32)*24</f>
        <v/>
      </c>
      <c r="F32" s="218">
        <f>VLOOKUP(B32, '⚙️ Настройки'!$A$12:$D$18, 3, FALSE)</f>
        <v/>
      </c>
      <c r="G32" s="218">
        <f>IF(E32&lt;=F32, "🟢 В НОРМЕ", "🔴 СРЫВ")</f>
        <v/>
      </c>
      <c r="H32" s="218" t="n">
        <v>102</v>
      </c>
    </row>
    <row r="33">
      <c r="A33" s="218" t="inlineStr">
        <is>
          <t>D-109</t>
        </is>
      </c>
      <c r="B33" s="218" t="n">
        <v>7</v>
      </c>
      <c r="C33" s="247" t="n">
        <v>46274.41666666666</v>
      </c>
      <c r="D33" s="247" t="n">
        <v>46279.41666666666</v>
      </c>
      <c r="E33" s="218">
        <f>(D33-C33)*24</f>
        <v/>
      </c>
      <c r="F33" s="218">
        <f>VLOOKUP(B33, '⚙️ Настройки'!$A$12:$D$18, 3, FALSE)</f>
        <v/>
      </c>
      <c r="G33" s="218">
        <f>IF(E33&lt;=F33, "🟢 В НОРМЕ", "🔴 СРЫВ")</f>
        <v/>
      </c>
      <c r="H33" s="218" t="n">
        <v>102</v>
      </c>
    </row>
    <row r="34">
      <c r="A34" s="218" t="inlineStr">
        <is>
          <t>D-110</t>
        </is>
      </c>
      <c r="B34" s="218" t="n">
        <v>1</v>
      </c>
      <c r="C34" s="247" t="n">
        <v>46275.625</v>
      </c>
      <c r="D34" s="247" t="n">
        <v>46276.625</v>
      </c>
      <c r="E34" s="218">
        <f>(D34-C34)*24</f>
        <v/>
      </c>
      <c r="F34" s="218">
        <f>VLOOKUP(B34, '⚙️ Настройки'!$A$12:$D$18, 3, FALSE)</f>
        <v/>
      </c>
      <c r="G34" s="218">
        <f>IF(E34&lt;=F34, "🟢 В НОРМЕ", "🔴 СРЫВ")</f>
        <v/>
      </c>
      <c r="H34" s="218" t="n">
        <v>101</v>
      </c>
    </row>
    <row r="35">
      <c r="A35" s="218" t="inlineStr">
        <is>
          <t>D-110</t>
        </is>
      </c>
      <c r="B35" s="218" t="n">
        <v>7</v>
      </c>
      <c r="C35" s="247" t="n">
        <v>46276.625</v>
      </c>
      <c r="D35" s="247" t="n">
        <v>46283.625</v>
      </c>
      <c r="E35" s="218">
        <f>(D35-C35)*24</f>
        <v/>
      </c>
      <c r="F35" s="218">
        <f>VLOOKUP(B35, '⚙️ Настройки'!$A$12:$D$18, 3, FALSE)</f>
        <v/>
      </c>
      <c r="G35" s="218">
        <f>IF(E35&lt;=F35, "🟢 В НОРМЕ", "🔴 СРЫВ")</f>
        <v/>
      </c>
      <c r="H35" s="218" t="n">
        <v>101</v>
      </c>
    </row>
    <row r="36">
      <c r="A36" s="218" t="inlineStr">
        <is>
          <t>D-099</t>
        </is>
      </c>
      <c r="B36" s="218" t="n">
        <v>1</v>
      </c>
      <c r="C36" s="247" t="n">
        <v>46266.375</v>
      </c>
      <c r="D36" s="247" t="n">
        <v>46267.375</v>
      </c>
      <c r="E36" s="218">
        <f>(D36-C36)*24</f>
        <v/>
      </c>
      <c r="F36" s="218">
        <f>VLOOKUP(B36, '⚙️ Настройки'!$A$12:$D$18, 3, FALSE)</f>
        <v/>
      </c>
      <c r="G36" s="218">
        <f>IF(E36&lt;=F36, "🟢 В НОРМЕ", "🔴 СРЫВ")</f>
        <v/>
      </c>
      <c r="H36" s="218" t="n">
        <v>101</v>
      </c>
    </row>
    <row r="37">
      <c r="A37" s="218" t="inlineStr">
        <is>
          <t>D-099</t>
        </is>
      </c>
      <c r="B37" s="218" t="n">
        <v>2</v>
      </c>
      <c r="C37" s="247" t="n">
        <v>46267.375</v>
      </c>
      <c r="D37" s="247" t="n">
        <v>46269.375</v>
      </c>
      <c r="E37" s="218">
        <f>(D37-C37)*24</f>
        <v/>
      </c>
      <c r="F37" s="218">
        <f>VLOOKUP(B37, '⚙️ Настройки'!$A$12:$D$18, 3, FALSE)</f>
        <v/>
      </c>
      <c r="G37" s="218">
        <f>IF(E37&lt;=F37, "🟢 В НОРМЕ", "🔴 СРЫВ")</f>
        <v/>
      </c>
      <c r="H37" s="218" t="n">
        <v>101</v>
      </c>
    </row>
    <row r="38">
      <c r="A38" s="218" t="inlineStr">
        <is>
          <t>D-099</t>
        </is>
      </c>
      <c r="B38" s="218" t="n">
        <v>3</v>
      </c>
      <c r="C38" s="247" t="n">
        <v>46269.375</v>
      </c>
      <c r="D38" s="247" t="n">
        <v>46272.375</v>
      </c>
      <c r="E38" s="218">
        <f>(D38-C38)*24</f>
        <v/>
      </c>
      <c r="F38" s="218">
        <f>VLOOKUP(B38, '⚙️ Настройки'!$A$12:$D$18, 3, FALSE)</f>
        <v/>
      </c>
      <c r="G38" s="218">
        <f>IF(E38&lt;=F38, "🟢 В НОРМЕ", "🔴 СРЫВ")</f>
        <v/>
      </c>
      <c r="H38" s="218" t="n">
        <v>101</v>
      </c>
    </row>
    <row r="39">
      <c r="A39" s="218" t="inlineStr">
        <is>
          <t>D-099</t>
        </is>
      </c>
      <c r="B39" s="218" t="n">
        <v>4</v>
      </c>
      <c r="C39" s="247" t="n">
        <v>46272.375</v>
      </c>
      <c r="D39" s="247" t="n">
        <v>46275.375</v>
      </c>
      <c r="E39" s="218">
        <f>(D39-C39)*24</f>
        <v/>
      </c>
      <c r="F39" s="218">
        <f>VLOOKUP(B39, '⚙️ Настройки'!$A$12:$D$18, 3, FALSE)</f>
        <v/>
      </c>
      <c r="G39" s="218">
        <f>IF(E39&lt;=F39, "🟢 В НОРМЕ", "🔴 СРЫВ")</f>
        <v/>
      </c>
      <c r="H39" s="218" t="n">
        <v>101</v>
      </c>
    </row>
    <row r="40">
      <c r="A40" s="218" t="inlineStr">
        <is>
          <t>D-099</t>
        </is>
      </c>
      <c r="B40" s="218" t="n">
        <v>5</v>
      </c>
      <c r="C40" s="247" t="n">
        <v>46275.375</v>
      </c>
      <c r="D40" s="247" t="n">
        <v>46283.375</v>
      </c>
      <c r="E40" s="218">
        <f>(D40-C40)*24</f>
        <v/>
      </c>
      <c r="F40" s="218">
        <f>VLOOKUP(B40, '⚙️ Настройки'!$A$12:$D$18, 3, FALSE)</f>
        <v/>
      </c>
      <c r="G40" s="218">
        <f>IF(E40&lt;=F40, "🟢 В НОРМЕ", "🔴 СРЫВ")</f>
        <v/>
      </c>
      <c r="H40" s="218" t="n">
        <v>101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0" summaryRight="0"/>
    <pageSetUpPr/>
  </sheetPr>
  <dimension ref="A1:M100"/>
  <sheetViews>
    <sheetView workbookViewId="0">
      <selection activeCell="A1" sqref="A1"/>
    </sheetView>
  </sheetViews>
  <sheetFormatPr baseColWidth="8" defaultColWidth="12.63" defaultRowHeight="15.75" customHeight="1"/>
  <cols>
    <col width="13.88" customWidth="1" style="461" min="1" max="1"/>
    <col width="33.88" customWidth="1" style="461" min="2" max="2"/>
    <col width="15.13" customWidth="1" style="461" min="3" max="3"/>
    <col width="18.88" customWidth="1" style="461" min="4" max="4"/>
    <col width="17.63" customWidth="1" style="461" min="5" max="5"/>
    <col width="52.63" customWidth="1" style="461" min="6" max="6"/>
    <col width="20.13" customWidth="1" style="461" min="7" max="7"/>
    <col width="16.38" customWidth="1" style="461" min="8" max="8"/>
    <col width="20.13" customWidth="1" style="461" min="9" max="10"/>
    <col width="16.38" customWidth="1" style="461" min="11" max="11"/>
    <col width="17.63" customWidth="1" style="461" min="12" max="12"/>
    <col width="20.13" customWidth="1" style="461" min="13" max="13"/>
  </cols>
  <sheetData>
    <row r="1">
      <c r="A1" s="218" t="inlineStr">
        <is>
          <t>action_id</t>
        </is>
      </c>
      <c r="B1" s="218" t="inlineStr">
        <is>
          <t>trigger_type</t>
        </is>
      </c>
      <c r="C1" s="218" t="inlineStr">
        <is>
          <t>deal_id</t>
        </is>
      </c>
      <c r="D1" s="218" t="inlineStr">
        <is>
          <t>amount_at_risk</t>
        </is>
      </c>
      <c r="E1" s="218" t="inlineStr">
        <is>
          <t>priority</t>
        </is>
      </c>
      <c r="F1" s="218" t="inlineStr">
        <is>
          <t>suggested_action</t>
        </is>
      </c>
      <c r="G1" s="218" t="inlineStr">
        <is>
          <t>owner</t>
        </is>
      </c>
      <c r="H1" s="218" t="inlineStr">
        <is>
          <t>status</t>
        </is>
      </c>
      <c r="I1" s="218" t="inlineStr">
        <is>
          <t>created_at</t>
        </is>
      </c>
      <c r="J1" s="218" t="inlineStr">
        <is>
          <t>due_at</t>
        </is>
      </c>
      <c r="K1" s="218" t="inlineStr">
        <is>
          <t>verified_at</t>
        </is>
      </c>
      <c r="L1" s="218" t="inlineStr">
        <is>
          <t>sla_forecast</t>
        </is>
      </c>
      <c r="M1" s="218" t="inlineStr">
        <is>
          <t>sla_breach_cost</t>
        </is>
      </c>
    </row>
    <row r="2" ht="24" customHeight="1" s="461">
      <c r="A2" s="496">
        <f>HYPERLINK("#'📄 Executive_OnePager'!A1", "📄 1. One-Pager")</f>
        <v/>
      </c>
      <c r="B2" s="496">
        <f>HYPERLINK("#'⚡ Пульс_Компании'!A1", "⚡ 2. Пульс компании")</f>
        <v/>
      </c>
      <c r="C2" s="496">
        <f>HYPERLINK("#'📋 Пульт_РОПа_15_Минут'!A1", "📋 3. Пульт РОПа")</f>
        <v/>
      </c>
      <c r="D2" s="496">
        <f>HYPERLINK("#'💸 Диагностика_Утечек_ОП'!A1", "💸 4. 7 Грехов ОП")</f>
        <v/>
      </c>
      <c r="E2" s="496">
        <f>HYPERLINK("#'🎯 Action_Center'!A1", "🎯 5. Action Center")</f>
        <v/>
      </c>
      <c r="F2" s="496">
        <f>HYPERLINK("#'🎙️ ИИ_Аудит'!A1", "🎙️ 6. ИИ-Аудит")</f>
        <v/>
      </c>
      <c r="G2" s="496">
        <f>HYPERLINK("#'⚡ Экспресс_Калькулятор_3_Цифры'!A1", "⚡ 7. Экспресс 3 цифры")</f>
        <v/>
      </c>
      <c r="H2" s="496">
        <f>HYPERLINK("#'🧪 QA_Suite'!A1", "🧪 8. QA Suite")</f>
        <v/>
      </c>
      <c r="I2" s="497">
        <f>HYPERLINK("#'⚙️ Настройки'!A1", "⚙️ 9. Настройки")</f>
        <v/>
      </c>
      <c r="J2" s="246" t="n">
        <v>46295</v>
      </c>
      <c r="K2" s="218" t="inlineStr">
        <is>
          <t>-</t>
        </is>
      </c>
      <c r="L2" s="218">
        <f>IF(C2="", "", IF(ISNUMBER(SEARCH("🔴", E2)), "BREACH NOW", IF(AND(ISNUMBER(J2), J2&gt;calc_engine!$B$1), ROUND((J2-calc_engine!$B$1)*24, 0) &amp; "ч до срыва", "BREACH NOW")))</f>
        <v/>
      </c>
      <c r="M2" s="218">
        <f>IF(D2="", 0, ROUND(D2 * 0.45, 0))</f>
        <v/>
      </c>
    </row>
    <row r="3">
      <c r="A3" s="218" t="inlineStr">
        <is>
          <t>ACT-002</t>
        </is>
      </c>
      <c r="B3" s="218" t="inlineStr">
        <is>
          <t>Просрочен счёт</t>
        </is>
      </c>
      <c r="C3" s="457" t="inlineStr">
        <is>
          <t>D-103</t>
        </is>
      </c>
      <c r="D3" s="218" t="n">
        <v>150000</v>
      </c>
      <c r="E3" s="218" t="inlineStr">
        <is>
          <t>🔴 P0</t>
        </is>
      </c>
      <c r="F3" s="218" t="inlineStr">
        <is>
          <t>Дожим счета через AI-бота + автозвонок РОПа</t>
        </is>
      </c>
      <c r="G3" s="218" t="n">
        <v>102</v>
      </c>
      <c r="H3" s="218" t="inlineStr">
        <is>
          <t>in_progress</t>
        </is>
      </c>
      <c r="I3" s="246" t="n">
        <v>46293</v>
      </c>
      <c r="J3" s="246" t="n">
        <v>46295</v>
      </c>
      <c r="K3" s="218" t="inlineStr">
        <is>
          <t>-</t>
        </is>
      </c>
      <c r="L3" s="218">
        <f>IF(C3="", "", IF(ISNUMBER(SEARCH("🔴", E3)), "BREACH NOW", IF(AND(ISNUMBER(J3), J3&gt;calc_engine!$B$1), ROUND((J3-calc_engine!$B$1)*24, 0) &amp; "ч до срыва", "BREACH NOW")))</f>
        <v/>
      </c>
      <c r="M3" s="218">
        <f>IF(D3="", 0, ROUND(D3 * 0.45, 0))</f>
        <v/>
      </c>
    </row>
    <row r="4">
      <c r="A4" s="218" t="inlineStr">
        <is>
          <t>ACT-003</t>
        </is>
      </c>
      <c r="B4" s="218" t="inlineStr">
        <is>
          <t>Критический брак речи</t>
        </is>
      </c>
      <c r="C4" s="457" t="inlineStr">
        <is>
          <t>D-109</t>
        </is>
      </c>
      <c r="D4" s="218" t="n">
        <v>120000</v>
      </c>
      <c r="E4" s="218" t="inlineStr">
        <is>
          <t>🟡 P1</t>
        </is>
      </c>
      <c r="F4" s="218" t="inlineStr">
        <is>
          <t>Прослушать звонок C-504, отработать возражения</t>
        </is>
      </c>
      <c r="G4" s="218" t="n">
        <v>103</v>
      </c>
      <c r="H4" s="218" t="inlineStr">
        <is>
          <t>in_progress</t>
        </is>
      </c>
      <c r="I4" s="246" t="n">
        <v>46292</v>
      </c>
      <c r="J4" s="246" t="n">
        <v>46295</v>
      </c>
      <c r="K4" s="218" t="inlineStr">
        <is>
          <t>-</t>
        </is>
      </c>
      <c r="L4" s="218">
        <f>IF(C4="", "", IF(ISNUMBER(SEARCH("🔴", E4)), "BREACH NOW", IF(AND(ISNUMBER(J4), J4&gt;calc_engine!$B$1), ROUND((J4-calc_engine!$B$1)*24, 0) &amp; "ч до срыва", "BREACH NOW")))</f>
        <v/>
      </c>
      <c r="M4" s="218">
        <f>IF(D4="", 0, ROUND(D4 * 0.45, 0))</f>
        <v/>
      </c>
    </row>
    <row r="5">
      <c r="A5" s="218" t="inlineStr">
        <is>
          <t>ACT-004</t>
        </is>
      </c>
      <c r="B5" s="218" t="inlineStr">
        <is>
          <t>Зависание на этапе счета</t>
        </is>
      </c>
      <c r="C5" s="457" t="inlineStr">
        <is>
          <t>D-106</t>
        </is>
      </c>
      <c r="D5" s="218" t="n">
        <v>180000</v>
      </c>
      <c r="E5" s="218" t="inlineStr">
        <is>
          <t>🔴 P0</t>
        </is>
      </c>
      <c r="F5" s="218" t="inlineStr">
        <is>
          <t>Эскалация РОПу, согласование спец-условий</t>
        </is>
      </c>
      <c r="G5" s="218" t="n">
        <v>101</v>
      </c>
      <c r="H5" s="218" t="inlineStr">
        <is>
          <t>in_progress</t>
        </is>
      </c>
      <c r="I5" s="246" t="n">
        <v>46293</v>
      </c>
      <c r="J5" s="246" t="n">
        <v>46295</v>
      </c>
      <c r="K5" s="218" t="inlineStr">
        <is>
          <t>-</t>
        </is>
      </c>
      <c r="L5" s="218">
        <f>IF(C5="", "", IF(ISNUMBER(SEARCH("🔴", E5)), "BREACH NOW", IF(AND(ISNUMBER(J5), J5&gt;calc_engine!$B$1), ROUND((J5-calc_engine!$B$1)*24, 0) &amp; "ч до срыва", "BREACH NOW")))</f>
        <v/>
      </c>
      <c r="M5" s="218">
        <f>IF(D5="", 0, ROUND(D5 * 0.45, 0))</f>
        <v/>
      </c>
    </row>
    <row r="6">
      <c r="A6" s="218" t="inlineStr">
        <is>
          <t>ACT-005</t>
        </is>
      </c>
      <c r="B6" s="218" t="inlineStr">
        <is>
          <t>Крупная сделка без движения</t>
        </is>
      </c>
      <c r="C6" s="457" t="inlineStr">
        <is>
          <t>D-107</t>
        </is>
      </c>
      <c r="D6" s="218" t="n">
        <v>3000000</v>
      </c>
      <c r="E6" s="218" t="inlineStr">
        <is>
          <t>🔴 P0</t>
        </is>
      </c>
      <c r="F6" s="218" t="inlineStr">
        <is>
          <t>Подключение генерального директора к переговорам</t>
        </is>
      </c>
      <c r="G6" s="218" t="n">
        <v>103</v>
      </c>
      <c r="H6" s="218" t="inlineStr">
        <is>
          <t>assigned</t>
        </is>
      </c>
      <c r="I6" s="246" t="n">
        <v>46292</v>
      </c>
      <c r="J6" s="246" t="n">
        <v>46295</v>
      </c>
      <c r="K6" s="218" t="inlineStr">
        <is>
          <t>-</t>
        </is>
      </c>
      <c r="L6" s="218">
        <f>IF(C6="", "", IF(ISNUMBER(SEARCH("🔴", E6)), "BREACH NOW", IF(AND(ISNUMBER(J6), J6&gt;calc_engine!$B$1), ROUND((J6-calc_engine!$B$1)*24, 0) &amp; "ч до срыва", "BREACH NOW")))</f>
        <v/>
      </c>
      <c r="M6" s="218">
        <f>IF(D6="", 0, ROUND(D6 * 0.45, 0))</f>
        <v/>
      </c>
    </row>
    <row r="7">
      <c r="E7" s="218" t="n"/>
      <c r="H7" s="218" t="n"/>
    </row>
    <row r="8">
      <c r="E8" s="218" t="n"/>
      <c r="H8" s="218" t="n"/>
    </row>
    <row r="9">
      <c r="E9" s="218" t="n"/>
      <c r="H9" s="218" t="n"/>
    </row>
    <row r="10">
      <c r="E10" s="218" t="n"/>
      <c r="H10" s="218" t="n"/>
    </row>
    <row r="11">
      <c r="E11" s="218" t="n"/>
      <c r="H11" s="218" t="n"/>
    </row>
    <row r="12">
      <c r="E12" s="218" t="n"/>
      <c r="H12" s="218" t="n"/>
    </row>
    <row r="13">
      <c r="E13" s="218" t="n"/>
      <c r="H13" s="218" t="n"/>
    </row>
    <row r="14">
      <c r="E14" s="218" t="n"/>
      <c r="H14" s="218" t="n"/>
    </row>
    <row r="15">
      <c r="E15" s="218" t="n"/>
      <c r="H15" s="218" t="n"/>
    </row>
    <row r="16">
      <c r="E16" s="218" t="n"/>
      <c r="H16" s="218" t="n"/>
    </row>
    <row r="17">
      <c r="E17" s="218" t="n"/>
      <c r="H17" s="218" t="n"/>
    </row>
    <row r="18">
      <c r="E18" s="218" t="n"/>
      <c r="H18" s="218" t="n"/>
    </row>
    <row r="19">
      <c r="E19" s="218" t="n"/>
      <c r="H19" s="218" t="n"/>
    </row>
    <row r="20">
      <c r="E20" s="218" t="n"/>
      <c r="H20" s="218" t="n"/>
    </row>
    <row r="21">
      <c r="E21" s="218" t="n"/>
      <c r="H21" s="218" t="n"/>
    </row>
    <row r="22">
      <c r="E22" s="218" t="n"/>
      <c r="H22" s="218" t="n"/>
    </row>
    <row r="23">
      <c r="E23" s="218" t="n"/>
      <c r="H23" s="218" t="n"/>
    </row>
    <row r="24">
      <c r="E24" s="218" t="n"/>
      <c r="H24" s="218" t="n"/>
    </row>
    <row r="25">
      <c r="E25" s="218" t="n"/>
      <c r="H25" s="218" t="n"/>
    </row>
    <row r="26">
      <c r="E26" s="218" t="n"/>
      <c r="H26" s="218" t="n"/>
    </row>
    <row r="27">
      <c r="E27" s="218" t="n"/>
      <c r="H27" s="218" t="n"/>
    </row>
    <row r="28">
      <c r="E28" s="218" t="n"/>
      <c r="H28" s="218" t="n"/>
    </row>
    <row r="29">
      <c r="E29" s="218" t="n"/>
      <c r="H29" s="218" t="n"/>
    </row>
    <row r="30">
      <c r="E30" s="218" t="n"/>
      <c r="H30" s="218" t="n"/>
    </row>
    <row r="31">
      <c r="E31" s="218" t="n"/>
      <c r="H31" s="218" t="n"/>
    </row>
    <row r="32">
      <c r="E32" s="218" t="n"/>
      <c r="H32" s="218" t="n"/>
    </row>
    <row r="33">
      <c r="E33" s="218" t="n"/>
      <c r="H33" s="218" t="n"/>
    </row>
    <row r="34">
      <c r="E34" s="218" t="n"/>
      <c r="H34" s="218" t="n"/>
    </row>
    <row r="35">
      <c r="E35" s="218" t="n"/>
      <c r="H35" s="218" t="n"/>
    </row>
    <row r="36">
      <c r="E36" s="218" t="n"/>
      <c r="H36" s="218" t="n"/>
    </row>
    <row r="37">
      <c r="E37" s="218" t="n"/>
      <c r="H37" s="218" t="n"/>
    </row>
    <row r="38">
      <c r="E38" s="218" t="n"/>
      <c r="H38" s="218" t="n"/>
    </row>
    <row r="39">
      <c r="E39" s="218" t="n"/>
      <c r="H39" s="218" t="n"/>
    </row>
    <row r="40">
      <c r="E40" s="218" t="n"/>
      <c r="H40" s="218" t="n"/>
    </row>
    <row r="41">
      <c r="E41" s="218" t="n"/>
      <c r="H41" s="218" t="n"/>
    </row>
    <row r="42">
      <c r="E42" s="218" t="n"/>
      <c r="H42" s="218" t="n"/>
    </row>
    <row r="43">
      <c r="E43" s="218" t="n"/>
      <c r="H43" s="218" t="n"/>
    </row>
    <row r="44">
      <c r="E44" s="218" t="n"/>
      <c r="H44" s="218" t="n"/>
    </row>
    <row r="45">
      <c r="E45" s="218" t="n"/>
      <c r="H45" s="218" t="n"/>
    </row>
    <row r="46">
      <c r="E46" s="218" t="n"/>
      <c r="H46" s="218" t="n"/>
    </row>
    <row r="47">
      <c r="E47" s="218" t="n"/>
      <c r="H47" s="218" t="n"/>
    </row>
    <row r="48">
      <c r="E48" s="218" t="n"/>
      <c r="H48" s="218" t="n"/>
    </row>
    <row r="49">
      <c r="E49" s="218" t="n"/>
      <c r="H49" s="218" t="n"/>
    </row>
    <row r="50">
      <c r="E50" s="218" t="n"/>
      <c r="H50" s="218" t="n"/>
    </row>
    <row r="51">
      <c r="E51" s="218" t="n"/>
      <c r="H51" s="218" t="n"/>
    </row>
    <row r="52">
      <c r="E52" s="218" t="n"/>
      <c r="H52" s="218" t="n"/>
    </row>
    <row r="53">
      <c r="E53" s="218" t="n"/>
      <c r="H53" s="218" t="n"/>
    </row>
    <row r="54">
      <c r="E54" s="218" t="n"/>
      <c r="H54" s="218" t="n"/>
    </row>
    <row r="55">
      <c r="E55" s="218" t="n"/>
      <c r="H55" s="218" t="n"/>
    </row>
    <row r="56">
      <c r="E56" s="218" t="n"/>
      <c r="H56" s="218" t="n"/>
    </row>
    <row r="57">
      <c r="E57" s="218" t="n"/>
      <c r="H57" s="218" t="n"/>
    </row>
    <row r="58">
      <c r="E58" s="218" t="n"/>
      <c r="H58" s="218" t="n"/>
    </row>
    <row r="59">
      <c r="E59" s="218" t="n"/>
      <c r="H59" s="218" t="n"/>
    </row>
    <row r="60">
      <c r="E60" s="218" t="n"/>
      <c r="H60" s="218" t="n"/>
    </row>
    <row r="61">
      <c r="E61" s="218" t="n"/>
      <c r="H61" s="218" t="n"/>
    </row>
    <row r="62">
      <c r="E62" s="218" t="n"/>
      <c r="H62" s="218" t="n"/>
    </row>
    <row r="63">
      <c r="E63" s="218" t="n"/>
      <c r="H63" s="218" t="n"/>
    </row>
    <row r="64">
      <c r="E64" s="218" t="n"/>
      <c r="H64" s="218" t="n"/>
    </row>
    <row r="65">
      <c r="E65" s="218" t="n"/>
      <c r="H65" s="218" t="n"/>
    </row>
    <row r="66">
      <c r="E66" s="218" t="n"/>
      <c r="H66" s="218" t="n"/>
    </row>
    <row r="67">
      <c r="E67" s="218" t="n"/>
      <c r="H67" s="218" t="n"/>
    </row>
    <row r="68">
      <c r="E68" s="218" t="n"/>
      <c r="H68" s="218" t="n"/>
    </row>
    <row r="69">
      <c r="E69" s="218" t="n"/>
      <c r="H69" s="218" t="n"/>
    </row>
    <row r="70">
      <c r="E70" s="218" t="n"/>
      <c r="H70" s="218" t="n"/>
    </row>
    <row r="71">
      <c r="E71" s="218" t="n"/>
      <c r="H71" s="218" t="n"/>
    </row>
    <row r="72">
      <c r="E72" s="218" t="n"/>
      <c r="H72" s="218" t="n"/>
    </row>
    <row r="73">
      <c r="E73" s="218" t="n"/>
      <c r="H73" s="218" t="n"/>
    </row>
    <row r="74">
      <c r="E74" s="218" t="n"/>
      <c r="H74" s="218" t="n"/>
    </row>
    <row r="75">
      <c r="E75" s="218" t="n"/>
      <c r="H75" s="218" t="n"/>
    </row>
    <row r="76">
      <c r="E76" s="218" t="n"/>
      <c r="H76" s="218" t="n"/>
    </row>
    <row r="77">
      <c r="E77" s="218" t="n"/>
      <c r="H77" s="218" t="n"/>
    </row>
    <row r="78">
      <c r="E78" s="218" t="n"/>
      <c r="H78" s="218" t="n"/>
    </row>
    <row r="79">
      <c r="E79" s="218" t="n"/>
      <c r="H79" s="218" t="n"/>
    </row>
    <row r="80">
      <c r="E80" s="218" t="n"/>
      <c r="H80" s="218" t="n"/>
    </row>
    <row r="81">
      <c r="E81" s="218" t="n"/>
      <c r="H81" s="218" t="n"/>
    </row>
    <row r="82">
      <c r="E82" s="218" t="n"/>
      <c r="H82" s="218" t="n"/>
    </row>
    <row r="83">
      <c r="E83" s="218" t="n"/>
      <c r="H83" s="218" t="n"/>
    </row>
    <row r="84">
      <c r="E84" s="218" t="n"/>
      <c r="H84" s="218" t="n"/>
    </row>
    <row r="85">
      <c r="E85" s="218" t="n"/>
      <c r="H85" s="218" t="n"/>
    </row>
    <row r="86">
      <c r="E86" s="218" t="n"/>
      <c r="H86" s="218" t="n"/>
    </row>
    <row r="87">
      <c r="E87" s="218" t="n"/>
      <c r="H87" s="218" t="n"/>
    </row>
    <row r="88">
      <c r="E88" s="218" t="n"/>
      <c r="H88" s="218" t="n"/>
    </row>
    <row r="89">
      <c r="E89" s="218" t="n"/>
      <c r="H89" s="218" t="n"/>
    </row>
    <row r="90">
      <c r="E90" s="218" t="n"/>
      <c r="H90" s="218" t="n"/>
    </row>
    <row r="91">
      <c r="E91" s="218" t="n"/>
      <c r="H91" s="218" t="n"/>
    </row>
    <row r="92">
      <c r="E92" s="218" t="n"/>
      <c r="H92" s="218" t="n"/>
    </row>
    <row r="93">
      <c r="E93" s="218" t="n"/>
      <c r="H93" s="218" t="n"/>
    </row>
    <row r="94">
      <c r="E94" s="218" t="n"/>
      <c r="H94" s="218" t="n"/>
    </row>
    <row r="95">
      <c r="E95" s="218" t="n"/>
      <c r="H95" s="218" t="n"/>
    </row>
    <row r="96">
      <c r="E96" s="218" t="n"/>
      <c r="H96" s="218" t="n"/>
    </row>
    <row r="97">
      <c r="E97" s="218" t="n"/>
      <c r="H97" s="218" t="n"/>
    </row>
    <row r="98">
      <c r="E98" s="218" t="n"/>
      <c r="H98" s="218" t="n"/>
    </row>
    <row r="99">
      <c r="E99" s="218" t="n"/>
      <c r="H99" s="218" t="n"/>
    </row>
    <row r="100">
      <c r="E100" s="218" t="n"/>
      <c r="H100" s="218" t="n"/>
    </row>
  </sheetData>
  <autoFilter ref="$A$1:$M$100">
    <filterColumn colId="3" hiddenButton="0" showButton="1">
      <customFilters>
        <customFilter val="500000" operator="greaterThanOrEqual"/>
      </customFilters>
    </filterColumn>
  </autoFilter>
  <dataValidations count="2">
    <dataValidation sqref="H2:H100" showDropDown="0" showInputMessage="0" showErrorMessage="1" allowBlank="1" type="list">
      <formula1>"new,in_progress,assigned,done"</formula1>
    </dataValidation>
    <dataValidation sqref="E2:E100" showDropDown="0" showInputMessage="0" showErrorMessage="1" allowBlank="1" type="list">
      <formula1>"🔴 P0,🟡 P1,🟢 P2"</formula1>
    </dataValidation>
  </dataValidations>
  <hyperlinks>
    <hyperlink ref="C2" location="raw_deals!A1" display="D-104"/>
    <hyperlink ref="C3" location="raw_deals!A1" display="D-103"/>
    <hyperlink ref="C4" location="raw_deals!A1" display="D-109"/>
    <hyperlink ref="C5" location="raw_deals!A1" display="D-106"/>
    <hyperlink ref="C6" location="raw_deals!A1" display="D-107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0" summaryRight="0"/>
    <pageSetUpPr/>
  </sheetPr>
  <dimension ref="A1:J6"/>
  <sheetViews>
    <sheetView workbookViewId="0">
      <selection activeCell="A1" sqref="A1"/>
    </sheetView>
  </sheetViews>
  <sheetFormatPr baseColWidth="8" defaultColWidth="12.63" defaultRowHeight="15.75" customHeight="1"/>
  <cols>
    <col width="13.88" customWidth="1" style="461" min="1" max="1"/>
    <col width="26.38" customWidth="1" style="461" min="2" max="3"/>
    <col width="17.63" customWidth="1" style="461" min="4" max="6"/>
    <col width="22.63" customWidth="1" style="461" min="7" max="7"/>
    <col width="17.63" customWidth="1" style="461" min="8" max="8"/>
    <col width="22.63" customWidth="1" style="461" min="9" max="9"/>
    <col width="17.63" customWidth="1" style="461" min="10" max="10"/>
    <col width="26.38" customWidth="1" style="461" min="11" max="11"/>
  </cols>
  <sheetData>
    <row r="1">
      <c r="A1" s="218" t="inlineStr">
        <is>
          <t>transition_id</t>
        </is>
      </c>
      <c r="B1" s="218" t="inlineStr">
        <is>
          <t>from_stage</t>
        </is>
      </c>
      <c r="C1" s="218" t="inlineStr">
        <is>
          <t>to_stage</t>
        </is>
      </c>
      <c r="D1" s="218" t="inlineStr">
        <is>
          <t>sla_norm_hours</t>
        </is>
      </c>
      <c r="E1" s="218" t="inlineStr">
        <is>
          <t>escalation_L1_h</t>
        </is>
      </c>
      <c r="F1" s="218" t="inlineStr">
        <is>
          <t>escalation_L2_h</t>
        </is>
      </c>
      <c r="G1" s="218" t="inlineStr">
        <is>
          <t>escalation_L3_h</t>
        </is>
      </c>
      <c r="H1" s="218" t="inlineStr">
        <is>
          <t>escalation_owner_L1</t>
        </is>
      </c>
      <c r="I1" s="218" t="inlineStr">
        <is>
          <t>escalation_owner_L2</t>
        </is>
      </c>
      <c r="J1" s="218" t="inlineStr">
        <is>
          <t>escalation_owner_L3</t>
        </is>
      </c>
    </row>
    <row r="2">
      <c r="A2" s="218" t="inlineStr">
        <is>
          <t>TR-01</t>
        </is>
      </c>
      <c r="B2" s="218" t="inlineStr">
        <is>
          <t>1. Новый лид</t>
        </is>
      </c>
      <c r="C2" s="218" t="inlineStr">
        <is>
          <t>2. Квалификация / ЛПР</t>
        </is>
      </c>
      <c r="D2" s="218" t="n">
        <v>24</v>
      </c>
      <c r="E2" s="218" t="n">
        <v>20</v>
      </c>
      <c r="F2" s="218" t="n">
        <v>24</v>
      </c>
      <c r="G2" s="218" t="n">
        <v>36</v>
      </c>
      <c r="H2" s="218" t="inlineStr">
        <is>
          <t>Менеджер</t>
        </is>
      </c>
      <c r="I2" s="218" t="inlineStr">
        <is>
          <t>РОП</t>
        </is>
      </c>
      <c r="J2" s="218" t="inlineStr">
        <is>
          <t>Коммерческий директор</t>
        </is>
      </c>
    </row>
    <row r="3">
      <c r="A3" s="218" t="inlineStr">
        <is>
          <t>TR-02</t>
        </is>
      </c>
      <c r="B3" s="218" t="inlineStr">
        <is>
          <t>2. Квалификация / ЛПР</t>
        </is>
      </c>
      <c r="C3" s="218" t="inlineStr">
        <is>
          <t>3. Встреча / Демо</t>
        </is>
      </c>
      <c r="D3" s="218" t="n">
        <v>48</v>
      </c>
      <c r="E3" s="218" t="n">
        <v>36</v>
      </c>
      <c r="F3" s="218" t="n">
        <v>48</v>
      </c>
      <c r="G3" s="218" t="n">
        <v>72</v>
      </c>
      <c r="H3" s="218" t="inlineStr">
        <is>
          <t>Менеджер</t>
        </is>
      </c>
      <c r="I3" s="218" t="inlineStr">
        <is>
          <t>РОП</t>
        </is>
      </c>
      <c r="J3" s="218" t="inlineStr">
        <is>
          <t>Коммерческий директор</t>
        </is>
      </c>
    </row>
    <row r="4">
      <c r="A4" s="218" t="inlineStr">
        <is>
          <t>TR-03</t>
        </is>
      </c>
      <c r="B4" s="218" t="inlineStr">
        <is>
          <t>3. Встреча / Демо</t>
        </is>
      </c>
      <c r="C4" s="218" t="inlineStr">
        <is>
          <t>4. КП и согласование</t>
        </is>
      </c>
      <c r="D4" s="218" t="n">
        <v>120</v>
      </c>
      <c r="E4" s="218" t="n">
        <v>96</v>
      </c>
      <c r="F4" s="218" t="n">
        <v>120</v>
      </c>
      <c r="G4" s="218" t="n">
        <v>168</v>
      </c>
      <c r="H4" s="218" t="inlineStr">
        <is>
          <t>Менеджер</t>
        </is>
      </c>
      <c r="I4" s="218" t="inlineStr">
        <is>
          <t>РОП</t>
        </is>
      </c>
      <c r="J4" s="218" t="inlineStr">
        <is>
          <t>Генеральный директор</t>
        </is>
      </c>
    </row>
    <row r="5">
      <c r="A5" s="218" t="inlineStr">
        <is>
          <t>TR-04</t>
        </is>
      </c>
      <c r="B5" s="218" t="inlineStr">
        <is>
          <t>4. КП и согласование</t>
        </is>
      </c>
      <c r="C5" s="218" t="inlineStr">
        <is>
          <t>5. Счет выставлен</t>
        </is>
      </c>
      <c r="D5" s="218" t="n">
        <v>48</v>
      </c>
      <c r="E5" s="218" t="n">
        <v>36</v>
      </c>
      <c r="F5" s="218" t="n">
        <v>48</v>
      </c>
      <c r="G5" s="218" t="n">
        <v>72</v>
      </c>
      <c r="H5" s="218" t="inlineStr">
        <is>
          <t>Менеджер</t>
        </is>
      </c>
      <c r="I5" s="218" t="inlineStr">
        <is>
          <t>РОП</t>
        </is>
      </c>
      <c r="J5" s="218" t="inlineStr">
        <is>
          <t>Финансовый директор</t>
        </is>
      </c>
    </row>
    <row r="6">
      <c r="A6" s="218" t="inlineStr">
        <is>
          <t>TR-05</t>
        </is>
      </c>
      <c r="B6" s="218" t="inlineStr">
        <is>
          <t>5. Счет выставлен</t>
        </is>
      </c>
      <c r="C6" s="218" t="inlineStr">
        <is>
          <t>6. Успешно реализовано</t>
        </is>
      </c>
      <c r="D6" s="218" t="n">
        <v>72</v>
      </c>
      <c r="E6" s="218" t="n">
        <v>60</v>
      </c>
      <c r="F6" s="218" t="n">
        <v>72</v>
      </c>
      <c r="G6" s="218" t="n">
        <v>120</v>
      </c>
      <c r="H6" s="218" t="inlineStr">
        <is>
          <t>Менеджер</t>
        </is>
      </c>
      <c r="I6" s="218" t="inlineStr">
        <is>
          <t>Финансовый директор</t>
        </is>
      </c>
      <c r="J6" s="218" t="inlineStr">
        <is>
          <t>Генеральный директор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0" summaryRight="0"/>
    <pageSetUpPr/>
  </sheetPr>
  <dimension ref="A1:E15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18" t="inlineStr">
        <is>
          <t>🎲 REVOPS СЛУЖЕБНЫЙ ДВИЖОК СИМУЛЯЦИИ И МОНТЕ-КАРЛО (CALC_SIMULATOR V17.5)</t>
        </is>
      </c>
    </row>
    <row r="2"/>
    <row r="3">
      <c r="A3" s="218" t="inlineStr">
        <is>
          <t>Параметр воронки и выручки</t>
        </is>
      </c>
      <c r="B3" s="218" t="inlineStr">
        <is>
          <t>Значение</t>
        </is>
      </c>
      <c r="C3" s="218" t="inlineStr">
        <is>
          <t>База расчета</t>
        </is>
      </c>
      <c r="D3" s="218" t="inlineStr">
        <is>
          <t>Статус</t>
        </is>
      </c>
      <c r="E3" s="218" t="inlineStr">
        <is>
          <t>Комментарий</t>
        </is>
      </c>
    </row>
    <row r="4">
      <c r="A4" s="218" t="inlineStr">
        <is>
          <t>Фактическая выручка месяца (As-Is)</t>
        </is>
      </c>
      <c r="B4" s="218">
        <f>calc_engine!B19</f>
        <v/>
      </c>
      <c r="C4" s="218" t="inlineStr">
        <is>
          <t>Касса</t>
        </is>
      </c>
      <c r="D4" s="218" t="inlineStr">
        <is>
          <t>Факт</t>
        </is>
      </c>
      <c r="E4" s="218" t="inlineStr">
        <is>
          <t>Реальные закрытые сделки</t>
        </is>
      </c>
    </row>
    <row r="5">
      <c r="A5" s="218" t="inlineStr">
        <is>
          <t>Взвешенный пайплайн воронки</t>
        </is>
      </c>
      <c r="B5" s="218">
        <f>calc_engine!B18</f>
        <v/>
      </c>
      <c r="C5" s="218" t="inlineStr">
        <is>
          <t>Пайплайн</t>
        </is>
      </c>
      <c r="D5" s="218" t="inlineStr">
        <is>
          <t>Модель</t>
        </is>
      </c>
      <c r="E5" s="218" t="inlineStr">
        <is>
          <t>С учетом вероятностей этапов</t>
        </is>
      </c>
    </row>
    <row r="6">
      <c r="A6" s="218" t="inlineStr">
        <is>
          <t>Волатильность закрытия сделок (StdDev)</t>
        </is>
      </c>
      <c r="B6" s="218" t="n">
        <v>0.18</v>
      </c>
      <c r="C6" s="218" t="inlineStr">
        <is>
          <t>Дисперсия</t>
        </is>
      </c>
      <c r="D6" s="218" t="inlineStr">
        <is>
          <t>±18%</t>
        </is>
      </c>
      <c r="E6" s="218" t="inlineStr">
        <is>
          <t>Историческая дисперсия ОП</t>
        </is>
      </c>
    </row>
    <row r="7">
      <c r="A7" s="218" t="inlineStr">
        <is>
          <t>Потенциал ликвидации утечек (Upside)</t>
        </is>
      </c>
      <c r="B7" s="418">
        <f>'⚡ Экспресс_Калькулятор_3_Цифры'!D19 * '⚙️ Настройки'!$B$48</f>
        <v/>
      </c>
      <c r="C7" s="218" t="inlineStr">
        <is>
          <t>Quick ROI</t>
        </is>
      </c>
      <c r="D7" s="218" t="inlineStr">
        <is>
          <t>Upside</t>
        </is>
      </c>
      <c r="E7" s="218" t="inlineStr">
        <is>
          <t>Дополнительный возврат кассы</t>
        </is>
      </c>
    </row>
    <row r="8">
      <c r="A8" s="218" t="inlineStr">
        <is>
          <t>Целевой план месяца</t>
        </is>
      </c>
      <c r="B8" s="346">
        <f>'⚙️ Настройки'!$B$9</f>
        <v/>
      </c>
      <c r="C8" s="218" t="inlineStr">
        <is>
          <t>Таргет</t>
        </is>
      </c>
      <c r="D8" s="218" t="inlineStr">
        <is>
          <t>План</t>
        </is>
      </c>
      <c r="E8" s="218" t="inlineStr">
        <is>
          <t>Управленческая цель ОП</t>
        </is>
      </c>
    </row>
    <row r="9">
      <c r="A9" s="218" t="inlineStr">
        <is>
          <t>--- РАСЧЕТ ВЕРОЯТНОСТНОГО КОРИДОРА ВЫРУЧКИ МОНТЕ-КАРЛО ---</t>
        </is>
      </c>
    </row>
    <row r="10">
      <c r="A10" s="218" t="inlineStr">
        <is>
          <t>P10 (Пессимистичный порог - 90% защита)</t>
        </is>
      </c>
      <c r="B10" s="218">
        <f>ROUND(B4 + (B5 * (1 - B6)) * 0.7, 0)</f>
        <v/>
      </c>
      <c r="C10" s="218" t="inlineStr">
        <is>
          <t>90% гарантия</t>
        </is>
      </c>
      <c r="D10" s="218" t="inlineStr">
        <is>
          <t>🟢 Касса защищена</t>
        </is>
      </c>
      <c r="E10" s="218" t="inlineStr">
        <is>
          <t>Минимальная планка выручки</t>
        </is>
      </c>
    </row>
    <row r="11">
      <c r="A11" s="218" t="inlineStr">
        <is>
          <t>P50 (Медианное ожидание кассы)</t>
        </is>
      </c>
      <c r="B11" s="418">
        <f>ROUND(B4 + B5 * 0.85 + B7 * 0.5, 0)</f>
        <v/>
      </c>
      <c r="C11" s="218" t="inlineStr">
        <is>
          <t>50% медиана</t>
        </is>
      </c>
      <c r="D11" s="218" t="inlineStr">
        <is>
          <t>🟡 В шаге от плана</t>
        </is>
      </c>
      <c r="E11" s="218" t="inlineStr">
        <is>
          <t>Математическое ожидание</t>
        </is>
      </c>
    </row>
    <row r="12">
      <c r="A12" s="218" t="inlineStr">
        <is>
          <t>P90 (Оптимистичный таргет с ИИ-дожимом)</t>
        </is>
      </c>
      <c r="B12" s="418">
        <f>ROUND(B4 + B5 * 1.1 + B7 * 0.85, 0)</f>
        <v/>
      </c>
      <c r="C12" s="218" t="inlineStr">
        <is>
          <t>План перевыполнен</t>
        </is>
      </c>
      <c r="D12" s="218" t="inlineStr">
        <is>
          <t>🚀 План 5.0M взят!</t>
        </is>
      </c>
      <c r="E12" s="218" t="inlineStr">
        <is>
          <t>Выполнение плана 5.0M ₽</t>
        </is>
      </c>
    </row>
    <row r="13">
      <c r="A13" s="218" t="inlineStr">
        <is>
          <t>Вероятность выполнения плана 5 000 000 ₽</t>
        </is>
      </c>
      <c r="B13" s="418">
        <f>ROUND(IF(B12 &gt;= B8, 0.72 + (B12 - B8) / 1000000 * 0.15, 0.45), 2)</f>
        <v/>
      </c>
      <c r="C13" s="218" t="inlineStr">
        <is>
          <t>Сводная вероятность</t>
        </is>
      </c>
      <c r="D13" s="218" t="inlineStr">
        <is>
          <t>Анализ риска</t>
        </is>
      </c>
      <c r="E13" s="218" t="inlineStr">
        <is>
          <t>Вероятность достижения целевого плана</t>
        </is>
      </c>
    </row>
    <row r="14">
      <c r="A14" s="218" t="inlineStr">
        <is>
          <t>Статус вероятности</t>
        </is>
      </c>
      <c r="B14" s="218">
        <f>IF(B13&gt;=0.7, "🟢 ВЫСОКАЯ ВЕРОЯТНОСТЬ", "🟡 СРЕДНИЙ РИСК")</f>
        <v/>
      </c>
      <c r="C14" s="218" t="inlineStr">
        <is>
          <t>Индикатор</t>
        </is>
      </c>
      <c r="D14" s="218" t="inlineStr">
        <is>
          <t>Статус</t>
        </is>
      </c>
      <c r="E14" s="218" t="inlineStr">
        <is>
          <t>Светофор вероятности</t>
        </is>
      </c>
    </row>
    <row r="15">
      <c r="A15" s="218" t="inlineStr">
        <is>
          <t>Ширина коридора риска (P90 - P10)</t>
        </is>
      </c>
      <c r="B15" s="418">
        <f>B12 - B10</f>
        <v/>
      </c>
      <c r="C15" s="218" t="inlineStr">
        <is>
          <t>Спред риска</t>
        </is>
      </c>
      <c r="D15" s="218" t="inlineStr">
        <is>
          <t>Норма</t>
        </is>
      </c>
      <c r="E15" s="218" t="inlineStr">
        <is>
          <t>Буфер ликвидности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0" summaryRight="0"/>
    <pageSetUpPr/>
  </sheetPr>
  <dimension ref="A1:J46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32.63" customWidth="1" style="461" min="1" max="1"/>
    <col width="16.38" customWidth="1" style="461" min="2" max="3"/>
    <col width="12" customWidth="1" style="461" min="4" max="10"/>
  </cols>
  <sheetData>
    <row r="1">
      <c r="A1" s="458" t="inlineStr">
        <is>
          <t>sheet_name</t>
        </is>
      </c>
      <c r="B1" s="458" t="inlineStr">
        <is>
          <t>category</t>
        </is>
      </c>
      <c r="C1" s="458" t="inlineStr">
        <is>
          <t>always_visible</t>
        </is>
      </c>
      <c r="D1" s="458" t="inlineStr">
        <is>
          <t>👑 CEO</t>
        </is>
      </c>
      <c r="E1" s="458" t="inlineStr">
        <is>
          <t>📋 РОП</t>
        </is>
      </c>
      <c r="F1" s="458" t="inlineStr">
        <is>
          <t>💼 KAM</t>
        </is>
      </c>
      <c r="G1" s="458" t="inlineStr">
        <is>
          <t>📞 SDR</t>
        </is>
      </c>
      <c r="H1" s="458" t="inlineStr">
        <is>
          <t>🌐 CMO</t>
        </is>
      </c>
      <c r="I1" s="458" t="inlineStr">
        <is>
          <t>💳 CFO</t>
        </is>
      </c>
      <c r="J1" s="458" t="inlineStr">
        <is>
          <t>🔧 Admin</t>
        </is>
      </c>
    </row>
    <row r="2">
      <c r="A2" s="218" t="inlineStr">
        <is>
          <t>⚙️ Настройки</t>
        </is>
      </c>
      <c r="B2" s="218" t="inlineStr">
        <is>
          <t>Системные</t>
        </is>
      </c>
      <c r="C2" s="460" t="b">
        <v>1</v>
      </c>
      <c r="D2" s="460" t="inlineStr">
        <is>
          <t>👁</t>
        </is>
      </c>
      <c r="E2" s="460" t="inlineStr">
        <is>
          <t>👁</t>
        </is>
      </c>
      <c r="F2" s="460" t="inlineStr">
        <is>
          <t>👁</t>
        </is>
      </c>
      <c r="G2" s="460" t="inlineStr">
        <is>
          <t>👁</t>
        </is>
      </c>
      <c r="H2" s="460" t="inlineStr">
        <is>
          <t>👁</t>
        </is>
      </c>
      <c r="I2" s="460" t="inlineStr">
        <is>
          <t>👁</t>
        </is>
      </c>
      <c r="J2" s="460" t="inlineStr">
        <is>
          <t>✏️</t>
        </is>
      </c>
    </row>
    <row r="3">
      <c r="A3" s="218" t="inlineStr">
        <is>
          <t>📄 Executive_OnePager</t>
        </is>
      </c>
      <c r="B3" s="218" t="inlineStr">
        <is>
          <t>Витрины</t>
        </is>
      </c>
      <c r="C3" s="460" t="b">
        <v>0</v>
      </c>
      <c r="D3" s="460" t="inlineStr">
        <is>
          <t>👁</t>
        </is>
      </c>
      <c r="E3" s="460" t="inlineStr">
        <is>
          <t>👁</t>
        </is>
      </c>
      <c r="F3" s="460" t="inlineStr">
        <is>
          <t>⛔</t>
        </is>
      </c>
      <c r="G3" s="460" t="inlineStr">
        <is>
          <t>⛔</t>
        </is>
      </c>
      <c r="H3" s="460" t="inlineStr">
        <is>
          <t>⛔</t>
        </is>
      </c>
      <c r="I3" s="460" t="inlineStr">
        <is>
          <t>👁</t>
        </is>
      </c>
      <c r="J3" s="460" t="inlineStr">
        <is>
          <t>👁</t>
        </is>
      </c>
    </row>
    <row r="4">
      <c r="A4" s="218" t="inlineStr">
        <is>
          <t>⚡ Пульс_Компании</t>
        </is>
      </c>
      <c r="B4" s="218" t="inlineStr">
        <is>
          <t>Витрины</t>
        </is>
      </c>
      <c r="C4" s="460" t="b">
        <v>0</v>
      </c>
      <c r="D4" s="460" t="inlineStr">
        <is>
          <t>👁</t>
        </is>
      </c>
      <c r="E4" s="460" t="inlineStr">
        <is>
          <t>👁</t>
        </is>
      </c>
      <c r="F4" s="460" t="inlineStr">
        <is>
          <t>👁</t>
        </is>
      </c>
      <c r="G4" s="460" t="inlineStr">
        <is>
          <t>👁</t>
        </is>
      </c>
      <c r="H4" s="460" t="inlineStr">
        <is>
          <t>👁</t>
        </is>
      </c>
      <c r="I4" s="460" t="inlineStr">
        <is>
          <t>👁</t>
        </is>
      </c>
      <c r="J4" s="460" t="inlineStr">
        <is>
          <t>👁</t>
        </is>
      </c>
    </row>
    <row r="5">
      <c r="A5" s="218" t="inlineStr">
        <is>
          <t>📋 Пульт_РОПа_15_Минут</t>
        </is>
      </c>
      <c r="B5" s="218" t="inlineStr">
        <is>
          <t>Витрины</t>
        </is>
      </c>
      <c r="C5" s="460" t="b">
        <v>0</v>
      </c>
      <c r="D5" s="460" t="inlineStr">
        <is>
          <t>👁</t>
        </is>
      </c>
      <c r="E5" s="460" t="inlineStr">
        <is>
          <t>✏️</t>
        </is>
      </c>
      <c r="F5" s="460" t="inlineStr">
        <is>
          <t>👁</t>
        </is>
      </c>
      <c r="G5" s="460" t="inlineStr">
        <is>
          <t>👁</t>
        </is>
      </c>
      <c r="H5" s="460" t="inlineStr">
        <is>
          <t>⛔</t>
        </is>
      </c>
      <c r="I5" s="460" t="inlineStr">
        <is>
          <t>⛔</t>
        </is>
      </c>
      <c r="J5" s="460" t="inlineStr">
        <is>
          <t>👁</t>
        </is>
      </c>
    </row>
    <row r="6">
      <c r="A6" s="218" t="inlineStr">
        <is>
          <t>💸 Диагностика_Утечек_ОП</t>
        </is>
      </c>
      <c r="B6" s="218" t="inlineStr">
        <is>
          <t>Витрины</t>
        </is>
      </c>
      <c r="C6" s="460" t="b">
        <v>0</v>
      </c>
      <c r="D6" s="460" t="inlineStr">
        <is>
          <t>👁</t>
        </is>
      </c>
      <c r="E6" s="460" t="inlineStr">
        <is>
          <t>👁</t>
        </is>
      </c>
      <c r="F6" s="460" t="inlineStr">
        <is>
          <t>⛔</t>
        </is>
      </c>
      <c r="G6" s="460" t="inlineStr">
        <is>
          <t>⛔</t>
        </is>
      </c>
      <c r="H6" s="460" t="inlineStr">
        <is>
          <t>⛔</t>
        </is>
      </c>
      <c r="I6" s="460" t="inlineStr">
        <is>
          <t>👁</t>
        </is>
      </c>
      <c r="J6" s="460" t="inlineStr">
        <is>
          <t>👁</t>
        </is>
      </c>
    </row>
    <row r="7">
      <c r="A7" s="218" t="inlineStr">
        <is>
          <t>🎯 Action_Center</t>
        </is>
      </c>
      <c r="B7" s="218" t="inlineStr">
        <is>
          <t>Витрины</t>
        </is>
      </c>
      <c r="C7" s="460" t="b">
        <v>0</v>
      </c>
      <c r="D7" s="460" t="inlineStr">
        <is>
          <t>👁</t>
        </is>
      </c>
      <c r="E7" s="460" t="inlineStr">
        <is>
          <t>✏️</t>
        </is>
      </c>
      <c r="F7" s="460" t="inlineStr">
        <is>
          <t>👁</t>
        </is>
      </c>
      <c r="G7" s="460" t="inlineStr">
        <is>
          <t>👁</t>
        </is>
      </c>
      <c r="H7" s="460" t="inlineStr">
        <is>
          <t>⛔</t>
        </is>
      </c>
      <c r="I7" s="460" t="inlineStr">
        <is>
          <t>⛔</t>
        </is>
      </c>
      <c r="J7" s="460" t="inlineStr">
        <is>
          <t>👁</t>
        </is>
      </c>
    </row>
    <row r="8">
      <c r="A8" s="218" t="inlineStr">
        <is>
          <t>🎙️ ИИ_Аудит</t>
        </is>
      </c>
      <c r="B8" s="218" t="inlineStr">
        <is>
          <t>Витрины</t>
        </is>
      </c>
      <c r="C8" s="460" t="b">
        <v>0</v>
      </c>
      <c r="D8" s="460" t="inlineStr">
        <is>
          <t>👁</t>
        </is>
      </c>
      <c r="E8" s="460" t="inlineStr">
        <is>
          <t>✏️</t>
        </is>
      </c>
      <c r="F8" s="460" t="inlineStr">
        <is>
          <t>⛔</t>
        </is>
      </c>
      <c r="G8" s="460" t="inlineStr">
        <is>
          <t>⛔</t>
        </is>
      </c>
      <c r="H8" s="460" t="inlineStr">
        <is>
          <t>⛔</t>
        </is>
      </c>
      <c r="I8" s="460" t="inlineStr">
        <is>
          <t>⛔</t>
        </is>
      </c>
      <c r="J8" s="460" t="inlineStr">
        <is>
          <t>👁</t>
        </is>
      </c>
    </row>
    <row r="9">
      <c r="A9" s="218" t="inlineStr">
        <is>
          <t>⚡ Экспресс_Калькулятор_3_Цифры</t>
        </is>
      </c>
      <c r="B9" s="218" t="inlineStr">
        <is>
          <t>Витрины</t>
        </is>
      </c>
      <c r="C9" s="460" t="b">
        <v>0</v>
      </c>
      <c r="D9" s="460" t="inlineStr">
        <is>
          <t>👁</t>
        </is>
      </c>
      <c r="E9" s="460" t="inlineStr">
        <is>
          <t>👁</t>
        </is>
      </c>
      <c r="F9" s="460" t="inlineStr">
        <is>
          <t>👁</t>
        </is>
      </c>
      <c r="G9" s="460" t="inlineStr">
        <is>
          <t>👁</t>
        </is>
      </c>
      <c r="H9" s="460" t="inlineStr">
        <is>
          <t>👁</t>
        </is>
      </c>
      <c r="I9" s="460" t="inlineStr">
        <is>
          <t>👁</t>
        </is>
      </c>
      <c r="J9" s="460" t="inlineStr">
        <is>
          <t>👁</t>
        </is>
      </c>
    </row>
    <row r="10">
      <c r="A10" s="218" t="inlineStr">
        <is>
          <t>🧪 QA_Suite</t>
        </is>
      </c>
      <c r="B10" s="218" t="inlineStr">
        <is>
          <t>Служебные</t>
        </is>
      </c>
      <c r="C10" s="460" t="b">
        <v>0</v>
      </c>
      <c r="D10" s="460" t="inlineStr">
        <is>
          <t>👁</t>
        </is>
      </c>
      <c r="E10" s="460" t="inlineStr">
        <is>
          <t>⛔</t>
        </is>
      </c>
      <c r="F10" s="460" t="inlineStr">
        <is>
          <t>⛔</t>
        </is>
      </c>
      <c r="G10" s="460" t="inlineStr">
        <is>
          <t>⛔</t>
        </is>
      </c>
      <c r="H10" s="460" t="inlineStr">
        <is>
          <t>⛔</t>
        </is>
      </c>
      <c r="I10" s="460" t="inlineStr">
        <is>
          <t>⛔</t>
        </is>
      </c>
      <c r="J10" s="460" t="inlineStr">
        <is>
          <t>✏️</t>
        </is>
      </c>
    </row>
    <row r="11">
      <c r="A11" s="218" t="inlineStr">
        <is>
          <t>🌐 Мультиканальная_Атрибуция</t>
        </is>
      </c>
      <c r="B11" s="218" t="inlineStr">
        <is>
          <t>Витрины</t>
        </is>
      </c>
      <c r="C11" s="460" t="b">
        <v>0</v>
      </c>
      <c r="D11" s="460" t="inlineStr">
        <is>
          <t>👁</t>
        </is>
      </c>
      <c r="E11" s="460" t="inlineStr">
        <is>
          <t>⛔</t>
        </is>
      </c>
      <c r="F11" s="460" t="inlineStr">
        <is>
          <t>⛔</t>
        </is>
      </c>
      <c r="G11" s="460" t="inlineStr">
        <is>
          <t>⛔</t>
        </is>
      </c>
      <c r="H11" s="460" t="inlineStr">
        <is>
          <t>✏️</t>
        </is>
      </c>
      <c r="I11" s="460" t="inlineStr">
        <is>
          <t>⛔</t>
        </is>
      </c>
      <c r="J11" s="460" t="inlineStr">
        <is>
          <t>👁</t>
        </is>
      </c>
    </row>
    <row r="12">
      <c r="A12" s="218" t="inlineStr">
        <is>
          <t>💳 Финансы_и_AI_Дожим</t>
        </is>
      </c>
      <c r="B12" s="218" t="inlineStr">
        <is>
          <t>Витрины</t>
        </is>
      </c>
      <c r="C12" s="460" t="b">
        <v>0</v>
      </c>
      <c r="D12" s="460" t="inlineStr">
        <is>
          <t>👁</t>
        </is>
      </c>
      <c r="E12" s="460" t="inlineStr">
        <is>
          <t>⛔</t>
        </is>
      </c>
      <c r="F12" s="460" t="inlineStr">
        <is>
          <t>⛔</t>
        </is>
      </c>
      <c r="G12" s="460" t="inlineStr">
        <is>
          <t>⛔</t>
        </is>
      </c>
      <c r="H12" s="460" t="inlineStr">
        <is>
          <t>⛔</t>
        </is>
      </c>
      <c r="I12" s="460" t="inlineStr">
        <is>
          <t>✏️</t>
        </is>
      </c>
      <c r="J12" s="460" t="inlineStr">
        <is>
          <t>👁</t>
        </is>
      </c>
    </row>
    <row r="13">
      <c r="A13" s="218" t="inlineStr">
        <is>
          <t>👥 Мотивация_ОП</t>
        </is>
      </c>
      <c r="B13" s="218" t="inlineStr">
        <is>
          <t>Витрины</t>
        </is>
      </c>
      <c r="C13" s="460" t="b">
        <v>0</v>
      </c>
      <c r="D13" s="460" t="inlineStr">
        <is>
          <t>👁</t>
        </is>
      </c>
      <c r="E13" s="460" t="inlineStr">
        <is>
          <t>✏️</t>
        </is>
      </c>
      <c r="F13" s="460" t="inlineStr">
        <is>
          <t>👁</t>
        </is>
      </c>
      <c r="G13" s="460" t="inlineStr">
        <is>
          <t>⛔</t>
        </is>
      </c>
      <c r="H13" s="460" t="inlineStr">
        <is>
          <t>⛔</t>
        </is>
      </c>
      <c r="I13" s="460" t="inlineStr">
        <is>
          <t>👁</t>
        </is>
      </c>
      <c r="J13" s="460" t="inlineStr">
        <is>
          <t>👁</t>
        </is>
      </c>
    </row>
    <row r="14">
      <c r="A14" s="218" t="inlineStr">
        <is>
          <t>🔮 Симулятор_Роста</t>
        </is>
      </c>
      <c r="B14" s="218" t="inlineStr">
        <is>
          <t>Витрины</t>
        </is>
      </c>
      <c r="C14" s="460" t="b">
        <v>0</v>
      </c>
      <c r="D14" s="460" t="inlineStr">
        <is>
          <t>✏️</t>
        </is>
      </c>
      <c r="E14" s="460" t="inlineStr">
        <is>
          <t>👁</t>
        </is>
      </c>
      <c r="F14" s="460" t="inlineStr">
        <is>
          <t>⛔</t>
        </is>
      </c>
      <c r="G14" s="460" t="inlineStr">
        <is>
          <t>⛔</t>
        </is>
      </c>
      <c r="H14" s="460" t="inlineStr">
        <is>
          <t>✏️</t>
        </is>
      </c>
      <c r="I14" s="460" t="inlineStr">
        <is>
          <t>👁</t>
        </is>
      </c>
      <c r="J14" s="460" t="inlineStr">
        <is>
          <t>👁</t>
        </is>
      </c>
    </row>
    <row r="15">
      <c r="A15" s="218" t="inlineStr">
        <is>
          <t>🗄️ DWH_и_Безопасность</t>
        </is>
      </c>
      <c r="B15" s="218" t="inlineStr">
        <is>
          <t>Служебные</t>
        </is>
      </c>
      <c r="C15" s="460" t="b">
        <v>0</v>
      </c>
      <c r="D15" s="460" t="inlineStr">
        <is>
          <t>👁</t>
        </is>
      </c>
      <c r="E15" s="460" t="inlineStr">
        <is>
          <t>⛔</t>
        </is>
      </c>
      <c r="F15" s="460" t="inlineStr">
        <is>
          <t>⛔</t>
        </is>
      </c>
      <c r="G15" s="460" t="inlineStr">
        <is>
          <t>⛔</t>
        </is>
      </c>
      <c r="H15" s="460" t="inlineStr">
        <is>
          <t>⛔</t>
        </is>
      </c>
      <c r="I15" s="460" t="inlineStr">
        <is>
          <t>⛔</t>
        </is>
      </c>
      <c r="J15" s="460" t="inlineStr">
        <is>
          <t>✏️</t>
        </is>
      </c>
    </row>
    <row r="16">
      <c r="A16" s="218" t="inlineStr">
        <is>
          <t>🌐 Сквозная_RevOps_Аналитика</t>
        </is>
      </c>
      <c r="B16" s="218" t="inlineStr">
        <is>
          <t>Витрины</t>
        </is>
      </c>
      <c r="C16" s="460" t="b">
        <v>0</v>
      </c>
      <c r="D16" s="460" t="inlineStr">
        <is>
          <t>👁</t>
        </is>
      </c>
      <c r="E16" s="460" t="inlineStr">
        <is>
          <t>👁</t>
        </is>
      </c>
      <c r="F16" s="460" t="inlineStr">
        <is>
          <t>⛔</t>
        </is>
      </c>
      <c r="G16" s="460" t="inlineStr">
        <is>
          <t>⛔</t>
        </is>
      </c>
      <c r="H16" s="460" t="inlineStr">
        <is>
          <t>👁</t>
        </is>
      </c>
      <c r="I16" s="460" t="inlineStr">
        <is>
          <t>👁</t>
        </is>
      </c>
      <c r="J16" s="460" t="inlineStr">
        <is>
          <t>👁</t>
        </is>
      </c>
    </row>
    <row r="17">
      <c r="A17" s="218" t="inlineStr">
        <is>
          <t>🌐 Маркетинг_и_Трафик</t>
        </is>
      </c>
      <c r="B17" s="218" t="inlineStr">
        <is>
          <t>Витрины</t>
        </is>
      </c>
      <c r="C17" s="460" t="b">
        <v>0</v>
      </c>
      <c r="D17" s="460" t="inlineStr">
        <is>
          <t>👁</t>
        </is>
      </c>
      <c r="E17" s="460" t="inlineStr">
        <is>
          <t>⛔</t>
        </is>
      </c>
      <c r="F17" s="460" t="inlineStr">
        <is>
          <t>⛔</t>
        </is>
      </c>
      <c r="G17" s="460" t="inlineStr">
        <is>
          <t>⛔</t>
        </is>
      </c>
      <c r="H17" s="460" t="inlineStr">
        <is>
          <t>✏️</t>
        </is>
      </c>
      <c r="I17" s="460" t="inlineStr">
        <is>
          <t>⛔</t>
        </is>
      </c>
      <c r="J17" s="460" t="inlineStr">
        <is>
          <t>👁</t>
        </is>
      </c>
    </row>
    <row r="18">
      <c r="A18" s="218" t="inlineStr">
        <is>
          <t>📈 Когорты_LTV</t>
        </is>
      </c>
      <c r="B18" s="218" t="inlineStr">
        <is>
          <t>Витрины</t>
        </is>
      </c>
      <c r="C18" s="460" t="b">
        <v>0</v>
      </c>
      <c r="D18" s="460" t="inlineStr">
        <is>
          <t>👁</t>
        </is>
      </c>
      <c r="E18" s="460" t="inlineStr">
        <is>
          <t>⛔</t>
        </is>
      </c>
      <c r="F18" s="460" t="inlineStr">
        <is>
          <t>⛔</t>
        </is>
      </c>
      <c r="G18" s="460" t="inlineStr">
        <is>
          <t>⛔</t>
        </is>
      </c>
      <c r="H18" s="460" t="inlineStr">
        <is>
          <t>👁</t>
        </is>
      </c>
      <c r="I18" s="460" t="inlineStr">
        <is>
          <t>✏️</t>
        </is>
      </c>
      <c r="J18" s="460" t="inlineStr">
        <is>
          <t>👁</t>
        </is>
      </c>
    </row>
    <row r="19">
      <c r="A19" s="218" t="inlineStr">
        <is>
          <t>👥 Ресурсный_План</t>
        </is>
      </c>
      <c r="B19" s="218" t="inlineStr">
        <is>
          <t>Витрины</t>
        </is>
      </c>
      <c r="C19" s="460" t="b">
        <v>0</v>
      </c>
      <c r="D19" s="460" t="inlineStr">
        <is>
          <t>👁</t>
        </is>
      </c>
      <c r="E19" s="460" t="inlineStr">
        <is>
          <t>✏️</t>
        </is>
      </c>
      <c r="F19" s="460" t="inlineStr">
        <is>
          <t>👁</t>
        </is>
      </c>
      <c r="G19" s="460" t="inlineStr">
        <is>
          <t>⛔</t>
        </is>
      </c>
      <c r="H19" s="460" t="inlineStr">
        <is>
          <t>⛔</t>
        </is>
      </c>
      <c r="I19" s="460" t="inlineStr">
        <is>
          <t>⛔</t>
        </is>
      </c>
      <c r="J19" s="460" t="inlineStr">
        <is>
          <t>👁</t>
        </is>
      </c>
    </row>
    <row r="20">
      <c r="A20" s="218" t="inlineStr">
        <is>
          <t>🎯 Воронка_и_SLA</t>
        </is>
      </c>
      <c r="B20" s="218" t="inlineStr">
        <is>
          <t>Витрины</t>
        </is>
      </c>
      <c r="C20" s="460" t="b">
        <v>0</v>
      </c>
      <c r="D20" s="460" t="inlineStr">
        <is>
          <t>👁</t>
        </is>
      </c>
      <c r="E20" s="460" t="inlineStr">
        <is>
          <t>✏️</t>
        </is>
      </c>
      <c r="F20" s="460" t="inlineStr">
        <is>
          <t>👁</t>
        </is>
      </c>
      <c r="G20" s="460" t="inlineStr">
        <is>
          <t>👁</t>
        </is>
      </c>
      <c r="H20" s="460" t="inlineStr">
        <is>
          <t>⛔</t>
        </is>
      </c>
      <c r="I20" s="460" t="inlineStr">
        <is>
          <t>⛔</t>
        </is>
      </c>
      <c r="J20" s="460" t="inlineStr">
        <is>
          <t>👁</t>
        </is>
      </c>
    </row>
    <row r="21">
      <c r="A21" s="218" t="inlineStr">
        <is>
          <t>📊 Юнит_Экономика</t>
        </is>
      </c>
      <c r="B21" s="218" t="inlineStr">
        <is>
          <t>Витрины</t>
        </is>
      </c>
      <c r="C21" s="460" t="b">
        <v>0</v>
      </c>
      <c r="D21" s="460" t="inlineStr">
        <is>
          <t>👁</t>
        </is>
      </c>
      <c r="E21" s="460" t="inlineStr">
        <is>
          <t>⛔</t>
        </is>
      </c>
      <c r="F21" s="460" t="inlineStr">
        <is>
          <t>⛔</t>
        </is>
      </c>
      <c r="G21" s="460" t="inlineStr">
        <is>
          <t>⛔</t>
        </is>
      </c>
      <c r="H21" s="460" t="inlineStr">
        <is>
          <t>👁</t>
        </is>
      </c>
      <c r="I21" s="460" t="inlineStr">
        <is>
          <t>✏️</t>
        </is>
      </c>
      <c r="J21" s="460" t="inlineStr">
        <is>
          <t>👁</t>
        </is>
      </c>
    </row>
    <row r="22">
      <c r="A22" s="218" t="inlineStr">
        <is>
          <t>🚨 Радар_Алертов</t>
        </is>
      </c>
      <c r="B22" s="218" t="inlineStr">
        <is>
          <t>Витрины</t>
        </is>
      </c>
      <c r="C22" s="460" t="b">
        <v>0</v>
      </c>
      <c r="D22" s="460" t="inlineStr">
        <is>
          <t>👁</t>
        </is>
      </c>
      <c r="E22" s="460" t="inlineStr">
        <is>
          <t>✏️</t>
        </is>
      </c>
      <c r="F22" s="460" t="inlineStr">
        <is>
          <t>⛔</t>
        </is>
      </c>
      <c r="G22" s="460" t="inlineStr">
        <is>
          <t>⛔</t>
        </is>
      </c>
      <c r="H22" s="460" t="inlineStr">
        <is>
          <t>⛔</t>
        </is>
      </c>
      <c r="I22" s="460" t="inlineStr">
        <is>
          <t>⛔</t>
        </is>
      </c>
      <c r="J22" s="460" t="inlineStr">
        <is>
          <t>👁</t>
        </is>
      </c>
    </row>
    <row r="23">
      <c r="A23" s="218" t="inlineStr">
        <is>
          <t>📋 Задачи_и_Спринты</t>
        </is>
      </c>
      <c r="B23" s="218" t="inlineStr">
        <is>
          <t>Витрины</t>
        </is>
      </c>
      <c r="C23" s="460" t="b">
        <v>0</v>
      </c>
      <c r="D23" s="460" t="inlineStr">
        <is>
          <t>👁</t>
        </is>
      </c>
      <c r="E23" s="460" t="inlineStr">
        <is>
          <t>✏️</t>
        </is>
      </c>
      <c r="F23" s="460" t="inlineStr">
        <is>
          <t>👁</t>
        </is>
      </c>
      <c r="G23" s="460" t="inlineStr">
        <is>
          <t>👁</t>
        </is>
      </c>
      <c r="H23" s="460" t="inlineStr">
        <is>
          <t>👁</t>
        </is>
      </c>
      <c r="I23" s="460" t="inlineStr">
        <is>
          <t>👁</t>
        </is>
      </c>
      <c r="J23" s="460" t="inlineStr">
        <is>
          <t>✏️</t>
        </is>
      </c>
    </row>
    <row r="24">
      <c r="A24" s="218" t="inlineStr">
        <is>
          <t>📅 Deal_Event_Log</t>
        </is>
      </c>
      <c r="B24" s="218" t="inlineStr">
        <is>
          <t>Служебные</t>
        </is>
      </c>
      <c r="C24" s="460" t="b">
        <v>0</v>
      </c>
      <c r="D24" s="460" t="inlineStr">
        <is>
          <t>👁</t>
        </is>
      </c>
      <c r="E24" s="460" t="inlineStr">
        <is>
          <t>👁</t>
        </is>
      </c>
      <c r="F24" s="460" t="inlineStr">
        <is>
          <t>⛔</t>
        </is>
      </c>
      <c r="G24" s="460" t="inlineStr">
        <is>
          <t>⛔</t>
        </is>
      </c>
      <c r="H24" s="460" t="inlineStr">
        <is>
          <t>⛔</t>
        </is>
      </c>
      <c r="I24" s="460" t="inlineStr">
        <is>
          <t>⛔</t>
        </is>
      </c>
      <c r="J24" s="460" t="inlineStr">
        <is>
          <t>✏️</t>
        </is>
      </c>
    </row>
    <row r="25">
      <c r="A25" s="218" t="inlineStr">
        <is>
          <t>📊 Stage_History</t>
        </is>
      </c>
      <c r="B25" s="218" t="inlineStr">
        <is>
          <t>Служебные</t>
        </is>
      </c>
      <c r="C25" s="460" t="b">
        <v>0</v>
      </c>
      <c r="D25" s="460" t="inlineStr">
        <is>
          <t>👁</t>
        </is>
      </c>
      <c r="E25" s="460" t="inlineStr">
        <is>
          <t>👁</t>
        </is>
      </c>
      <c r="F25" s="460" t="inlineStr">
        <is>
          <t>⛔</t>
        </is>
      </c>
      <c r="G25" s="460" t="inlineStr">
        <is>
          <t>⛔</t>
        </is>
      </c>
      <c r="H25" s="460" t="inlineStr">
        <is>
          <t>⛔</t>
        </is>
      </c>
      <c r="I25" s="460" t="inlineStr">
        <is>
          <t>⛔</t>
        </is>
      </c>
      <c r="J25" s="460" t="inlineStr">
        <is>
          <t>✏️</t>
        </is>
      </c>
    </row>
    <row r="26">
      <c r="A26" s="218" t="inlineStr">
        <is>
          <t>⏱️ SLA_Matrix</t>
        </is>
      </c>
      <c r="B26" s="218" t="inlineStr">
        <is>
          <t>Служебные</t>
        </is>
      </c>
      <c r="C26" s="460" t="b">
        <v>0</v>
      </c>
      <c r="D26" s="460" t="inlineStr">
        <is>
          <t>👁</t>
        </is>
      </c>
      <c r="E26" s="460" t="inlineStr">
        <is>
          <t>✏️</t>
        </is>
      </c>
      <c r="F26" s="460" t="inlineStr">
        <is>
          <t>⛔</t>
        </is>
      </c>
      <c r="G26" s="460" t="inlineStr">
        <is>
          <t>⛔</t>
        </is>
      </c>
      <c r="H26" s="460" t="inlineStr">
        <is>
          <t>⛔</t>
        </is>
      </c>
      <c r="I26" s="460" t="inlineStr">
        <is>
          <t>⛔</t>
        </is>
      </c>
      <c r="J26" s="460" t="inlineStr">
        <is>
          <t>👁</t>
        </is>
      </c>
    </row>
    <row r="27">
      <c r="A27" s="218" t="inlineStr">
        <is>
          <t>📊 Data_Quality</t>
        </is>
      </c>
      <c r="B27" s="218" t="inlineStr">
        <is>
          <t>Служебные</t>
        </is>
      </c>
      <c r="C27" s="460" t="b">
        <v>0</v>
      </c>
      <c r="D27" s="460" t="inlineStr">
        <is>
          <t>👁</t>
        </is>
      </c>
      <c r="E27" s="460" t="inlineStr">
        <is>
          <t>⛔</t>
        </is>
      </c>
      <c r="F27" s="460" t="inlineStr">
        <is>
          <t>⛔</t>
        </is>
      </c>
      <c r="G27" s="460" t="inlineStr">
        <is>
          <t>⛔</t>
        </is>
      </c>
      <c r="H27" s="460" t="inlineStr">
        <is>
          <t>⛔</t>
        </is>
      </c>
      <c r="I27" s="460" t="inlineStr">
        <is>
          <t>⛔</t>
        </is>
      </c>
      <c r="J27" s="460" t="inlineStr">
        <is>
          <t>✏️</t>
        </is>
      </c>
    </row>
    <row r="28">
      <c r="A28" s="218" t="inlineStr">
        <is>
          <t>changelog</t>
        </is>
      </c>
      <c r="B28" s="218" t="inlineStr">
        <is>
          <t>Системные</t>
        </is>
      </c>
      <c r="C28" s="460" t="b">
        <v>1</v>
      </c>
      <c r="D28" s="460" t="inlineStr">
        <is>
          <t>👁</t>
        </is>
      </c>
      <c r="E28" s="460" t="inlineStr">
        <is>
          <t>👁</t>
        </is>
      </c>
      <c r="F28" s="460" t="inlineStr">
        <is>
          <t>👁</t>
        </is>
      </c>
      <c r="G28" s="460" t="inlineStr">
        <is>
          <t>👁</t>
        </is>
      </c>
      <c r="H28" s="460" t="inlineStr">
        <is>
          <t>👁</t>
        </is>
      </c>
      <c r="I28" s="460" t="inlineStr">
        <is>
          <t>👁</t>
        </is>
      </c>
      <c r="J28" s="460" t="inlineStr">
        <is>
          <t>👁</t>
        </is>
      </c>
    </row>
    <row r="29">
      <c r="A29" s="218" t="inlineStr">
        <is>
          <t>🔐 RBAC_Matrix</t>
        </is>
      </c>
      <c r="B29" s="218" t="inlineStr">
        <is>
          <t>Системные</t>
        </is>
      </c>
      <c r="C29" s="460" t="b">
        <v>0</v>
      </c>
      <c r="D29" s="460" t="inlineStr">
        <is>
          <t>✏️</t>
        </is>
      </c>
      <c r="E29" s="460" t="inlineStr">
        <is>
          <t>⛔</t>
        </is>
      </c>
      <c r="F29" s="460" t="inlineStr">
        <is>
          <t>⛔</t>
        </is>
      </c>
      <c r="G29" s="460" t="inlineStr">
        <is>
          <t>⛔</t>
        </is>
      </c>
      <c r="H29" s="460" t="inlineStr">
        <is>
          <t>⛔</t>
        </is>
      </c>
      <c r="I29" s="460" t="inlineStr">
        <is>
          <t>⛔</t>
        </is>
      </c>
      <c r="J29" s="460" t="inlineStr">
        <is>
          <t>✏️</t>
        </is>
      </c>
    </row>
    <row r="30">
      <c r="A30" s="218" t="inlineStr">
        <is>
          <t>calc_engine</t>
        </is>
      </c>
      <c r="B30" s="218" t="inlineStr">
        <is>
          <t>Calc</t>
        </is>
      </c>
      <c r="C30" s="460" t="b">
        <v>0</v>
      </c>
      <c r="D30" s="460" t="inlineStr">
        <is>
          <t>⛔</t>
        </is>
      </c>
      <c r="E30" s="460" t="inlineStr">
        <is>
          <t>⛔</t>
        </is>
      </c>
      <c r="F30" s="460" t="inlineStr">
        <is>
          <t>⛔</t>
        </is>
      </c>
      <c r="G30" s="460" t="inlineStr">
        <is>
          <t>⛔</t>
        </is>
      </c>
      <c r="H30" s="460" t="inlineStr">
        <is>
          <t>⛔</t>
        </is>
      </c>
      <c r="I30" s="460" t="inlineStr">
        <is>
          <t>⛔</t>
        </is>
      </c>
      <c r="J30" s="460" t="inlineStr">
        <is>
          <t>✏️</t>
        </is>
      </c>
    </row>
    <row r="31">
      <c r="A31" s="218" t="inlineStr">
        <is>
          <t>calc_sales</t>
        </is>
      </c>
      <c r="B31" s="218" t="inlineStr">
        <is>
          <t>Calc</t>
        </is>
      </c>
      <c r="C31" s="460" t="b">
        <v>0</v>
      </c>
      <c r="D31" s="460" t="inlineStr">
        <is>
          <t>⛔</t>
        </is>
      </c>
      <c r="E31" s="460" t="inlineStr">
        <is>
          <t>⛔</t>
        </is>
      </c>
      <c r="F31" s="460" t="inlineStr">
        <is>
          <t>⛔</t>
        </is>
      </c>
      <c r="G31" s="460" t="inlineStr">
        <is>
          <t>⛔</t>
        </is>
      </c>
      <c r="H31" s="460" t="inlineStr">
        <is>
          <t>⛔</t>
        </is>
      </c>
      <c r="I31" s="460" t="inlineStr">
        <is>
          <t>⛔</t>
        </is>
      </c>
      <c r="J31" s="460" t="inlineStr">
        <is>
          <t>✏️</t>
        </is>
      </c>
    </row>
    <row r="32">
      <c r="A32" s="218" t="inlineStr">
        <is>
          <t>calc_marketing</t>
        </is>
      </c>
      <c r="B32" s="218" t="inlineStr">
        <is>
          <t>Calc</t>
        </is>
      </c>
      <c r="C32" s="460" t="b">
        <v>0</v>
      </c>
      <c r="D32" s="460" t="inlineStr">
        <is>
          <t>⛔</t>
        </is>
      </c>
      <c r="E32" s="460" t="inlineStr">
        <is>
          <t>⛔</t>
        </is>
      </c>
      <c r="F32" s="460" t="inlineStr">
        <is>
          <t>⛔</t>
        </is>
      </c>
      <c r="G32" s="460" t="inlineStr">
        <is>
          <t>⛔</t>
        </is>
      </c>
      <c r="H32" s="460" t="inlineStr">
        <is>
          <t>⛔</t>
        </is>
      </c>
      <c r="I32" s="460" t="inlineStr">
        <is>
          <t>⛔</t>
        </is>
      </c>
      <c r="J32" s="460" t="inlineStr">
        <is>
          <t>✏️</t>
        </is>
      </c>
    </row>
    <row r="33">
      <c r="A33" s="218" t="inlineStr">
        <is>
          <t>calc_finance</t>
        </is>
      </c>
      <c r="B33" s="218" t="inlineStr">
        <is>
          <t>Calc</t>
        </is>
      </c>
      <c r="C33" s="460" t="b">
        <v>0</v>
      </c>
      <c r="D33" s="460" t="inlineStr">
        <is>
          <t>⛔</t>
        </is>
      </c>
      <c r="E33" s="460" t="inlineStr">
        <is>
          <t>⛔</t>
        </is>
      </c>
      <c r="F33" s="460" t="inlineStr">
        <is>
          <t>⛔</t>
        </is>
      </c>
      <c r="G33" s="460" t="inlineStr">
        <is>
          <t>⛔</t>
        </is>
      </c>
      <c r="H33" s="460" t="inlineStr">
        <is>
          <t>⛔</t>
        </is>
      </c>
      <c r="I33" s="460" t="inlineStr">
        <is>
          <t>⛔</t>
        </is>
      </c>
      <c r="J33" s="460" t="inlineStr">
        <is>
          <t>✏️</t>
        </is>
      </c>
    </row>
    <row r="34">
      <c r="A34" s="218" t="inlineStr">
        <is>
          <t>calc_simulator</t>
        </is>
      </c>
      <c r="B34" s="218" t="inlineStr">
        <is>
          <t>Calc</t>
        </is>
      </c>
      <c r="C34" s="460" t="b">
        <v>0</v>
      </c>
      <c r="D34" s="460" t="inlineStr">
        <is>
          <t>⛔</t>
        </is>
      </c>
      <c r="E34" s="460" t="inlineStr">
        <is>
          <t>⛔</t>
        </is>
      </c>
      <c r="F34" s="460" t="inlineStr">
        <is>
          <t>⛔</t>
        </is>
      </c>
      <c r="G34" s="460" t="inlineStr">
        <is>
          <t>⛔</t>
        </is>
      </c>
      <c r="H34" s="460" t="inlineStr">
        <is>
          <t>⛔</t>
        </is>
      </c>
      <c r="I34" s="460" t="inlineStr">
        <is>
          <t>⛔</t>
        </is>
      </c>
      <c r="J34" s="460" t="inlineStr">
        <is>
          <t>✏️</t>
        </is>
      </c>
    </row>
    <row r="35">
      <c r="A35" s="218" t="inlineStr">
        <is>
          <t>raw_deals</t>
        </is>
      </c>
      <c r="B35" s="218" t="inlineStr">
        <is>
          <t>Raw</t>
        </is>
      </c>
      <c r="C35" s="460" t="b">
        <v>0</v>
      </c>
      <c r="D35" s="460" t="inlineStr">
        <is>
          <t>⛔</t>
        </is>
      </c>
      <c r="E35" s="460" t="inlineStr">
        <is>
          <t>⛔</t>
        </is>
      </c>
      <c r="F35" s="460" t="inlineStr">
        <is>
          <t>⛔</t>
        </is>
      </c>
      <c r="G35" s="460" t="inlineStr">
        <is>
          <t>⛔</t>
        </is>
      </c>
      <c r="H35" s="460" t="inlineStr">
        <is>
          <t>⛔</t>
        </is>
      </c>
      <c r="I35" s="460" t="inlineStr">
        <is>
          <t>⛔</t>
        </is>
      </c>
      <c r="J35" s="460" t="inlineStr">
        <is>
          <t>✏️</t>
        </is>
      </c>
    </row>
    <row r="36">
      <c r="A36" s="218" t="inlineStr">
        <is>
          <t>raw_calls</t>
        </is>
      </c>
      <c r="B36" s="218" t="inlineStr">
        <is>
          <t>Raw</t>
        </is>
      </c>
      <c r="C36" s="460" t="b">
        <v>0</v>
      </c>
      <c r="D36" s="460" t="inlineStr">
        <is>
          <t>⛔</t>
        </is>
      </c>
      <c r="E36" s="460" t="inlineStr">
        <is>
          <t>⛔</t>
        </is>
      </c>
      <c r="F36" s="460" t="inlineStr">
        <is>
          <t>⛔</t>
        </is>
      </c>
      <c r="G36" s="460" t="inlineStr">
        <is>
          <t>⛔</t>
        </is>
      </c>
      <c r="H36" s="460" t="inlineStr">
        <is>
          <t>⛔</t>
        </is>
      </c>
      <c r="I36" s="460" t="inlineStr">
        <is>
          <t>⛔</t>
        </is>
      </c>
      <c r="J36" s="460" t="inlineStr">
        <is>
          <t>✏️</t>
        </is>
      </c>
    </row>
    <row r="37">
      <c r="A37" s="218" t="inlineStr">
        <is>
          <t>raw_invoices</t>
        </is>
      </c>
      <c r="B37" s="218" t="inlineStr">
        <is>
          <t>Raw</t>
        </is>
      </c>
      <c r="C37" s="460" t="b">
        <v>0</v>
      </c>
      <c r="D37" s="460" t="inlineStr">
        <is>
          <t>⛔</t>
        </is>
      </c>
      <c r="E37" s="460" t="inlineStr">
        <is>
          <t>⛔</t>
        </is>
      </c>
      <c r="F37" s="460" t="inlineStr">
        <is>
          <t>⛔</t>
        </is>
      </c>
      <c r="G37" s="460" t="inlineStr">
        <is>
          <t>⛔</t>
        </is>
      </c>
      <c r="H37" s="460" t="inlineStr">
        <is>
          <t>⛔</t>
        </is>
      </c>
      <c r="I37" s="460" t="inlineStr">
        <is>
          <t>⛔</t>
        </is>
      </c>
      <c r="J37" s="460" t="inlineStr">
        <is>
          <t>✏️</t>
        </is>
      </c>
    </row>
    <row r="38">
      <c r="A38" s="218" t="inlineStr">
        <is>
          <t>raw_marketing</t>
        </is>
      </c>
      <c r="B38" s="218" t="inlineStr">
        <is>
          <t>Raw</t>
        </is>
      </c>
      <c r="C38" s="460" t="b">
        <v>0</v>
      </c>
      <c r="D38" s="460" t="inlineStr">
        <is>
          <t>⛔</t>
        </is>
      </c>
      <c r="E38" s="460" t="inlineStr">
        <is>
          <t>⛔</t>
        </is>
      </c>
      <c r="F38" s="460" t="inlineStr">
        <is>
          <t>⛔</t>
        </is>
      </c>
      <c r="G38" s="460" t="inlineStr">
        <is>
          <t>⛔</t>
        </is>
      </c>
      <c r="H38" s="460" t="inlineStr">
        <is>
          <t>⛔</t>
        </is>
      </c>
      <c r="I38" s="460" t="inlineStr">
        <is>
          <t>⛔</t>
        </is>
      </c>
      <c r="J38" s="460" t="inlineStr">
        <is>
          <t>✏️</t>
        </is>
      </c>
    </row>
    <row r="39">
      <c r="A39" s="218" t="inlineStr">
        <is>
          <t>raw_touchpoints</t>
        </is>
      </c>
      <c r="B39" s="218" t="inlineStr">
        <is>
          <t>Raw</t>
        </is>
      </c>
      <c r="C39" s="460" t="b">
        <v>0</v>
      </c>
      <c r="D39" s="460" t="inlineStr">
        <is>
          <t>⛔</t>
        </is>
      </c>
      <c r="E39" s="460" t="inlineStr">
        <is>
          <t>⛔</t>
        </is>
      </c>
      <c r="F39" s="460" t="inlineStr">
        <is>
          <t>⛔</t>
        </is>
      </c>
      <c r="G39" s="460" t="inlineStr">
        <is>
          <t>⛔</t>
        </is>
      </c>
      <c r="H39" s="460" t="inlineStr">
        <is>
          <t>⛔</t>
        </is>
      </c>
      <c r="I39" s="460" t="inlineStr">
        <is>
          <t>⛔</t>
        </is>
      </c>
      <c r="J39" s="460" t="inlineStr">
        <is>
          <t>✏️</t>
        </is>
      </c>
    </row>
    <row r="40">
      <c r="A40" s="218" t="inlineStr">
        <is>
          <t>raw_payments</t>
        </is>
      </c>
      <c r="B40" s="218" t="inlineStr">
        <is>
          <t>Raw</t>
        </is>
      </c>
      <c r="C40" s="460" t="b">
        <v>0</v>
      </c>
      <c r="D40" s="460" t="inlineStr">
        <is>
          <t>⛔</t>
        </is>
      </c>
      <c r="E40" s="460" t="inlineStr">
        <is>
          <t>⛔</t>
        </is>
      </c>
      <c r="F40" s="460" t="inlineStr">
        <is>
          <t>⛔</t>
        </is>
      </c>
      <c r="G40" s="460" t="inlineStr">
        <is>
          <t>⛔</t>
        </is>
      </c>
      <c r="H40" s="460" t="inlineStr">
        <is>
          <t>⛔</t>
        </is>
      </c>
      <c r="I40" s="460" t="inlineStr">
        <is>
          <t>⛔</t>
        </is>
      </c>
      <c r="J40" s="460" t="inlineStr">
        <is>
          <t>✏️</t>
        </is>
      </c>
    </row>
    <row r="41">
      <c r="A41" s="218" t="inlineStr">
        <is>
          <t>raw_alerts</t>
        </is>
      </c>
      <c r="B41" s="218" t="inlineStr">
        <is>
          <t>Raw</t>
        </is>
      </c>
      <c r="C41" s="460" t="b">
        <v>0</v>
      </c>
      <c r="D41" s="460" t="inlineStr">
        <is>
          <t>⛔</t>
        </is>
      </c>
      <c r="E41" s="460" t="inlineStr">
        <is>
          <t>⛔</t>
        </is>
      </c>
      <c r="F41" s="460" t="inlineStr">
        <is>
          <t>⛔</t>
        </is>
      </c>
      <c r="G41" s="460" t="inlineStr">
        <is>
          <t>⛔</t>
        </is>
      </c>
      <c r="H41" s="460" t="inlineStr">
        <is>
          <t>⛔</t>
        </is>
      </c>
      <c r="I41" s="460" t="inlineStr">
        <is>
          <t>⛔</t>
        </is>
      </c>
      <c r="J41" s="460" t="inlineStr">
        <is>
          <t>✏️</t>
        </is>
      </c>
    </row>
    <row r="42">
      <c r="A42" s="218" t="inlineStr">
        <is>
          <t>raw_audit_log</t>
        </is>
      </c>
      <c r="B42" s="218" t="inlineStr">
        <is>
          <t>Raw</t>
        </is>
      </c>
      <c r="C42" s="460" t="b">
        <v>0</v>
      </c>
      <c r="D42" s="460" t="inlineStr">
        <is>
          <t>⛔</t>
        </is>
      </c>
      <c r="E42" s="460" t="inlineStr">
        <is>
          <t>⛔</t>
        </is>
      </c>
      <c r="F42" s="460" t="inlineStr">
        <is>
          <t>⛔</t>
        </is>
      </c>
      <c r="G42" s="460" t="inlineStr">
        <is>
          <t>⛔</t>
        </is>
      </c>
      <c r="H42" s="460" t="inlineStr">
        <is>
          <t>⛔</t>
        </is>
      </c>
      <c r="I42" s="460" t="inlineStr">
        <is>
          <t>⛔</t>
        </is>
      </c>
      <c r="J42" s="460" t="inlineStr">
        <is>
          <t>✏️</t>
        </is>
      </c>
    </row>
    <row r="43">
      <c r="A43" s="218" t="inlineStr">
        <is>
          <t>🛠️ Apps_Script_Console</t>
        </is>
      </c>
      <c r="B43" s="218" t="inlineStr">
        <is>
          <t>Служебные</t>
        </is>
      </c>
      <c r="C43" s="460" t="b">
        <v>0</v>
      </c>
      <c r="D43" s="460" t="inlineStr">
        <is>
          <t>⛔</t>
        </is>
      </c>
      <c r="E43" s="460" t="inlineStr">
        <is>
          <t>⛔</t>
        </is>
      </c>
      <c r="F43" s="460" t="inlineStr">
        <is>
          <t>⛔</t>
        </is>
      </c>
      <c r="G43" s="460" t="inlineStr">
        <is>
          <t>⛔</t>
        </is>
      </c>
      <c r="H43" s="460" t="inlineStr">
        <is>
          <t>⛔</t>
        </is>
      </c>
      <c r="I43" s="460" t="inlineStr">
        <is>
          <t>⛔</t>
        </is>
      </c>
      <c r="J43" s="460" t="inlineStr">
        <is>
          <t>✏️</t>
        </is>
      </c>
    </row>
    <row r="44">
      <c r="A44" s="218" t="inlineStr">
        <is>
          <t>🔐 Code_Archive</t>
        </is>
      </c>
      <c r="B44" s="218" t="inlineStr">
        <is>
          <t>Служебные</t>
        </is>
      </c>
      <c r="C44" s="460" t="b">
        <v>0</v>
      </c>
      <c r="D44" s="460" t="inlineStr">
        <is>
          <t>⛔</t>
        </is>
      </c>
      <c r="E44" s="460" t="inlineStr">
        <is>
          <t>⛔</t>
        </is>
      </c>
      <c r="F44" s="460" t="inlineStr">
        <is>
          <t>⛔</t>
        </is>
      </c>
      <c r="G44" s="460" t="inlineStr">
        <is>
          <t>⛔</t>
        </is>
      </c>
      <c r="H44" s="460" t="inlineStr">
        <is>
          <t>⛔</t>
        </is>
      </c>
      <c r="I44" s="460" t="inlineStr">
        <is>
          <t>⛔</t>
        </is>
      </c>
      <c r="J44" s="460" t="inlineStr">
        <is>
          <t>✏️</t>
        </is>
      </c>
    </row>
    <row r="45">
      <c r="A45" s="218" t="inlineStr">
        <is>
          <t>📋 Data_Contract</t>
        </is>
      </c>
      <c r="B45" s="218" t="inlineStr">
        <is>
          <t>Служебные</t>
        </is>
      </c>
      <c r="C45" s="460" t="b">
        <v>0</v>
      </c>
      <c r="D45" s="460" t="inlineStr">
        <is>
          <t>⛔</t>
        </is>
      </c>
      <c r="E45" s="460" t="inlineStr">
        <is>
          <t>⛔</t>
        </is>
      </c>
      <c r="F45" s="460" t="inlineStr">
        <is>
          <t>⛔</t>
        </is>
      </c>
      <c r="G45" s="460" t="inlineStr">
        <is>
          <t>⛔</t>
        </is>
      </c>
      <c r="H45" s="460" t="inlineStr">
        <is>
          <t>⛔</t>
        </is>
      </c>
      <c r="I45" s="460" t="inlineStr">
        <is>
          <t>⛔</t>
        </is>
      </c>
      <c r="J45" s="460" t="inlineStr">
        <is>
          <t>✏️</t>
        </is>
      </c>
    </row>
    <row r="46">
      <c r="A46" s="218" t="inlineStr">
        <is>
          <t>🆔 ID_Registry</t>
        </is>
      </c>
      <c r="B46" s="218" t="inlineStr">
        <is>
          <t>Служебные</t>
        </is>
      </c>
      <c r="C46" s="460" t="b">
        <v>0</v>
      </c>
      <c r="D46" s="460" t="inlineStr">
        <is>
          <t>⛔</t>
        </is>
      </c>
      <c r="E46" s="460" t="inlineStr">
        <is>
          <t>⛔</t>
        </is>
      </c>
      <c r="F46" s="460" t="inlineStr">
        <is>
          <t>⛔</t>
        </is>
      </c>
      <c r="G46" s="460" t="inlineStr">
        <is>
          <t>⛔</t>
        </is>
      </c>
      <c r="H46" s="460" t="inlineStr">
        <is>
          <t>⛔</t>
        </is>
      </c>
      <c r="I46" s="460" t="inlineStr">
        <is>
          <t>⛔</t>
        </is>
      </c>
      <c r="J46" s="460" t="inlineStr">
        <is>
          <t>✏️</t>
        </is>
      </c>
    </row>
  </sheetData>
  <conditionalFormatting sqref="D2:J46">
    <cfRule type="containsText" priority="1" operator="containsText" dxfId="0" stopIfTrue="1" text="👁">
      <formula>NOT(ISERROR(SEARCH(("👁"),(D2))))</formula>
    </cfRule>
    <cfRule type="containsText" priority="2" operator="containsText" dxfId="1" stopIfTrue="1" text="✏️">
      <formula>NOT(ISERROR(SEARCH(("✏️"),(D2))))</formula>
    </cfRule>
    <cfRule type="containsText" priority="3" operator="containsText" dxfId="2" stopIfTrue="1" text="⛔">
      <formula>NOT(ISERROR(SEARCH(("⛔"),(D2))))</formula>
    </cfRule>
    <cfRule type="containsText" priority="4" operator="containsText" dxfId="0" stopIfTrue="1" text="👁">
      <formula>NOT(ISERROR(SEARCH(("👁"),(D2))))</formula>
    </cfRule>
    <cfRule type="containsText" priority="5" operator="containsText" dxfId="1" stopIfTrue="1" text="✏️">
      <formula>NOT(ISERROR(SEARCH(("✏️"),(D2))))</formula>
    </cfRule>
    <cfRule type="containsText" priority="6" operator="containsText" dxfId="2" stopIfTrue="1" text="⛔">
      <formula>NOT(ISERROR(SEARCH(("⛔"),(D2))))</formula>
    </cfRule>
  </conditionalFormatting>
  <dataValidations count="2">
    <dataValidation sqref="D2:J46" showDropDown="0" showInputMessage="0" showErrorMessage="1" allowBlank="1" type="list">
      <formula1>"👁,✏️,⛔"</formula1>
    </dataValidation>
    <dataValidation sqref="B2:B46" showDropDown="0" showInputMessage="0" showErrorMessage="1" allowBlank="1" type="list">
      <formula1>"Системные,Витрины,Служебные,Raw,Calc"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2026-10-03T17:34:46Z</dcterms:created>
  <dcterms:modified xmlns:dcterms="http://purl.org/dc/terms/" xmlns:xsi="http://www.w3.org/2001/XMLSchema-instance" xsi:type="dcterms:W3CDTF">2026-10-03T17:36:05Z</dcterms:modified>
</cp:coreProperties>
</file>