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⚡ Экспресс_Калькулятор_ROI" sheetId="1" state="visible" r:id="rId1"/>
    <sheet xmlns:r="http://schemas.openxmlformats.org/officeDocument/2006/relationships" name="📋 Пульт_РОПа_15_Минут" sheetId="2" state="visible" r:id="rId2"/>
    <sheet xmlns:r="http://schemas.openxmlformats.org/officeDocument/2006/relationships" name="🎙️ ИИ_Аудит_25_Звонков" sheetId="3" state="visible" r:id="rId3"/>
    <sheet xmlns:r="http://schemas.openxmlformats.org/officeDocument/2006/relationships" name="💸 Диагностика_Утечек" sheetId="4" state="visible" r:id="rId4"/>
    <sheet xmlns:r="http://schemas.openxmlformats.org/officeDocument/2006/relationships" name="🔐 152-ФЗ_Контур_Безопасност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₽"/>
    <numFmt numFmtId="165" formatCode="0.0%"/>
    <numFmt numFmtId="166" formatCode="0.0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12"/>
    </font>
    <font>
      <name val="Segoe UI"/>
      <b val="1"/>
      <color rgb="001E293B"/>
      <sz val="10"/>
    </font>
    <font>
      <name val="Segoe UI"/>
      <b val="1"/>
      <color rgb="001E3A8A"/>
      <sz val="11"/>
    </font>
    <font>
      <name val="Segoe UI"/>
      <b val="1"/>
      <color rgb="001E293B"/>
      <sz val="18"/>
    </font>
    <font>
      <name val="Segoe UI"/>
      <b val="1"/>
      <color rgb="00DC2626"/>
      <sz val="18"/>
    </font>
    <font>
      <name val="Segoe UI"/>
      <b val="1"/>
      <color rgb="0016A34A"/>
      <sz val="18"/>
    </font>
    <font>
      <name val="Segoe UI"/>
      <color rgb="00334155"/>
      <sz val="10"/>
    </font>
    <font>
      <name val="Segoe UI"/>
      <b val="1"/>
      <color rgb="00DC2626"/>
      <sz val="10"/>
    </font>
    <font>
      <name val="Segoe UI"/>
      <b val="1"/>
      <color rgb="0016A34A"/>
      <sz val="10"/>
    </font>
    <font>
      <name val="Segoe UI"/>
      <b val="1"/>
      <color rgb="001E3A8A"/>
      <sz val="10"/>
    </font>
    <font>
      <name val="Segoe UI"/>
      <b val="1"/>
      <color rgb="00FFFFFF"/>
      <sz val="10"/>
    </font>
    <font>
      <name val="Segoe UI"/>
      <b val="1"/>
      <color rgb="00D97706"/>
      <sz val="10"/>
    </font>
    <font>
      <name val="Segoe UI"/>
      <b val="1"/>
      <color rgb="0016A34A"/>
      <sz val="9"/>
    </font>
    <font>
      <name val="Segoe UI"/>
      <b val="1"/>
      <color rgb="00DC2626"/>
      <sz val="9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EEF2FF"/>
        <bgColor rgb="00EEF2FF"/>
      </patternFill>
    </fill>
    <fill>
      <patternFill patternType="solid">
        <fgColor rgb="001E293B"/>
        <bgColor rgb="001E293B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F46E5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pivotButton="0" quotePrefix="0" xfId="0"/>
    <xf numFmtId="1" fontId="5" fillId="3" borderId="1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164" fontId="6" fillId="4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center" vertical="center"/>
    </xf>
    <xf numFmtId="3" fontId="5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3" fillId="0" borderId="0" pivotButton="0" quotePrefix="0" xfId="0"/>
    <xf numFmtId="0" fontId="9" fillId="0" borderId="1" pivotButton="0" quotePrefix="0" xfId="0"/>
    <xf numFmtId="3" fontId="4" fillId="0" borderId="1" applyAlignment="1" pivotButton="0" quotePrefix="0" xfId="0">
      <alignment horizontal="right" vertical="center"/>
    </xf>
    <xf numFmtId="0" fontId="2" fillId="0" borderId="1" pivotButton="0" quotePrefix="0" xfId="0"/>
    <xf numFmtId="164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4" fontId="11" fillId="0" borderId="1" applyAlignment="1" pivotButton="0" quotePrefix="0" xfId="0">
      <alignment horizontal="right" vertical="center"/>
    </xf>
    <xf numFmtId="49" fontId="4" fillId="0" borderId="1" applyAlignment="1" pivotButton="0" quotePrefix="0" xfId="0">
      <alignment horizontal="right" vertical="center"/>
    </xf>
    <xf numFmtId="9" fontId="11" fillId="0" borderId="1" applyAlignment="1" pivotButton="0" quotePrefix="0" xfId="0">
      <alignment horizontal="right" vertical="center"/>
    </xf>
    <xf numFmtId="0" fontId="12" fillId="7" borderId="0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6" fontId="9" fillId="0" borderId="1" applyAlignment="1" pivotButton="0" quotePrefix="0" xfId="0">
      <alignment horizontal="center" vertical="center"/>
    </xf>
    <xf numFmtId="9" fontId="11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right" vertical="center"/>
    </xf>
    <xf numFmtId="0" fontId="11" fillId="6" borderId="1" pivotButton="0" quotePrefix="0" xfId="0"/>
    <xf numFmtId="9" fontId="14" fillId="0" borderId="1" applyAlignment="1" pivotButton="0" quotePrefix="0" xfId="0">
      <alignment horizontal="center" vertical="center"/>
    </xf>
    <xf numFmtId="0" fontId="14" fillId="9" borderId="1" pivotButton="0" quotePrefix="0" xfId="0"/>
    <xf numFmtId="9" fontId="10" fillId="0" borderId="1" applyAlignment="1" pivotButton="0" quotePrefix="0" xfId="0">
      <alignment horizontal="center" vertical="center"/>
    </xf>
    <xf numFmtId="0" fontId="10" fillId="5" borderId="1" pivotButton="0" quotePrefix="0" xfId="0"/>
    <xf numFmtId="0" fontId="4" fillId="0" borderId="2" pivotButton="0" quotePrefix="0" xfId="0"/>
    <xf numFmtId="3" fontId="4" fillId="0" borderId="2" pivotButton="0" quotePrefix="0" xfId="0"/>
    <xf numFmtId="166" fontId="4" fillId="0" borderId="2" pivotButton="0" quotePrefix="0" xfId="0"/>
    <xf numFmtId="9" fontId="4" fillId="0" borderId="2" pivotButton="0" quotePrefix="0" xfId="0"/>
    <xf numFmtId="164" fontId="4" fillId="0" borderId="2" pivotButton="0" quotePrefix="0" xfId="0"/>
    <xf numFmtId="0" fontId="9" fillId="4" borderId="1" pivotButton="0" quotePrefix="0" xfId="0"/>
    <xf numFmtId="0" fontId="13" fillId="8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5" fillId="6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0" fillId="0" borderId="2" pivotButton="0" quotePrefix="0" xfId="0"/>
    <xf numFmtId="164" fontId="7" fillId="0" borderId="2" applyAlignment="1" pivotButton="0" quotePrefix="0" xfId="0">
      <alignment horizontal="right" vertical="center"/>
    </xf>
    <xf numFmtId="0" fontId="4" fillId="6" borderId="2" pivotButton="0" quotePrefix="0" xfId="0"/>
    <xf numFmtId="0" fontId="11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2" customWidth="1" min="2" max="2"/>
    <col width="24" customWidth="1" min="3" max="3"/>
    <col width="18" customWidth="1" min="4" max="4"/>
    <col width="11" customWidth="1" min="5" max="5"/>
    <col width="33" customWidth="1" min="6" max="6"/>
    <col width="11" customWidth="1" min="7" max="7"/>
    <col width="50" customWidth="1" min="8" max="8"/>
    <col width="11" customWidth="1" min="9" max="9"/>
    <col width="11" customWidth="1" min="10" max="10"/>
  </cols>
  <sheetData>
    <row r="1"/>
    <row r="2" ht="38" customHeight="1">
      <c r="B2" s="1" t="inlineStr">
        <is>
          <t>RevOps Enterprise OS V17.6 — Интерактивный Калькулятор Окупаемости и Утечек</t>
        </is>
      </c>
    </row>
    <row r="3" ht="20" customHeight="1">
      <c r="B3" s="2" t="inlineStr">
        <is>
          <t>Измените желтые ячейки ниже, чтобы рассчитать потери вашего отдела продаж и возврат выручки</t>
        </is>
      </c>
    </row>
    <row r="4"/>
    <row r="5">
      <c r="B5" s="3" t="inlineStr">
        <is>
          <t>ПАРАМЕТРЫ ВАШЕГО БИЗНЕСА (ВВОД)</t>
        </is>
      </c>
      <c r="F5" s="4" t="inlineStr">
        <is>
          <t>Квалифицированный пайплайн</t>
        </is>
      </c>
      <c r="H5" s="5" t="inlineStr">
        <is>
          <t>Ежемесячные потери (слив Next Step)</t>
        </is>
      </c>
    </row>
    <row r="6" ht="24" customHeight="1">
      <c r="B6" s="6" t="inlineStr">
        <is>
          <t>Количество менеджеров по продажам (ОП)</t>
        </is>
      </c>
      <c r="C6" s="7" t="n">
        <v>5</v>
      </c>
      <c r="D6" s="8" t="inlineStr">
        <is>
          <t>чел</t>
        </is>
      </c>
      <c r="F6" s="9">
        <f>C7*C9*C8</f>
        <v/>
      </c>
      <c r="H6" s="10">
        <f>F6*0.18</f>
        <v/>
      </c>
    </row>
    <row r="7" ht="24" customHeight="1">
      <c r="B7" s="6" t="inlineStr">
        <is>
          <t>Входящий поток лидов в месяц</t>
        </is>
      </c>
      <c r="C7" s="11" t="n">
        <v>150</v>
      </c>
      <c r="D7" s="8" t="inlineStr">
        <is>
          <t>лидов</t>
        </is>
      </c>
    </row>
    <row r="8" ht="24" customHeight="1">
      <c r="B8" s="6" t="inlineStr">
        <is>
          <t>Средний чек закрытой сделки</t>
        </is>
      </c>
      <c r="C8" s="12" t="n">
        <v>400000</v>
      </c>
      <c r="D8" s="8" t="inlineStr">
        <is>
          <t>₽</t>
        </is>
      </c>
      <c r="F8" s="13" t="inlineStr">
        <is>
          <t>Возврат выручки (Месяц 1, 35%)</t>
        </is>
      </c>
      <c r="H8" s="13" t="inlineStr">
        <is>
          <t>Срок окупаемости подписки</t>
        </is>
      </c>
    </row>
    <row r="9" ht="24" customHeight="1">
      <c r="B9" s="6" t="inlineStr">
        <is>
          <t>Доля целевых квалифицированных лидов (SQL / B2B норма)</t>
        </is>
      </c>
      <c r="C9" s="14" t="n">
        <v>0.18</v>
      </c>
      <c r="D9" s="8" t="inlineStr">
        <is>
          <t>%</t>
        </is>
      </c>
      <c r="F9" s="15">
        <f>H6*0.35</f>
        <v/>
      </c>
      <c r="H9" s="16">
        <f>ROUNDUP(IF(C6&lt;=5,49000,IF(C6&lt;=10,79000,120000))/(F9/30),0)&amp;" дня"</f>
        <v/>
      </c>
    </row>
    <row r="10"/>
    <row r="11"/>
    <row r="12">
      <c r="B12" s="17" t="inlineStr">
        <is>
          <t>ФИНАНСОВЫЙ РАСЧЕТ И ЭКОНОМИЧЕСКИЙ ЭФФЕКТ СИСТЕМЫ</t>
        </is>
      </c>
    </row>
    <row r="13" ht="22" customHeight="1">
      <c r="B13" s="18" t="inlineStr">
        <is>
          <t>1. Объем целевых квалифицированных сделок в месяц</t>
        </is>
      </c>
      <c r="C13" s="19">
        <f>C7*C9</f>
        <v/>
      </c>
      <c r="D13" s="20" t="inlineStr">
        <is>
          <t>сделок</t>
        </is>
      </c>
    </row>
    <row r="14" ht="22" customHeight="1">
      <c r="B14" s="18" t="inlineStr">
        <is>
          <t>2. Общий объем квалифицированного пайплайна в работе</t>
        </is>
      </c>
      <c r="C14" s="21">
        <f>C13*C8</f>
        <v/>
      </c>
      <c r="D14" s="20" t="inlineStr">
        <is>
          <t>рублей</t>
        </is>
      </c>
    </row>
    <row r="15" ht="22" customHeight="1">
      <c r="B15" s="18" t="inlineStr">
        <is>
          <t>3. Доля сделок, теряемых из-за отсутствия жесткого Next Step</t>
        </is>
      </c>
      <c r="C15" s="22" t="inlineStr">
        <is>
          <t>18.0%</t>
        </is>
      </c>
      <c r="D15" s="20" t="inlineStr">
        <is>
          <t>стандарт B2B</t>
        </is>
      </c>
    </row>
    <row r="16" ht="22" customHeight="1">
      <c r="B16" s="6" t="inlineStr">
        <is>
          <t>4. Суммарная потерянная выручка компании в месяц</t>
        </is>
      </c>
      <c r="C16" s="23">
        <f>C14*0.18</f>
        <v/>
      </c>
      <c r="D16" s="20" t="inlineStr">
        <is>
          <t>рублей/мес</t>
        </is>
      </c>
    </row>
    <row r="17" ht="22" customHeight="1">
      <c r="B17" s="6" t="inlineStr">
        <is>
          <t>5. Возврат зависших сделок в первый месяц внедрения (35%)</t>
        </is>
      </c>
      <c r="C17" s="24">
        <f>C16*0.35</f>
        <v/>
      </c>
      <c r="D17" s="20" t="inlineStr">
        <is>
          <t>чистый приток</t>
        </is>
      </c>
    </row>
    <row r="18" ht="22" customHeight="1">
      <c r="B18" s="18" t="inlineStr">
        <is>
          <t>6. Рекомендуемый тариф подписки RevOps AI Supervisor</t>
        </is>
      </c>
      <c r="C18" s="25">
        <f>IF(C6&lt;=5,"Старт (49 000 ₽)",IF(C6&lt;=10,"Бизнес (79 000 ₽)","Enterprise (120 000 ₽)"))</f>
        <v/>
      </c>
      <c r="D18" s="20" t="inlineStr">
        <is>
          <t>в месяц</t>
        </is>
      </c>
    </row>
    <row r="19" ht="22" customHeight="1">
      <c r="B19" s="6" t="inlineStr">
        <is>
          <t>7. Чистая прибыль компании от внедрения за месяц</t>
        </is>
      </c>
      <c r="C19" s="24">
        <f>C17-IF(C6&lt;=5,49000,IF(C6&lt;=10,79000,120000))</f>
        <v/>
      </c>
      <c r="D19" s="20" t="inlineStr">
        <is>
          <t>чистая выгода</t>
        </is>
      </c>
    </row>
    <row r="20" ht="22" customHeight="1">
      <c r="B20" s="6" t="inlineStr">
        <is>
          <t>8. Окупаемость инвестиций (ROI)</t>
        </is>
      </c>
      <c r="C20" s="26">
        <f>C19/IF(C6&lt;=5,49000,IF(C6&lt;=10,79000,120000))</f>
        <v/>
      </c>
      <c r="D20" s="20" t="inlineStr">
        <is>
          <t>рентабельность</t>
        </is>
      </c>
    </row>
    <row r="21"/>
    <row r="22">
      <c r="B22" s="27" t="inlineStr">
        <is>
          <t>🔒 Подключение автоматической интеграции с вашей CRM (amoCRM / Битрикс24) и телефонией: 7 дней под ключ. Пилотный спринт: 29 000 ₽ (гарантия возврата).</t>
        </is>
      </c>
    </row>
    <row r="23"/>
  </sheetData>
  <mergeCells count="11">
    <mergeCell ref="B3:J3"/>
    <mergeCell ref="B22:I23"/>
    <mergeCell ref="H6:I6"/>
    <mergeCell ref="F5:G5"/>
    <mergeCell ref="F6:G6"/>
    <mergeCell ref="H5:I5"/>
    <mergeCell ref="H8:I8"/>
    <mergeCell ref="H9:I9"/>
    <mergeCell ref="F9:G9"/>
    <mergeCell ref="B2:J2"/>
    <mergeCell ref="F8:G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24" customWidth="1" min="2" max="2"/>
    <col width="19" customWidth="1" min="3" max="3"/>
    <col width="24" customWidth="1" min="4" max="4"/>
    <col width="18" customWidth="1" min="5" max="5"/>
    <col width="27" customWidth="1" min="6" max="6"/>
    <col width="23" customWidth="1" min="7" max="7"/>
    <col width="45" customWidth="1" min="8" max="8"/>
  </cols>
  <sheetData>
    <row r="1" ht="35" customHeight="1">
      <c r="A1" s="1" t="inlineStr">
        <is>
          <t>Ежедневный Пульт Руководителя Отдела Продаж (Контроль за 15 минут в день)</t>
        </is>
      </c>
    </row>
    <row r="2"/>
    <row r="3" ht="26" customHeight="1">
      <c r="A3" s="28" t="inlineStr">
        <is>
          <t>Ранг</t>
        </is>
      </c>
      <c r="B3" s="28" t="inlineStr">
        <is>
          <t>Менеджер ОП</t>
        </is>
      </c>
      <c r="C3" s="28" t="inlineStr">
        <is>
          <t>Звонков за сутки</t>
        </is>
      </c>
      <c r="D3" s="28" t="inlineStr">
        <is>
          <t>Ср. балл речи (из 13)</t>
        </is>
      </c>
      <c r="E3" s="28" t="inlineStr">
        <is>
          <t>Next Step %</t>
        </is>
      </c>
      <c r="F3" s="28" t="inlineStr">
        <is>
          <t>Talk/Listen (Норма ≥45%)</t>
        </is>
      </c>
      <c r="G3" s="28" t="inlineStr">
        <is>
          <t>Утечка выручки (мес)</t>
        </is>
      </c>
      <c r="H3" s="28" t="inlineStr">
        <is>
          <t>Статус и фокус РОПа</t>
        </is>
      </c>
    </row>
    <row r="4" ht="24" customHeight="1">
      <c r="A4" s="29" t="inlineStr">
        <is>
          <t>1</t>
        </is>
      </c>
      <c r="B4" s="18" t="inlineStr">
        <is>
          <t>Алексей Мельников</t>
        </is>
      </c>
      <c r="C4" s="29" t="n">
        <v>14</v>
      </c>
      <c r="D4" s="30" t="n">
        <v>11.4</v>
      </c>
      <c r="E4" s="31" t="n">
        <v>0.93</v>
      </c>
      <c r="F4" s="29" t="inlineStr">
        <is>
          <t>48% / 52%</t>
        </is>
      </c>
      <c r="G4" s="32" t="n">
        <v>0</v>
      </c>
      <c r="H4" s="33" t="inlineStr">
        <is>
          <t>🏆 Лидер недели (эталонные звонки)</t>
        </is>
      </c>
    </row>
    <row r="5" ht="24" customHeight="1">
      <c r="A5" s="29" t="inlineStr">
        <is>
          <t>2</t>
        </is>
      </c>
      <c r="B5" s="18" t="inlineStr">
        <is>
          <t>Елена Васильева</t>
        </is>
      </c>
      <c r="C5" s="29" t="n">
        <v>12</v>
      </c>
      <c r="D5" s="30" t="n">
        <v>10.1</v>
      </c>
      <c r="E5" s="31" t="n">
        <v>0.83</v>
      </c>
      <c r="F5" s="29" t="inlineStr">
        <is>
          <t>51% / 49%</t>
        </is>
      </c>
      <c r="G5" s="23" t="n">
        <v>160000</v>
      </c>
      <c r="H5" s="33" t="inlineStr">
        <is>
          <t>✅ В нормативе (хороший темп)</t>
        </is>
      </c>
    </row>
    <row r="6" ht="24" customHeight="1">
      <c r="A6" s="29" t="inlineStr">
        <is>
          <t>3</t>
        </is>
      </c>
      <c r="B6" s="18" t="inlineStr">
        <is>
          <t>Анна Соколова</t>
        </is>
      </c>
      <c r="C6" s="29" t="n">
        <v>10</v>
      </c>
      <c r="D6" s="30" t="n">
        <v>8.199999999999999</v>
      </c>
      <c r="E6" s="34" t="n">
        <v>0.6</v>
      </c>
      <c r="F6" s="29" t="inlineStr">
        <is>
          <t>55% / 45%</t>
        </is>
      </c>
      <c r="G6" s="23" t="n">
        <v>480000</v>
      </c>
      <c r="H6" s="35" t="inlineStr">
        <is>
          <t>⚠️ Скидки без торга (проработать цену)</t>
        </is>
      </c>
    </row>
    <row r="7" ht="24" customHeight="1">
      <c r="A7" s="29" t="inlineStr">
        <is>
          <t>4</t>
        </is>
      </c>
      <c r="B7" s="18" t="inlineStr">
        <is>
          <t>Дмитрий Ковалев</t>
        </is>
      </c>
      <c r="C7" s="29" t="n">
        <v>13</v>
      </c>
      <c r="D7" s="30" t="n">
        <v>6.4</v>
      </c>
      <c r="E7" s="36" t="n">
        <v>0.38</v>
      </c>
      <c r="F7" s="29" t="inlineStr">
        <is>
          <t>72% / 28%</t>
        </is>
      </c>
      <c r="G7" s="23" t="n">
        <v>860000</v>
      </c>
      <c r="H7" s="37" t="inlineStr">
        <is>
          <t>🚨 Слив Next Step (много говорит, не закрывает)</t>
        </is>
      </c>
    </row>
    <row r="8" ht="24" customHeight="1">
      <c r="A8" s="29" t="inlineStr">
        <is>
          <t>5</t>
        </is>
      </c>
      <c r="B8" s="18" t="inlineStr">
        <is>
          <t>Иван Попов</t>
        </is>
      </c>
      <c r="C8" s="29" t="n">
        <v>9</v>
      </c>
      <c r="D8" s="30" t="n">
        <v>5.8</v>
      </c>
      <c r="E8" s="36" t="n">
        <v>0.33</v>
      </c>
      <c r="F8" s="29" t="inlineStr">
        <is>
          <t>79% / 21%</t>
        </is>
      </c>
      <c r="G8" s="23" t="n">
        <v>940000</v>
      </c>
      <c r="H8" s="37" t="inlineStr">
        <is>
          <t>🚨 Режим справочной (нет квалификации ЛПР)</t>
        </is>
      </c>
    </row>
    <row r="9"/>
    <row r="10" ht="25" customHeight="1">
      <c r="A10" s="38" t="n"/>
      <c r="B10" s="38" t="inlineStr">
        <is>
          <t>ИТОГО ПО ОТДЕЛУ ПРОДАЖ</t>
        </is>
      </c>
      <c r="C10" s="39">
        <f>SUM(C4:C8)</f>
        <v/>
      </c>
      <c r="D10" s="40">
        <f>AVERAGE(D4:D8)</f>
        <v/>
      </c>
      <c r="E10" s="41">
        <f>AVERAGE(E4:E8)</f>
        <v/>
      </c>
      <c r="F10" s="38" t="n"/>
      <c r="G10" s="42">
        <f>SUM(G4:G8)</f>
        <v/>
      </c>
      <c r="H10" s="38" t="inlineStr">
        <is>
          <t>Устранимо за 1 спринт</t>
        </is>
      </c>
    </row>
    <row r="11"/>
    <row r="12">
      <c r="A12" s="17" t="inlineStr">
        <is>
          <t>ГОРЯЩИЕ ЗАДАЧИ РОПА ИЗ TELEGRAM-ШЕРИФА НА СЕГОДНЯ:</t>
        </is>
      </c>
    </row>
    <row r="13" ht="22" customHeight="1">
      <c r="A13" s="43" t="inlineStr">
        <is>
          <t>1. [SOS] Сделка D-702 (Дмитрий Ковалев) — чек 750 000 ₽. Клиент сказал 'я подумаю', менеджер ответил 'ну спишемся'. Задача: перезвонить до 12:00, назначить Zoom на четверг.</t>
        </is>
      </c>
    </row>
    <row r="14" ht="22" customHeight="1">
      <c r="A14" s="43" t="inlineStr">
        <is>
          <t>2. [СКИДКА] Сделка D-705 (Анна Соколова) — чек 500 000 ₽. Менеджер предложила скидку 20% без запроса. Задача: отозвать скидку, предложить рассрочку на 2 платежа.</t>
        </is>
      </c>
    </row>
    <row r="15" ht="22" customHeight="1">
      <c r="A15" s="43" t="inlineStr">
        <is>
          <t>3. [ЛПР] Сделка D-708 (Иван Попов) — чек 1 200 000 ₽. Диалог ведется с секретарем уже 3 недели. Задача: выйти напрямую на Генерального директора через скрипт обхода.</t>
        </is>
      </c>
    </row>
  </sheetData>
  <mergeCells count="4">
    <mergeCell ref="A15:H15"/>
    <mergeCell ref="A13:H13"/>
    <mergeCell ref="A14:H14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8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11" customWidth="1" min="2" max="2"/>
    <col width="18" customWidth="1" min="3" max="3"/>
    <col width="11" customWidth="1" min="4" max="4"/>
    <col width="21" customWidth="1" min="5" max="5"/>
    <col width="11" customWidth="1" min="6" max="6"/>
    <col width="12" customWidth="1" min="7" max="7"/>
    <col width="11" customWidth="1" min="8" max="8"/>
    <col width="11" customWidth="1" min="9" max="9"/>
    <col width="11" customWidth="1" min="10" max="10"/>
    <col width="14" customWidth="1" min="11" max="11"/>
    <col width="12" customWidth="1" min="12" max="12"/>
    <col width="14" customWidth="1" min="13" max="13"/>
    <col width="14" customWidth="1" min="14" max="14"/>
    <col width="15" customWidth="1" min="15" max="15"/>
    <col width="13" customWidth="1" min="16" max="16"/>
    <col width="12" customWidth="1" min="17" max="17"/>
    <col width="13" customWidth="1" min="18" max="18"/>
    <col width="16" customWidth="1" min="19" max="19"/>
    <col width="19" customWidth="1" min="20" max="20"/>
    <col width="14" customWidth="1" min="21" max="21"/>
    <col width="28" customWidth="1" min="22" max="22"/>
    <col width="46" customWidth="1" min="23" max="23"/>
  </cols>
  <sheetData>
    <row r="1" ht="35" customHeight="1">
      <c r="A1" s="1" t="inlineStr">
        <is>
          <t>Детализированный реестр 100% звонков с разметкой по 13 критериям Whisper Large V3 + LLM</t>
        </is>
      </c>
    </row>
    <row r="2"/>
    <row r="3" ht="32" customHeight="1">
      <c r="A3" s="44" t="inlineStr">
        <is>
          <t>Call_ID</t>
        </is>
      </c>
      <c r="B3" s="44" t="inlineStr">
        <is>
          <t>Deal_ID</t>
        </is>
      </c>
      <c r="C3" s="44" t="inlineStr">
        <is>
          <t>Менеджер</t>
        </is>
      </c>
      <c r="D3" s="44" t="inlineStr">
        <is>
          <t>Длит.</t>
        </is>
      </c>
      <c r="E3" s="44" t="inlineStr">
        <is>
          <t>Тип звонка</t>
        </is>
      </c>
      <c r="F3" s="44" t="inlineStr">
        <is>
          <t>CR1 Next</t>
        </is>
      </c>
      <c r="G3" s="44" t="inlineStr">
        <is>
          <t>CR2 Иниц.</t>
        </is>
      </c>
      <c r="H3" s="44" t="inlineStr">
        <is>
          <t>CR3 ЛПР</t>
        </is>
      </c>
      <c r="I3" s="44" t="inlineStr">
        <is>
          <t>CR4 Боль</t>
        </is>
      </c>
      <c r="J3" s="44" t="inlineStr">
        <is>
          <t>CR5 Цена</t>
        </is>
      </c>
      <c r="K3" s="44" t="inlineStr">
        <is>
          <t>CR6 Подумаю</t>
        </is>
      </c>
      <c r="L3" s="44" t="inlineStr">
        <is>
          <t>CR7 Кейсы</t>
        </is>
      </c>
      <c r="M3" s="44" t="inlineStr">
        <is>
          <t>CR8 Закрыт.</t>
        </is>
      </c>
      <c r="N3" s="44" t="inlineStr">
        <is>
          <t>CR9 Привет.</t>
        </is>
      </c>
      <c r="O3" s="44" t="inlineStr">
        <is>
          <t>CR10 Чистота</t>
        </is>
      </c>
      <c r="P3" s="44" t="inlineStr">
        <is>
          <t>CR11 Слуш.</t>
        </is>
      </c>
      <c r="Q3" s="44" t="inlineStr">
        <is>
          <t>CR12 Итог</t>
        </is>
      </c>
      <c r="R3" s="44" t="inlineStr">
        <is>
          <t>CR13 Маржа</t>
        </is>
      </c>
      <c r="S3" s="44" t="inlineStr">
        <is>
          <t>Сумма (13)</t>
        </is>
      </c>
      <c r="T3" s="44" t="inlineStr">
        <is>
          <t>Next Step Статус</t>
        </is>
      </c>
      <c r="U3" s="44" t="inlineStr">
        <is>
          <t>Talk/Listen</t>
        </is>
      </c>
      <c r="V3" s="44" t="inlineStr">
        <is>
          <t>Главный дефект диалога</t>
        </is>
      </c>
      <c r="W3" s="44" t="inlineStr">
        <is>
          <t>Рекомендация ИИ-супервайзера</t>
        </is>
      </c>
    </row>
    <row r="4" ht="21" customHeight="1">
      <c r="A4" s="45" t="inlineStr">
        <is>
          <t>C-801</t>
        </is>
      </c>
      <c r="B4" s="45" t="inlineStr">
        <is>
          <t>D-101</t>
        </is>
      </c>
      <c r="C4" s="46" t="inlineStr">
        <is>
          <t>Алексей М.</t>
        </is>
      </c>
      <c r="D4" s="45" t="inlineStr">
        <is>
          <t>05:12</t>
        </is>
      </c>
      <c r="E4" s="46" t="inlineStr">
        <is>
          <t>Квалификация</t>
        </is>
      </c>
      <c r="F4" s="47" t="n">
        <v>1</v>
      </c>
      <c r="G4" s="47" t="n">
        <v>1</v>
      </c>
      <c r="H4" s="47" t="n">
        <v>1</v>
      </c>
      <c r="I4" s="47" t="n">
        <v>1</v>
      </c>
      <c r="J4" s="47" t="n">
        <v>1</v>
      </c>
      <c r="K4" s="47" t="n">
        <v>1</v>
      </c>
      <c r="L4" s="47" t="n">
        <v>1</v>
      </c>
      <c r="M4" s="47" t="n">
        <v>1</v>
      </c>
      <c r="N4" s="47" t="n">
        <v>1</v>
      </c>
      <c r="O4" s="47" t="n">
        <v>1</v>
      </c>
      <c r="P4" s="47" t="n">
        <v>1</v>
      </c>
      <c r="Q4" s="47" t="n">
        <v>1</v>
      </c>
      <c r="R4" s="47" t="n">
        <v>1</v>
      </c>
      <c r="S4" s="48">
        <f>SUM(F4:R4)</f>
        <v/>
      </c>
      <c r="T4" s="47" t="inlineStr">
        <is>
          <t>Зафиксирован</t>
        </is>
      </c>
      <c r="U4" s="45" t="inlineStr">
        <is>
          <t>46%/54%</t>
        </is>
      </c>
      <c r="V4" s="46" t="inlineStr">
        <is>
          <t>Без дефектов</t>
        </is>
      </c>
      <c r="W4" s="46" t="inlineStr">
        <is>
          <t>Эталонный звонок. Добавить в тренинги.</t>
        </is>
      </c>
    </row>
    <row r="5" ht="21" customHeight="1">
      <c r="A5" s="45" t="inlineStr">
        <is>
          <t>C-802</t>
        </is>
      </c>
      <c r="B5" s="45" t="inlineStr">
        <is>
          <t>D-104</t>
        </is>
      </c>
      <c r="C5" s="46" t="inlineStr">
        <is>
          <t>Дмитрий К.</t>
        </is>
      </c>
      <c r="D5" s="45" t="inlineStr">
        <is>
          <t>03:40</t>
        </is>
      </c>
      <c r="E5" s="46" t="inlineStr">
        <is>
          <t>Переговоры</t>
        </is>
      </c>
      <c r="F5" s="49" t="n">
        <v>0</v>
      </c>
      <c r="G5" s="47" t="n">
        <v>1</v>
      </c>
      <c r="H5" s="47" t="n">
        <v>1</v>
      </c>
      <c r="I5" s="47" t="n">
        <v>1</v>
      </c>
      <c r="J5" s="47" t="n">
        <v>1</v>
      </c>
      <c r="K5" s="49" t="n">
        <v>0</v>
      </c>
      <c r="L5" s="49" t="n">
        <v>0</v>
      </c>
      <c r="M5" s="47" t="n">
        <v>1</v>
      </c>
      <c r="N5" s="47" t="n">
        <v>1</v>
      </c>
      <c r="O5" s="49" t="n">
        <v>0</v>
      </c>
      <c r="P5" s="49" t="n">
        <v>0</v>
      </c>
      <c r="Q5" s="49" t="n">
        <v>0</v>
      </c>
      <c r="R5" s="47" t="n">
        <v>1</v>
      </c>
      <c r="S5" s="48">
        <f>SUM(F5:R5)</f>
        <v/>
      </c>
      <c r="T5" s="49" t="inlineStr">
        <is>
          <t>СЛИВ NEXT STEP</t>
        </is>
      </c>
      <c r="U5" s="45" t="inlineStr">
        <is>
          <t>74%/26%</t>
        </is>
      </c>
      <c r="V5" s="46" t="inlineStr">
        <is>
          <t>Слив Next Step</t>
        </is>
      </c>
      <c r="W5" s="46" t="inlineStr">
        <is>
          <t>Назначить точный слот Zoom в четверг 14:00.</t>
        </is>
      </c>
    </row>
    <row r="6" ht="21" customHeight="1">
      <c r="A6" s="45" t="inlineStr">
        <is>
          <t>C-803</t>
        </is>
      </c>
      <c r="B6" s="45" t="inlineStr">
        <is>
          <t>D-106</t>
        </is>
      </c>
      <c r="C6" s="46" t="inlineStr">
        <is>
          <t>Анна С.</t>
        </is>
      </c>
      <c r="D6" s="45" t="inlineStr">
        <is>
          <t>04:15</t>
        </is>
      </c>
      <c r="E6" s="46" t="inlineStr">
        <is>
          <t>Отработка цены</t>
        </is>
      </c>
      <c r="F6" s="47" t="n">
        <v>1</v>
      </c>
      <c r="G6" s="47" t="n">
        <v>1</v>
      </c>
      <c r="H6" s="47" t="n">
        <v>1</v>
      </c>
      <c r="I6" s="49" t="n">
        <v>0</v>
      </c>
      <c r="J6" s="49" t="n">
        <v>0</v>
      </c>
      <c r="K6" s="47" t="n">
        <v>1</v>
      </c>
      <c r="L6" s="47" t="n">
        <v>1</v>
      </c>
      <c r="M6" s="47" t="n">
        <v>1</v>
      </c>
      <c r="N6" s="47" t="n">
        <v>1</v>
      </c>
      <c r="O6" s="47" t="n">
        <v>1</v>
      </c>
      <c r="P6" s="47" t="n">
        <v>1</v>
      </c>
      <c r="Q6" s="47" t="n">
        <v>1</v>
      </c>
      <c r="R6" s="49" t="n">
        <v>0</v>
      </c>
      <c r="S6" s="48">
        <f>SUM(F6:R6)</f>
        <v/>
      </c>
      <c r="T6" s="47" t="inlineStr">
        <is>
          <t>Зафиксирован</t>
        </is>
      </c>
      <c r="U6" s="45" t="inlineStr">
        <is>
          <t>52%/48%</t>
        </is>
      </c>
      <c r="V6" s="46" t="inlineStr">
        <is>
          <t>Скидка без торга</t>
        </is>
      </c>
      <c r="W6" s="46" t="inlineStr">
        <is>
          <t>Защищать цену через окупаемость и рассрочку.</t>
        </is>
      </c>
    </row>
    <row r="7" ht="21" customHeight="1">
      <c r="A7" s="45" t="inlineStr">
        <is>
          <t>C-804</t>
        </is>
      </c>
      <c r="B7" s="45" t="inlineStr">
        <is>
          <t>D-108</t>
        </is>
      </c>
      <c r="C7" s="46" t="inlineStr">
        <is>
          <t>Иван П.</t>
        </is>
      </c>
      <c r="D7" s="45" t="inlineStr">
        <is>
          <t>02:50</t>
        </is>
      </c>
      <c r="E7" s="46" t="inlineStr">
        <is>
          <t>Входящий лид</t>
        </is>
      </c>
      <c r="F7" s="49" t="n">
        <v>0</v>
      </c>
      <c r="G7" s="49" t="n">
        <v>0</v>
      </c>
      <c r="H7" s="49" t="n">
        <v>0</v>
      </c>
      <c r="I7" s="49" t="n">
        <v>0</v>
      </c>
      <c r="J7" s="47" t="n">
        <v>1</v>
      </c>
      <c r="K7" s="47" t="n">
        <v>1</v>
      </c>
      <c r="L7" s="49" t="n">
        <v>0</v>
      </c>
      <c r="M7" s="49" t="n">
        <v>0</v>
      </c>
      <c r="N7" s="47" t="n">
        <v>1</v>
      </c>
      <c r="O7" s="49" t="n">
        <v>0</v>
      </c>
      <c r="P7" s="49" t="n">
        <v>0</v>
      </c>
      <c r="Q7" s="49" t="n">
        <v>0</v>
      </c>
      <c r="R7" s="47" t="n">
        <v>1</v>
      </c>
      <c r="S7" s="48">
        <f>SUM(F7:R7)</f>
        <v/>
      </c>
      <c r="T7" s="49" t="inlineStr">
        <is>
          <t>СЛИВ NEXT STEP</t>
        </is>
      </c>
      <c r="U7" s="45" t="inlineStr">
        <is>
          <t>81%/19%</t>
        </is>
      </c>
      <c r="V7" s="46" t="inlineStr">
        <is>
          <t>Режим справочной</t>
        </is>
      </c>
      <c r="W7" s="46" t="inlineStr">
        <is>
          <t>Перехватывать инициативу 3 квалифицирующими вопросами.</t>
        </is>
      </c>
    </row>
    <row r="8" ht="21" customHeight="1">
      <c r="A8" s="45" t="inlineStr">
        <is>
          <t>C-805</t>
        </is>
      </c>
      <c r="B8" s="45" t="inlineStr">
        <is>
          <t>D-111</t>
        </is>
      </c>
      <c r="C8" s="46" t="inlineStr">
        <is>
          <t>Елена В.</t>
        </is>
      </c>
      <c r="D8" s="45" t="inlineStr">
        <is>
          <t>06:20</t>
        </is>
      </c>
      <c r="E8" s="46" t="inlineStr">
        <is>
          <t>Презентация КП</t>
        </is>
      </c>
      <c r="F8" s="47" t="n">
        <v>1</v>
      </c>
      <c r="G8" s="47" t="n">
        <v>1</v>
      </c>
      <c r="H8" s="47" t="n">
        <v>1</v>
      </c>
      <c r="I8" s="47" t="n">
        <v>1</v>
      </c>
      <c r="J8" s="47" t="n">
        <v>1</v>
      </c>
      <c r="K8" s="47" t="n">
        <v>1</v>
      </c>
      <c r="L8" s="47" t="n">
        <v>1</v>
      </c>
      <c r="M8" s="47" t="n">
        <v>1</v>
      </c>
      <c r="N8" s="47" t="n">
        <v>1</v>
      </c>
      <c r="O8" s="47" t="n">
        <v>1</v>
      </c>
      <c r="P8" s="47" t="n">
        <v>1</v>
      </c>
      <c r="Q8" s="47" t="n">
        <v>1</v>
      </c>
      <c r="R8" s="47" t="n">
        <v>1</v>
      </c>
      <c r="S8" s="48">
        <f>SUM(F8:R8)</f>
        <v/>
      </c>
      <c r="T8" s="47" t="inlineStr">
        <is>
          <t>Зафиксирован</t>
        </is>
      </c>
      <c r="U8" s="45" t="inlineStr">
        <is>
          <t>44%/56%</t>
        </is>
      </c>
      <c r="V8" s="46" t="inlineStr">
        <is>
          <t>Без дефектов</t>
        </is>
      </c>
      <c r="W8" s="46" t="inlineStr">
        <is>
          <t>Отличная связка кейсов с болями клиента.</t>
        </is>
      </c>
    </row>
    <row r="9" ht="21" customHeight="1">
      <c r="A9" s="45" t="inlineStr">
        <is>
          <t>C-806</t>
        </is>
      </c>
      <c r="B9" s="45" t="inlineStr">
        <is>
          <t>D-114</t>
        </is>
      </c>
      <c r="C9" s="46" t="inlineStr">
        <is>
          <t>Дмитрий К.</t>
        </is>
      </c>
      <c r="D9" s="45" t="inlineStr">
        <is>
          <t>04:30</t>
        </is>
      </c>
      <c r="E9" s="46" t="inlineStr">
        <is>
          <t>Дожим договора</t>
        </is>
      </c>
      <c r="F9" s="49" t="n">
        <v>0</v>
      </c>
      <c r="G9" s="47" t="n">
        <v>1</v>
      </c>
      <c r="H9" s="47" t="n">
        <v>1</v>
      </c>
      <c r="I9" s="47" t="n">
        <v>1</v>
      </c>
      <c r="J9" s="49" t="n">
        <v>0</v>
      </c>
      <c r="K9" s="49" t="n">
        <v>0</v>
      </c>
      <c r="L9" s="47" t="n">
        <v>1</v>
      </c>
      <c r="M9" s="49" t="n">
        <v>0</v>
      </c>
      <c r="N9" s="47" t="n">
        <v>1</v>
      </c>
      <c r="O9" s="47" t="n">
        <v>1</v>
      </c>
      <c r="P9" s="49" t="n">
        <v>0</v>
      </c>
      <c r="Q9" s="49" t="n">
        <v>0</v>
      </c>
      <c r="R9" s="47" t="n">
        <v>1</v>
      </c>
      <c r="S9" s="48">
        <f>SUM(F9:R9)</f>
        <v/>
      </c>
      <c r="T9" s="49" t="inlineStr">
        <is>
          <t>СЛИВ NEXT STEP</t>
        </is>
      </c>
      <c r="U9" s="45" t="inlineStr">
        <is>
          <t>68%/32%</t>
        </is>
      </c>
      <c r="V9" s="46" t="inlineStr">
        <is>
          <t>Слив Next Step</t>
        </is>
      </c>
      <c r="W9" s="46" t="inlineStr">
        <is>
          <t>Предложить подписание через ЭДО до пятницы.</t>
        </is>
      </c>
    </row>
    <row r="10" ht="21" customHeight="1">
      <c r="A10" s="45" t="inlineStr">
        <is>
          <t>C-807</t>
        </is>
      </c>
      <c r="B10" s="45" t="inlineStr">
        <is>
          <t>D-115</t>
        </is>
      </c>
      <c r="C10" s="46" t="inlineStr">
        <is>
          <t>Анна С.</t>
        </is>
      </c>
      <c r="D10" s="45" t="inlineStr">
        <is>
          <t>05:05</t>
        </is>
      </c>
      <c r="E10" s="46" t="inlineStr">
        <is>
          <t>Квалификация</t>
        </is>
      </c>
      <c r="F10" s="47" t="n">
        <v>1</v>
      </c>
      <c r="G10" s="47" t="n">
        <v>1</v>
      </c>
      <c r="H10" s="49" t="n">
        <v>0</v>
      </c>
      <c r="I10" s="47" t="n">
        <v>1</v>
      </c>
      <c r="J10" s="47" t="n">
        <v>1</v>
      </c>
      <c r="K10" s="47" t="n">
        <v>1</v>
      </c>
      <c r="L10" s="47" t="n">
        <v>1</v>
      </c>
      <c r="M10" s="47" t="n">
        <v>1</v>
      </c>
      <c r="N10" s="47" t="n">
        <v>1</v>
      </c>
      <c r="O10" s="47" t="n">
        <v>1</v>
      </c>
      <c r="P10" s="47" t="n">
        <v>1</v>
      </c>
      <c r="Q10" s="47" t="n">
        <v>1</v>
      </c>
      <c r="R10" s="47" t="n">
        <v>1</v>
      </c>
      <c r="S10" s="48">
        <f>SUM(F10:R10)</f>
        <v/>
      </c>
      <c r="T10" s="47" t="inlineStr">
        <is>
          <t>Зафиксирован</t>
        </is>
      </c>
      <c r="U10" s="45" t="inlineStr">
        <is>
          <t>49%/51%</t>
        </is>
      </c>
      <c r="V10" s="46" t="inlineStr">
        <is>
          <t>Не выявлен ЛПР</t>
        </is>
      </c>
      <c r="W10" s="46" t="inlineStr">
        <is>
          <t>Уточнить состав комиссии по закупкам.</t>
        </is>
      </c>
    </row>
    <row r="11" ht="21" customHeight="1">
      <c r="A11" s="45" t="inlineStr">
        <is>
          <t>C-808</t>
        </is>
      </c>
      <c r="B11" s="45" t="inlineStr">
        <is>
          <t>D-119</t>
        </is>
      </c>
      <c r="C11" s="46" t="inlineStr">
        <is>
          <t>Алексей М.</t>
        </is>
      </c>
      <c r="D11" s="45" t="inlineStr">
        <is>
          <t>04:45</t>
        </is>
      </c>
      <c r="E11" s="46" t="inlineStr">
        <is>
          <t>Переговоры</t>
        </is>
      </c>
      <c r="F11" s="47" t="n">
        <v>1</v>
      </c>
      <c r="G11" s="47" t="n">
        <v>1</v>
      </c>
      <c r="H11" s="47" t="n">
        <v>1</v>
      </c>
      <c r="I11" s="47" t="n">
        <v>1</v>
      </c>
      <c r="J11" s="47" t="n">
        <v>1</v>
      </c>
      <c r="K11" s="47" t="n">
        <v>1</v>
      </c>
      <c r="L11" s="47" t="n">
        <v>1</v>
      </c>
      <c r="M11" s="47" t="n">
        <v>1</v>
      </c>
      <c r="N11" s="47" t="n">
        <v>1</v>
      </c>
      <c r="O11" s="47" t="n">
        <v>1</v>
      </c>
      <c r="P11" s="47" t="n">
        <v>1</v>
      </c>
      <c r="Q11" s="47" t="n">
        <v>1</v>
      </c>
      <c r="R11" s="47" t="n">
        <v>1</v>
      </c>
      <c r="S11" s="48">
        <f>SUM(F11:R11)</f>
        <v/>
      </c>
      <c r="T11" s="47" t="inlineStr">
        <is>
          <t>Зафиксирован</t>
        </is>
      </c>
      <c r="U11" s="45" t="inlineStr">
        <is>
          <t>47%/53%</t>
        </is>
      </c>
      <c r="V11" s="46" t="inlineStr">
        <is>
          <t>Без дефектов</t>
        </is>
      </c>
      <c r="W11" s="46" t="inlineStr">
        <is>
          <t>Четкое резюме договоренностей перед завершением.</t>
        </is>
      </c>
    </row>
    <row r="12" ht="21" customHeight="1">
      <c r="A12" s="45" t="inlineStr">
        <is>
          <t>C-809</t>
        </is>
      </c>
      <c r="B12" s="45" t="inlineStr">
        <is>
          <t>D-122</t>
        </is>
      </c>
      <c r="C12" s="46" t="inlineStr">
        <is>
          <t>Иван П.</t>
        </is>
      </c>
      <c r="D12" s="45" t="inlineStr">
        <is>
          <t>03:10</t>
        </is>
      </c>
      <c r="E12" s="46" t="inlineStr">
        <is>
          <t>Повторный контакт</t>
        </is>
      </c>
      <c r="F12" s="49" t="n">
        <v>0</v>
      </c>
      <c r="G12" s="49" t="n">
        <v>0</v>
      </c>
      <c r="H12" s="49" t="n">
        <v>0</v>
      </c>
      <c r="I12" s="47" t="n">
        <v>1</v>
      </c>
      <c r="J12" s="47" t="n">
        <v>1</v>
      </c>
      <c r="K12" s="49" t="n">
        <v>0</v>
      </c>
      <c r="L12" s="49" t="n">
        <v>0</v>
      </c>
      <c r="M12" s="49" t="n">
        <v>0</v>
      </c>
      <c r="N12" s="47" t="n">
        <v>1</v>
      </c>
      <c r="O12" s="49" t="n">
        <v>0</v>
      </c>
      <c r="P12" s="49" t="n">
        <v>0</v>
      </c>
      <c r="Q12" s="49" t="n">
        <v>0</v>
      </c>
      <c r="R12" s="47" t="n">
        <v>1</v>
      </c>
      <c r="S12" s="48">
        <f>SUM(F12:R12)</f>
        <v/>
      </c>
      <c r="T12" s="49" t="inlineStr">
        <is>
          <t>СЛИВ NEXT STEP</t>
        </is>
      </c>
      <c r="U12" s="45" t="inlineStr">
        <is>
          <t>76%/24%</t>
        </is>
      </c>
      <c r="V12" s="46" t="inlineStr">
        <is>
          <t>Нет фиксации даты</t>
        </is>
      </c>
      <c r="W12" s="46" t="inlineStr">
        <is>
          <t>Всегда завершать звонок альтернативой слотов.</t>
        </is>
      </c>
    </row>
    <row r="13" ht="21" customHeight="1">
      <c r="A13" s="45" t="inlineStr">
        <is>
          <t>C-810</t>
        </is>
      </c>
      <c r="B13" s="45" t="inlineStr">
        <is>
          <t>D-125</t>
        </is>
      </c>
      <c r="C13" s="46" t="inlineStr">
        <is>
          <t>Елена В.</t>
        </is>
      </c>
      <c r="D13" s="45" t="inlineStr">
        <is>
          <t>05:50</t>
        </is>
      </c>
      <c r="E13" s="46" t="inlineStr">
        <is>
          <t>Согласование счета</t>
        </is>
      </c>
      <c r="F13" s="47" t="n">
        <v>1</v>
      </c>
      <c r="G13" s="47" t="n">
        <v>1</v>
      </c>
      <c r="H13" s="47" t="n">
        <v>1</v>
      </c>
      <c r="I13" s="47" t="n">
        <v>1</v>
      </c>
      <c r="J13" s="47" t="n">
        <v>1</v>
      </c>
      <c r="K13" s="47" t="n">
        <v>1</v>
      </c>
      <c r="L13" s="47" t="n">
        <v>1</v>
      </c>
      <c r="M13" s="47" t="n">
        <v>1</v>
      </c>
      <c r="N13" s="47" t="n">
        <v>1</v>
      </c>
      <c r="O13" s="47" t="n">
        <v>1</v>
      </c>
      <c r="P13" s="47" t="n">
        <v>1</v>
      </c>
      <c r="Q13" s="47" t="n">
        <v>1</v>
      </c>
      <c r="R13" s="47" t="n">
        <v>1</v>
      </c>
      <c r="S13" s="48">
        <f>SUM(F13:R13)</f>
        <v/>
      </c>
      <c r="T13" s="47" t="inlineStr">
        <is>
          <t>Зафиксирован</t>
        </is>
      </c>
      <c r="U13" s="45" t="inlineStr">
        <is>
          <t>48%/52%</t>
        </is>
      </c>
      <c r="V13" s="46" t="inlineStr">
        <is>
          <t>Без дефектов</t>
        </is>
      </c>
      <c r="W13" s="46" t="inlineStr">
        <is>
          <t>Счет направлен, встреча назначена на завтра.</t>
        </is>
      </c>
    </row>
    <row r="14" ht="21" customHeight="1">
      <c r="A14" s="45" t="inlineStr">
        <is>
          <t>C-811</t>
        </is>
      </c>
      <c r="B14" s="45" t="inlineStr">
        <is>
          <t>D-128</t>
        </is>
      </c>
      <c r="C14" s="46" t="inlineStr">
        <is>
          <t>Дмитрий К.</t>
        </is>
      </c>
      <c r="D14" s="45" t="inlineStr">
        <is>
          <t>02:40</t>
        </is>
      </c>
      <c r="E14" s="46" t="inlineStr">
        <is>
          <t>Входящий лид</t>
        </is>
      </c>
      <c r="F14" s="49" t="n">
        <v>0</v>
      </c>
      <c r="G14" s="47" t="n">
        <v>1</v>
      </c>
      <c r="H14" s="49" t="n">
        <v>0</v>
      </c>
      <c r="I14" s="49" t="n">
        <v>0</v>
      </c>
      <c r="J14" s="47" t="n">
        <v>1</v>
      </c>
      <c r="K14" s="49" t="n">
        <v>0</v>
      </c>
      <c r="L14" s="49" t="n">
        <v>0</v>
      </c>
      <c r="M14" s="49" t="n">
        <v>0</v>
      </c>
      <c r="N14" s="47" t="n">
        <v>1</v>
      </c>
      <c r="O14" s="47" t="n">
        <v>1</v>
      </c>
      <c r="P14" s="49" t="n">
        <v>0</v>
      </c>
      <c r="Q14" s="49" t="n">
        <v>0</v>
      </c>
      <c r="R14" s="47" t="n">
        <v>1</v>
      </c>
      <c r="S14" s="48">
        <f>SUM(F14:R14)</f>
        <v/>
      </c>
      <c r="T14" s="49" t="inlineStr">
        <is>
          <t>СЛИВ NEXT STEP</t>
        </is>
      </c>
      <c r="U14" s="45" t="inlineStr">
        <is>
          <t>70%/30%</t>
        </is>
      </c>
      <c r="V14" s="46" t="inlineStr">
        <is>
          <t>Слив Next Step</t>
        </is>
      </c>
      <c r="W14" s="46" t="inlineStr">
        <is>
          <t>Не отпускать клиента в 'подумайте'.</t>
        </is>
      </c>
    </row>
    <row r="15" ht="21" customHeight="1">
      <c r="A15" s="45" t="inlineStr">
        <is>
          <t>C-812</t>
        </is>
      </c>
      <c r="B15" s="45" t="inlineStr">
        <is>
          <t>D-131</t>
        </is>
      </c>
      <c r="C15" s="46" t="inlineStr">
        <is>
          <t>Анна С.</t>
        </is>
      </c>
      <c r="D15" s="45" t="inlineStr">
        <is>
          <t>04:20</t>
        </is>
      </c>
      <c r="E15" s="46" t="inlineStr">
        <is>
          <t>Отработка цены</t>
        </is>
      </c>
      <c r="F15" s="47" t="n">
        <v>1</v>
      </c>
      <c r="G15" s="47" t="n">
        <v>1</v>
      </c>
      <c r="H15" s="47" t="n">
        <v>1</v>
      </c>
      <c r="I15" s="47" t="n">
        <v>1</v>
      </c>
      <c r="J15" s="47" t="n">
        <v>1</v>
      </c>
      <c r="K15" s="49" t="n">
        <v>0</v>
      </c>
      <c r="L15" s="47" t="n">
        <v>1</v>
      </c>
      <c r="M15" s="47" t="n">
        <v>1</v>
      </c>
      <c r="N15" s="47" t="n">
        <v>1</v>
      </c>
      <c r="O15" s="47" t="n">
        <v>1</v>
      </c>
      <c r="P15" s="47" t="n">
        <v>1</v>
      </c>
      <c r="Q15" s="47" t="n">
        <v>1</v>
      </c>
      <c r="R15" s="47" t="n">
        <v>1</v>
      </c>
      <c r="S15" s="48">
        <f>SUM(F15:R15)</f>
        <v/>
      </c>
      <c r="T15" s="47" t="inlineStr">
        <is>
          <t>Зафиксирован</t>
        </is>
      </c>
      <c r="U15" s="45" t="inlineStr">
        <is>
          <t>50%/50%</t>
        </is>
      </c>
      <c r="V15" s="46" t="inlineStr">
        <is>
          <t>Слабое 'подумаю'</t>
        </is>
      </c>
      <c r="W15" s="46" t="inlineStr">
        <is>
          <t>Вскрыть истинное сомнение: цена или доверие?</t>
        </is>
      </c>
    </row>
    <row r="16" ht="21" customHeight="1">
      <c r="A16" s="45" t="inlineStr">
        <is>
          <t>C-813</t>
        </is>
      </c>
      <c r="B16" s="45" t="inlineStr">
        <is>
          <t>D-135</t>
        </is>
      </c>
      <c r="C16" s="46" t="inlineStr">
        <is>
          <t>Алексей М.</t>
        </is>
      </c>
      <c r="D16" s="45" t="inlineStr">
        <is>
          <t>05:30</t>
        </is>
      </c>
      <c r="E16" s="46" t="inlineStr">
        <is>
          <t>Квалификация</t>
        </is>
      </c>
      <c r="F16" s="47" t="n">
        <v>1</v>
      </c>
      <c r="G16" s="47" t="n">
        <v>1</v>
      </c>
      <c r="H16" s="47" t="n">
        <v>1</v>
      </c>
      <c r="I16" s="47" t="n">
        <v>1</v>
      </c>
      <c r="J16" s="47" t="n">
        <v>1</v>
      </c>
      <c r="K16" s="47" t="n">
        <v>1</v>
      </c>
      <c r="L16" s="47" t="n">
        <v>1</v>
      </c>
      <c r="M16" s="47" t="n">
        <v>1</v>
      </c>
      <c r="N16" s="47" t="n">
        <v>1</v>
      </c>
      <c r="O16" s="47" t="n">
        <v>1</v>
      </c>
      <c r="P16" s="47" t="n">
        <v>1</v>
      </c>
      <c r="Q16" s="47" t="n">
        <v>1</v>
      </c>
      <c r="R16" s="47" t="n">
        <v>1</v>
      </c>
      <c r="S16" s="48">
        <f>SUM(F16:R16)</f>
        <v/>
      </c>
      <c r="T16" s="47" t="inlineStr">
        <is>
          <t>Зафиксирован</t>
        </is>
      </c>
      <c r="U16" s="45" t="inlineStr">
        <is>
          <t>45%/55%</t>
        </is>
      </c>
      <c r="V16" s="46" t="inlineStr">
        <is>
          <t>Без дефектов</t>
        </is>
      </c>
      <c r="W16" s="46" t="inlineStr">
        <is>
          <t>Образцовая квалификация бюджета.</t>
        </is>
      </c>
    </row>
    <row r="17" ht="21" customHeight="1">
      <c r="A17" s="45" t="inlineStr">
        <is>
          <t>C-814</t>
        </is>
      </c>
      <c r="B17" s="45" t="inlineStr">
        <is>
          <t>D-138</t>
        </is>
      </c>
      <c r="C17" s="46" t="inlineStr">
        <is>
          <t>Елена В.</t>
        </is>
      </c>
      <c r="D17" s="45" t="inlineStr">
        <is>
          <t>04:00</t>
        </is>
      </c>
      <c r="E17" s="46" t="inlineStr">
        <is>
          <t>Презентация КП</t>
        </is>
      </c>
      <c r="F17" s="47" t="n">
        <v>1</v>
      </c>
      <c r="G17" s="47" t="n">
        <v>1</v>
      </c>
      <c r="H17" s="47" t="n">
        <v>1</v>
      </c>
      <c r="I17" s="47" t="n">
        <v>1</v>
      </c>
      <c r="J17" s="47" t="n">
        <v>1</v>
      </c>
      <c r="K17" s="47" t="n">
        <v>1</v>
      </c>
      <c r="L17" s="47" t="n">
        <v>1</v>
      </c>
      <c r="M17" s="49" t="n">
        <v>0</v>
      </c>
      <c r="N17" s="47" t="n">
        <v>1</v>
      </c>
      <c r="O17" s="47" t="n">
        <v>1</v>
      </c>
      <c r="P17" s="47" t="n">
        <v>1</v>
      </c>
      <c r="Q17" s="47" t="n">
        <v>1</v>
      </c>
      <c r="R17" s="47" t="n">
        <v>1</v>
      </c>
      <c r="S17" s="48">
        <f>SUM(F17:R17)</f>
        <v/>
      </c>
      <c r="T17" s="47" t="inlineStr">
        <is>
          <t>Зафиксирован</t>
        </is>
      </c>
      <c r="U17" s="45" t="inlineStr">
        <is>
          <t>49%/51%</t>
        </is>
      </c>
      <c r="V17" s="46" t="inlineStr">
        <is>
          <t>Нет попытки закрытия</t>
        </is>
      </c>
      <c r="W17" s="46" t="inlineStr">
        <is>
          <t>В конце встречи сразу предлагать бронь слота.</t>
        </is>
      </c>
    </row>
    <row r="18" ht="21" customHeight="1">
      <c r="A18" s="45" t="inlineStr">
        <is>
          <t>C-815</t>
        </is>
      </c>
      <c r="B18" s="45" t="inlineStr">
        <is>
          <t>D-140</t>
        </is>
      </c>
      <c r="C18" s="46" t="inlineStr">
        <is>
          <t>Иван П.</t>
        </is>
      </c>
      <c r="D18" s="45" t="inlineStr">
        <is>
          <t>03:30</t>
        </is>
      </c>
      <c r="E18" s="46" t="inlineStr">
        <is>
          <t>Переговоры</t>
        </is>
      </c>
      <c r="F18" s="49" t="n">
        <v>0</v>
      </c>
      <c r="G18" s="49" t="n">
        <v>0</v>
      </c>
      <c r="H18" s="47" t="n">
        <v>1</v>
      </c>
      <c r="I18" s="49" t="n">
        <v>0</v>
      </c>
      <c r="J18" s="49" t="n">
        <v>0</v>
      </c>
      <c r="K18" s="49" t="n">
        <v>0</v>
      </c>
      <c r="L18" s="49" t="n">
        <v>0</v>
      </c>
      <c r="M18" s="49" t="n">
        <v>0</v>
      </c>
      <c r="N18" s="47" t="n">
        <v>1</v>
      </c>
      <c r="O18" s="49" t="n">
        <v>0</v>
      </c>
      <c r="P18" s="49" t="n">
        <v>0</v>
      </c>
      <c r="Q18" s="49" t="n">
        <v>0</v>
      </c>
      <c r="R18" s="49" t="n">
        <v>0</v>
      </c>
      <c r="S18" s="48">
        <f>SUM(F18:R18)</f>
        <v/>
      </c>
      <c r="T18" s="49" t="inlineStr">
        <is>
          <t>СЛИВ NEXT STEP</t>
        </is>
      </c>
      <c r="U18" s="45" t="inlineStr">
        <is>
          <t>82%/18%</t>
        </is>
      </c>
      <c r="V18" s="46" t="inlineStr">
        <is>
          <t>Слив маржи и Next Step</t>
        </is>
      </c>
      <c r="W18" s="46" t="inlineStr">
        <is>
          <t>Пройти тренинг по базовому регламенту продаж.</t>
        </is>
      </c>
    </row>
  </sheetData>
  <mergeCells count="1">
    <mergeCell ref="A1:W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8" customWidth="1" min="2" max="2"/>
    <col width="18" customWidth="1" min="3" max="3"/>
    <col width="45" customWidth="1" min="4" max="4"/>
    <col width="21" customWidth="1" min="5" max="5"/>
    <col width="45" customWidth="1" min="6" max="6"/>
    <col width="23" customWidth="1" min="7" max="7"/>
  </cols>
  <sheetData>
    <row r="1" ht="35" customHeight="1">
      <c r="A1" s="1" t="inlineStr">
        <is>
          <t>Анализ ключевых зон потерь выручки отдела продаж (Водопад Утечек)</t>
        </is>
      </c>
    </row>
    <row r="2"/>
    <row r="3" ht="28" customHeight="1">
      <c r="A3" s="28" t="inlineStr">
        <is>
          <t>№</t>
        </is>
      </c>
      <c r="B3" s="28" t="inlineStr">
        <is>
          <t>Критическая зона потерь</t>
        </is>
      </c>
      <c r="C3" s="28" t="inlineStr">
        <is>
          <t>Частота дефекта</t>
        </is>
      </c>
      <c r="D3" s="28" t="inlineStr">
        <is>
          <t>Механика потерь выручки</t>
        </is>
      </c>
      <c r="E3" s="28" t="inlineStr">
        <is>
          <t>Потери в месяц (₽)</t>
        </is>
      </c>
      <c r="F3" s="28" t="inlineStr">
        <is>
          <t>Решение RevOps OS</t>
        </is>
      </c>
      <c r="G3" s="28" t="inlineStr">
        <is>
          <t>Эффект за 30 дней</t>
        </is>
      </c>
    </row>
    <row r="4" ht="25" customHeight="1">
      <c r="A4" s="29" t="n">
        <v>1</v>
      </c>
      <c r="B4" s="18" t="inlineStr">
        <is>
          <t>Слив жесткого Next Step (нет даты/времени)</t>
        </is>
      </c>
      <c r="C4" s="29" t="inlineStr">
        <is>
          <t>38% звонков</t>
        </is>
      </c>
      <c r="D4" s="18" t="inlineStr">
        <is>
          <t>Сделка зависает со статусом 'клиент думает', забывается и остывает</t>
        </is>
      </c>
      <c r="E4" s="23" t="n">
        <v>1944000</v>
      </c>
      <c r="F4" s="18" t="inlineStr">
        <is>
          <t>Шериф в Telegram: алерт РОПу через 15 минут после звонка без даты</t>
        </is>
      </c>
      <c r="G4" s="33" t="inlineStr">
        <is>
          <t>+680 000 ₽ возврата</t>
        </is>
      </c>
    </row>
    <row r="5" ht="25" customHeight="1">
      <c r="A5" s="29" t="n">
        <v>2</v>
      </c>
      <c r="B5" s="18" t="inlineStr">
        <is>
          <t>Необоснованная скидка при первом 'дорого'</t>
        </is>
      </c>
      <c r="C5" s="29" t="inlineStr">
        <is>
          <t>24% звонков</t>
        </is>
      </c>
      <c r="D5" s="18" t="inlineStr">
        <is>
          <t>Менеджер снижает маржу компании на 3-5% вместо защиты ценности</t>
        </is>
      </c>
      <c r="E5" s="23" t="n">
        <v>510000</v>
      </c>
      <c r="F5" s="18" t="inlineStr">
        <is>
          <t>ИИ-детектор скидок: блокировка выставления КП в CRM без авторизации</t>
        </is>
      </c>
      <c r="G5" s="33" t="inlineStr">
        <is>
          <t>+510 000 ₽ маржи</t>
        </is>
      </c>
    </row>
    <row r="6" ht="25" customHeight="1">
      <c r="A6" s="29" t="n">
        <v>3</v>
      </c>
      <c r="B6" s="18" t="inlineStr">
        <is>
          <t>Презентация продукта не ЛПР (секретарь/инженер)</t>
        </is>
      </c>
      <c r="C6" s="29" t="inlineStr">
        <is>
          <t>19% звонков</t>
        </is>
      </c>
      <c r="D6" s="18" t="inlineStr">
        <is>
          <t>Затягивание цикла сделки на 3-4 недели, слив презентаций впустую</t>
        </is>
      </c>
      <c r="E6" s="23" t="n">
        <v>380000</v>
      </c>
      <c r="F6" s="18" t="inlineStr">
        <is>
          <t>Обязательная матрица квалификации ЛПР из 2 вопросов в CRM</t>
        </is>
      </c>
      <c r="G6" s="33" t="inlineStr">
        <is>
          <t>-14 дней к циклу</t>
        </is>
      </c>
    </row>
    <row r="7" ht="25" customHeight="1">
      <c r="A7" s="29" t="n">
        <v>4</v>
      </c>
      <c r="B7" s="18" t="inlineStr">
        <is>
          <t>Монолог менеджера (Talk/Listen &gt; 70%)</t>
        </is>
      </c>
      <c r="C7" s="29" t="inlineStr">
        <is>
          <t>31% звонков</t>
        </is>
      </c>
      <c r="D7" s="18" t="inlineStr">
        <is>
          <t>Клиент не вовлечен, менеджер читает лекцию, не вскрывая боли</t>
        </is>
      </c>
      <c r="E7" s="23" t="n">
        <v>260000</v>
      </c>
      <c r="F7" s="18" t="inlineStr">
        <is>
          <t>Дневной срез баланса слушания РОПу в Telegram</t>
        </is>
      </c>
      <c r="G7" s="33" t="inlineStr">
        <is>
          <t>+15% к SQL конверсии</t>
        </is>
      </c>
    </row>
    <row r="8" ht="26" customHeight="1">
      <c r="A8" s="50" t="n"/>
      <c r="B8" s="38" t="inlineStr">
        <is>
          <t>СУММАРНЫЕ ВЫЯВЛЕННЫЕ УТЕЧКИ В МЕСЯЦ</t>
        </is>
      </c>
      <c r="C8" s="50" t="n"/>
      <c r="D8" s="50" t="n"/>
      <c r="E8" s="51">
        <f>SUM(E4:E7)</f>
        <v/>
      </c>
      <c r="F8" s="50" t="n"/>
      <c r="G8" s="52" t="inlineStr">
        <is>
          <t>от 1 190 000 ₽ / мес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8" customWidth="1" min="2" max="2"/>
    <col width="48" customWidth="1" min="3" max="3"/>
    <col width="22" customWidth="1" min="4" max="4"/>
    <col width="11" customWidth="1" min="5" max="5"/>
    <col width="11" customWidth="1" min="6" max="6"/>
  </cols>
  <sheetData>
    <row r="1" ht="35" customHeight="1">
      <c r="A1" s="1" t="inlineStr">
        <is>
          <t>Юридический Контур Безопасности и Обезличивания Персональных Данных (152-ФЗ РФ)</t>
        </is>
      </c>
    </row>
    <row r="2"/>
    <row r="3" ht="26" customHeight="1">
      <c r="A3" s="28" t="inlineStr">
        <is>
          <t>Параметр безопасности</t>
        </is>
      </c>
      <c r="B3" s="28" t="inlineStr">
        <is>
          <t>Требование 152-ФЗ РФ</t>
        </is>
      </c>
      <c r="C3" s="28" t="inlineStr">
        <is>
          <t>Реализация в RevOps Enterprise OS</t>
        </is>
      </c>
      <c r="D3" s="28" t="inlineStr">
        <is>
          <t>Статус проверки</t>
        </is>
      </c>
    </row>
    <row r="4" ht="28" customHeight="1">
      <c r="A4" s="18" t="inlineStr">
        <is>
          <t>Локализация баз данных (ст. 18.1)</t>
        </is>
      </c>
      <c r="B4" s="18" t="inlineStr">
        <is>
          <t>Хранение ПДн граждан РФ строго на территории РФ</t>
        </is>
      </c>
      <c r="C4" s="18" t="inlineStr">
        <is>
          <t>Серверы в Москве (Yandex Cloud / Selectel, аттестат ФСТЭК УЗ 1-2)</t>
        </is>
      </c>
      <c r="D4" s="53" t="inlineStr">
        <is>
          <t>✅ Соответствует 100%</t>
        </is>
      </c>
    </row>
    <row r="5" ht="28" customHeight="1">
      <c r="A5" s="18" t="inlineStr">
        <is>
          <t>Обезличивание данных (ст. 152-ФЗ)</t>
        </is>
      </c>
      <c r="B5" s="18" t="inlineStr">
        <is>
          <t>Криптографическая токенизация до передачи во внешние API</t>
        </is>
      </c>
      <c r="C5" s="18" t="inlineStr">
        <is>
          <t>Модуль PIISanitizer: замена телефонов и email на токены [PHONE_TOKEN_X]</t>
        </is>
      </c>
      <c r="D5" s="53" t="inlineStr">
        <is>
          <t>✅ Автоматически</t>
        </is>
      </c>
    </row>
    <row r="6" ht="28" customHeight="1">
      <c r="A6" s="18" t="inlineStr">
        <is>
          <t>Срок хранения записей (ст. 5)</t>
        </is>
      </c>
      <c r="B6" s="18" t="inlineStr">
        <is>
          <t>Удаление данных после достижения цели обработки</t>
        </is>
      </c>
      <c r="C6" s="18" t="inlineStr">
        <is>
          <t>Автоматическое удаление аудиозаписей через 30 дней</t>
        </is>
      </c>
      <c r="D6" s="53" t="inlineStr">
        <is>
          <t>✅ Настроено</t>
        </is>
      </c>
    </row>
    <row r="7" ht="28" customHeight="1">
      <c r="A7" s="18" t="inlineStr">
        <is>
          <t>Согласие сотрудников (ст. 86 ТК РФ)</t>
        </is>
      </c>
      <c r="B7" s="18" t="inlineStr">
        <is>
          <t>Уведомление сотрудников о контроле качества звонков</t>
        </is>
      </c>
      <c r="C7" s="18" t="inlineStr">
        <is>
          <t>Готовый комплект документов: Приказ, Положение о контроле, Согласие менеджера</t>
        </is>
      </c>
      <c r="D7" s="53" t="inlineStr">
        <is>
          <t>✅ Комплект включен</t>
        </is>
      </c>
    </row>
    <row r="8" ht="28" customHeight="1">
      <c r="A8" s="18" t="inlineStr">
        <is>
          <t>Формат работы и налоги</t>
        </is>
      </c>
      <c r="B8" s="18" t="inlineStr">
        <is>
          <t>Полная прозрачность для юридических лиц и бухгалтерии</t>
        </is>
      </c>
      <c r="C8" s="18" t="inlineStr">
        <is>
          <t>Плательщик НПД (Самозанятый), ст. 15 422-ФЗ. Оплата по безналичному расчету, 0% НДС, чеки</t>
        </is>
      </c>
      <c r="D8" s="53" t="inlineStr">
        <is>
          <t>✅ Безрисково для бухгалтерии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2026-10-01T06:49:54Z</dcterms:created>
  <dcterms:modified xmlns:dcterms="http://purl.org/dc/terms/" xmlns:xsi="http://www.w3.org/2001/XMLSchema-instance" xsi:type="dcterms:W3CDTF">2026-10-01T06:49:54Z</dcterms:modified>
</cp:coreProperties>
</file>