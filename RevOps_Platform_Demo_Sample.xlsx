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🌟 Обзор_Платформы" sheetId="1" state="visible" r:id="rId1"/>
    <sheet xmlns:r="http://schemas.openxmlformats.org/officeDocument/2006/relationships" name="⚡ Экспресс_Калькулятор_ROI" sheetId="2" state="visible" r:id="rId2"/>
    <sheet xmlns:r="http://schemas.openxmlformats.org/officeDocument/2006/relationships" name="📋 Пульт_РОПа_15_Минут" sheetId="3" state="visible" r:id="rId3"/>
    <sheet xmlns:r="http://schemas.openxmlformats.org/officeDocument/2006/relationships" name="🎙️ ИИ_Аудит_25_Звонков" sheetId="4" state="visible" r:id="rId4"/>
    <sheet xmlns:r="http://schemas.openxmlformats.org/officeDocument/2006/relationships" name="💸 Диагностика_Утечек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0.0 &quot;дней&quot;"/>
    <numFmt numFmtId="167" formatCode="0.0"/>
  </numFmts>
  <fonts count="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4F46E5"/>
      <sz val="9.5"/>
    </font>
    <font>
      <name val="Segoe UI"/>
      <b val="1"/>
      <color rgb="00065F46"/>
      <sz val="20"/>
    </font>
    <font>
      <name val="Segoe UI"/>
      <b val="1"/>
      <color rgb="00475569"/>
      <sz val="8.5"/>
    </font>
    <font>
      <name val="Segoe UI"/>
      <b val="1"/>
      <color rgb="003730A3"/>
      <sz val="20"/>
    </font>
    <font>
      <name val="Segoe UI"/>
      <b val="1"/>
      <color rgb="000F172A"/>
      <sz val="11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FFFFFF"/>
      <sz val="8.5"/>
    </font>
    <font>
      <name val="Segoe UI"/>
      <i val="1"/>
      <color rgb="00475569"/>
      <sz val="9.5"/>
    </font>
    <font>
      <name val="Segoe UI"/>
      <b val="1"/>
      <color rgb="00FFFFFF"/>
      <sz val="9"/>
    </font>
    <font>
      <name val="Segoe UI"/>
      <b val="1"/>
      <color rgb="001E1B4B"/>
      <sz val="10"/>
    </font>
    <font>
      <name val="Segoe UI"/>
      <color rgb="0064748B"/>
      <sz val="8.5"/>
    </font>
    <font>
      <name val="Segoe UI"/>
      <b val="1"/>
      <color rgb="000F172A"/>
      <sz val="10"/>
    </font>
    <font>
      <name val="Segoe UI"/>
      <b val="1"/>
      <color rgb="00065F46"/>
      <sz val="10"/>
    </font>
    <font>
      <name val="Segoe UI"/>
      <b val="1"/>
      <color rgb="000F172A"/>
      <sz val="9"/>
    </font>
    <font>
      <name val="Segoe UI"/>
      <b val="1"/>
      <color rgb="000F172A"/>
      <sz val="9.5"/>
    </font>
    <font>
      <name val="Segoe UI"/>
      <b val="1"/>
      <color rgb="00E11D48"/>
      <sz val="9"/>
    </font>
    <font>
      <name val="Segoe UI"/>
      <b val="1"/>
      <color rgb="00D97706"/>
      <sz val="9"/>
    </font>
    <font>
      <name val="Segoe UI"/>
      <b val="1"/>
      <color rgb="00E11D48"/>
      <sz val="10"/>
    </font>
    <font>
      <name val="Segoe UI"/>
      <b val="1"/>
      <color rgb="00065F46"/>
      <sz val="8.5"/>
    </font>
    <font>
      <name val="Segoe UI"/>
      <b val="1"/>
      <color rgb="00E11D48"/>
      <sz val="8.5"/>
    </font>
    <font>
      <name val="Segoe UI"/>
      <b val="1"/>
      <color rgb="00D97706"/>
      <sz val="10"/>
    </font>
    <font>
      <name val="Segoe UI"/>
      <b val="1"/>
      <color rgb="00D97706"/>
      <sz val="8.5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  <fill>
      <patternFill patternType="solid">
        <fgColor rgb="00F8FAFC"/>
        <bgColor rgb="00F8FAFC"/>
      </patternFill>
    </fill>
    <fill>
      <patternFill patternType="solid">
        <fgColor rgb="004F46E5"/>
        <bgColor rgb="004F46E5"/>
      </patternFill>
    </fill>
    <fill>
      <patternFill patternType="solid">
        <fgColor rgb="00FEF3C7"/>
        <bgColor rgb="00FEF3C7"/>
      </patternFill>
    </fill>
    <fill>
      <patternFill patternType="solid">
        <fgColor rgb="00FFF1F2"/>
        <bgColor rgb="00FFF1F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5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3" fontId="12" fillId="7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right" vertical="center"/>
    </xf>
    <xf numFmtId="164" fontId="12" fillId="7" borderId="0" applyAlignment="1" pivotButton="0" quotePrefix="0" xfId="0">
      <alignment horizontal="right" vertical="center"/>
    </xf>
    <xf numFmtId="164" fontId="15" fillId="4" borderId="0" applyAlignment="1" pivotButton="0" quotePrefix="0" xfId="0">
      <alignment horizontal="right" vertical="center"/>
    </xf>
    <xf numFmtId="165" fontId="12" fillId="7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165" fontId="15" fillId="4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4" fontId="18" fillId="5" borderId="1" applyAlignment="1" pivotButton="0" quotePrefix="0" xfId="0">
      <alignment horizontal="right" vertical="center"/>
    </xf>
    <xf numFmtId="167" fontId="19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4" fontId="18" fillId="0" borderId="1" applyAlignment="1" pivotButton="0" quotePrefix="0" xfId="0">
      <alignment horizontal="right" vertical="center"/>
    </xf>
    <xf numFmtId="167" fontId="18" fillId="5" borderId="1" applyAlignment="1" pivotButton="0" quotePrefix="0" xfId="0">
      <alignment horizontal="center" vertical="center"/>
    </xf>
    <xf numFmtId="165" fontId="18" fillId="5" borderId="1" applyAlignment="1" pivotButton="0" quotePrefix="0" xfId="0">
      <alignment horizontal="center" vertical="center"/>
    </xf>
    <xf numFmtId="167" fontId="18" fillId="0" borderId="1" applyAlignment="1" pivotButton="0" quotePrefix="0" xfId="0">
      <alignment horizontal="center" vertical="center"/>
    </xf>
    <xf numFmtId="0" fontId="0" fillId="3" borderId="3" pivotButton="0" quotePrefix="0" xfId="0"/>
    <xf numFmtId="0" fontId="16" fillId="3" borderId="3" applyAlignment="1" pivotButton="0" quotePrefix="0" xfId="0">
      <alignment horizontal="right" vertical="center"/>
    </xf>
    <xf numFmtId="0" fontId="16" fillId="3" borderId="3" applyAlignment="1" pivotButton="0" quotePrefix="0" xfId="0">
      <alignment horizontal="center" vertical="center"/>
    </xf>
    <xf numFmtId="167" fontId="16" fillId="3" borderId="3" applyAlignment="1" pivotButton="0" quotePrefix="0" xfId="0">
      <alignment horizontal="center" vertical="center"/>
    </xf>
    <xf numFmtId="165" fontId="16" fillId="3" borderId="3" applyAlignment="1" pivotButton="0" quotePrefix="0" xfId="0">
      <alignment horizontal="center" vertical="center"/>
    </xf>
    <xf numFmtId="164" fontId="20" fillId="8" borderId="3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8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45" customWidth="1" min="4" max="4"/>
    <col width="45" customWidth="1" min="5" max="5"/>
    <col width="45" customWidth="1" min="6" max="6"/>
    <col width="10" customWidth="1" min="7" max="7"/>
  </cols>
  <sheetData>
    <row r="1">
      <c r="A1" s="1" t="inlineStr">
        <is>
          <t xml:space="preserve">   AI-ROP.RU  |  RevOps Enterprise OS V17.6 — ПРЕЗЕНТАЦИЯ ПЛАТФОРМЫ</t>
        </is>
      </c>
    </row>
    <row r="2"/>
    <row r="3">
      <c r="A3" s="2" t="inlineStr">
        <is>
          <t xml:space="preserve">   ИИ-Супервайзер звонков отдела продаж и Радар Выручки: контроль 100% звонков в amoCRM / Битрикс24 по 13 критериям</t>
        </is>
      </c>
    </row>
    <row r="4"/>
    <row r="5" ht="28" customHeight="1">
      <c r="B5" s="3" t="inlineStr">
        <is>
          <t>+24.3%</t>
        </is>
      </c>
      <c r="D5" s="4" t="inlineStr">
        <is>
          <t>-31%</t>
        </is>
      </c>
      <c r="E5" s="4" t="inlineStr">
        <is>
          <t>100%</t>
        </is>
      </c>
      <c r="F5" s="3" t="inlineStr">
        <is>
          <t>1.4M ₽</t>
        </is>
      </c>
    </row>
    <row r="6" ht="18" customHeight="1">
      <c r="B6" s="5" t="inlineStr">
        <is>
          <t>РОСТ КОНВЕРСИИ В CRM
за счет исключения сливов Next Step</t>
        </is>
      </c>
      <c r="D6" s="6" t="inlineStr">
        <is>
          <t>СОКРАЩЕНИЕ ЦИКЛА СДЕЛКИ
ликвидация зависаний на этапе КП</t>
        </is>
      </c>
      <c r="E6" s="6" t="inlineStr">
        <is>
          <t>ПОКРЫТИЕ ВСЕХ ЗВОНКОВ
Whisper Large V3 + 13 критериев речи</t>
        </is>
      </c>
      <c r="F6" s="5" t="inlineStr">
        <is>
          <t>СРЕДНИЙ ВОЗВРАТ В КАCCУ
найденных потерь в первый месяц пилота</t>
        </is>
      </c>
    </row>
    <row r="7" ht="18" customHeight="1"/>
    <row r="8"/>
    <row r="9">
      <c r="A9" s="7" t="inlineStr">
        <is>
          <t>НАВИГАЦИЯ ПО РАЗДЕЛАМ ПРЕЗЕНТАЦИОННОЙ ТАБЛИЦЫ:</t>
        </is>
      </c>
    </row>
    <row r="10" ht="22" customHeight="1">
      <c r="A10" s="2" t="inlineStr">
        <is>
          <t>⚡ Лист 2: Экспресс_Калькулятор_ROI</t>
        </is>
      </c>
      <c r="C10" s="8" t="inlineStr">
        <is>
          <t>Интерактивный расчет потерь выручки под параметры вашего отдела (менеджеры, лиды, чек)</t>
        </is>
      </c>
    </row>
    <row r="11" ht="22" customHeight="1">
      <c r="A11" s="2" t="inlineStr">
        <is>
          <t>📋 Лист 3: Пульт_РОПа_15_Минут</t>
        </is>
      </c>
      <c r="C11" s="8" t="inlineStr">
        <is>
          <t>Ежедневный экран надзора: детектив зависших сделок, баланс речи Talk/Listen, алерты дожима</t>
        </is>
      </c>
    </row>
    <row r="12" ht="22" customHeight="1">
      <c r="A12" s="2" t="inlineStr">
        <is>
          <t>🎙️ Лист 4: ИИ_Аудит_25_Звонков</t>
        </is>
      </c>
      <c r="C12" s="8" t="inlineStr">
        <is>
          <t>Реальный реестр 25 звонков с поминутным скорингом по 13 жестким B2B-критериям качества</t>
        </is>
      </c>
    </row>
    <row r="13" ht="22" customHeight="1">
      <c r="A13" s="2" t="inlineStr">
        <is>
          <t>💸 Лист 5: Диагностика_Утечек</t>
        </is>
      </c>
      <c r="C13" s="8" t="inlineStr">
        <is>
          <t>Анатомия сливов выручки: 4 главные зоны потерь в воронке CRM и оцифрованный эффект устранения</t>
        </is>
      </c>
    </row>
    <row r="14" ht="22" customHeight="1">
      <c r="A14" s="2" t="inlineStr">
        <is>
          <t>🔐 Лист 6: 152-ФЗ_Контур_Безопасности</t>
        </is>
      </c>
      <c r="C14" s="8" t="inlineStr">
        <is>
          <t>Юридическая чистота: деперсонализация ПДн, закрытый контур РФ, статус Самозанятого (0% НДС, 422-ФЗ)</t>
        </is>
      </c>
    </row>
    <row r="15"/>
    <row r="16">
      <c r="A16" s="9" t="inlineStr">
        <is>
          <t>💎 СПЕЦИАЛЬНОЕ ПРЕДЛОЖЕНИЕ: 7-ДНЕВНЫЙ ПИЛОТ «БЫСТРЫЙ СТАРТ» ЗА 29 000 ₽ СО 100% ГАРАНТИЕЙ
Мы подключаем вашу CRM, проводим аудит 100 звонков и настраиваем Telegram-бота РОПу.
Если за 7 дней система не выявит в вашем отделе продаж зависших сделок минимум на 300 000 ₽ — мы возвращаем 29 000 ₽ в полном объеме!</t>
        </is>
      </c>
    </row>
    <row r="17"/>
    <row r="18"/>
    <row r="19"/>
    <row r="20">
      <c r="A20" s="10" t="inlineStr">
        <is>
          <t>🌐 Официальный сайт: ai-rop.ru   •   💬 Telegram основателя: @Reflecteddark   •   📧 Email: strelok15@bk.ru</t>
        </is>
      </c>
    </row>
  </sheetData>
  <mergeCells count="22">
    <mergeCell ref="A1:G2"/>
    <mergeCell ref="A11:B11"/>
    <mergeCell ref="A20:G20"/>
    <mergeCell ref="B6:C7"/>
    <mergeCell ref="C14:G14"/>
    <mergeCell ref="D5"/>
    <mergeCell ref="C10:G10"/>
    <mergeCell ref="F5:G5"/>
    <mergeCell ref="E6:E7"/>
    <mergeCell ref="A12:B12"/>
    <mergeCell ref="E5"/>
    <mergeCell ref="C12:G12"/>
    <mergeCell ref="D6:D7"/>
    <mergeCell ref="C11:G11"/>
    <mergeCell ref="A14:B14"/>
    <mergeCell ref="F6:G7"/>
    <mergeCell ref="A3:G3"/>
    <mergeCell ref="B5:C5"/>
    <mergeCell ref="A16:G18"/>
    <mergeCell ref="A10:B10"/>
    <mergeCell ref="A13:B13"/>
    <mergeCell ref="C13:G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4" customWidth="1" min="2" max="2"/>
    <col width="10" customWidth="1" min="3" max="3"/>
    <col width="38" customWidth="1" min="4" max="4"/>
    <col width="45" customWidth="1" min="5" max="5"/>
    <col width="32" customWidth="1" min="6" max="6"/>
    <col width="10" customWidth="1" min="7" max="7"/>
  </cols>
  <sheetData>
    <row r="1">
      <c r="A1" s="1" t="inlineStr">
        <is>
          <t>RevOps Enterprise OS V17.6 — Интерактивный Калькулятор Окупаемости и Утечек</t>
        </is>
      </c>
    </row>
    <row r="2">
      <c r="A2" s="11" t="inlineStr">
        <is>
          <t>Измените желтые ячейки ниже (C5:C8), чтобы пересчитать скрытые потери и возврат выручки в кассу</t>
        </is>
      </c>
    </row>
    <row r="3"/>
    <row r="4">
      <c r="A4" s="12" t="inlineStr">
        <is>
          <t>ПАРАМЕТРЫ ВАШЕГО БИЗНЕСА (ВВОД ДАННЫХ)</t>
        </is>
      </c>
      <c r="E4" s="13" t="inlineStr">
        <is>
          <t>ОЦЕНКА УТЕЧЕК И ЭКОНОМИКА ВНЕДРЕНИЯ AI-ROP</t>
        </is>
      </c>
    </row>
    <row r="5">
      <c r="A5" s="14" t="inlineStr">
        <is>
          <t>Количество менеджеров по продажам (ОП)</t>
        </is>
      </c>
      <c r="B5" s="15" t="n">
        <v>5</v>
      </c>
      <c r="C5" s="16" t="inlineStr">
        <is>
          <t>чел</t>
        </is>
      </c>
      <c r="E5" s="14" t="inlineStr">
        <is>
          <t>Квалифицированный пайплайн в месяц</t>
        </is>
      </c>
      <c r="F5" s="17">
        <f>B6*B8*B7</f>
        <v/>
      </c>
    </row>
    <row r="6">
      <c r="A6" s="14" t="inlineStr">
        <is>
          <t>Входящий поток лидов в месяц</t>
        </is>
      </c>
      <c r="B6" s="15" t="n">
        <v>150</v>
      </c>
      <c r="C6" s="16" t="inlineStr">
        <is>
          <t>лидов</t>
        </is>
      </c>
      <c r="E6" s="14" t="inlineStr">
        <is>
          <t>Скрытые потери выручки из-за сливов Next Step (18%)</t>
        </is>
      </c>
      <c r="F6" s="17">
        <f>F5*0.18</f>
        <v/>
      </c>
    </row>
    <row r="7">
      <c r="A7" s="14" t="inlineStr">
        <is>
          <t>Средний чек одной сделки</t>
        </is>
      </c>
      <c r="B7" s="18" t="n">
        <v>280000</v>
      </c>
      <c r="C7" s="16" t="inlineStr">
        <is>
          <t>₽</t>
        </is>
      </c>
      <c r="E7" s="14" t="inlineStr">
        <is>
          <t>Потенциал возврата в кассу в 1-й месяц (35%)</t>
        </is>
      </c>
      <c r="F7" s="19">
        <f>F6*0.35</f>
        <v/>
      </c>
    </row>
    <row r="8">
      <c r="A8" s="14" t="inlineStr">
        <is>
          <t>Конверсия в квалифицированный лид (SQL)</t>
        </is>
      </c>
      <c r="B8" s="20" t="n">
        <v>0.18</v>
      </c>
      <c r="C8" s="16" t="inlineStr">
        <is>
          <t>%</t>
        </is>
      </c>
      <c r="E8" s="14" t="inlineStr">
        <is>
          <t>Стоимость платформы AI-ROP (тариф Старт)</t>
        </is>
      </c>
      <c r="F8" s="17" t="n">
        <v>49000</v>
      </c>
    </row>
    <row r="9"/>
    <row r="10">
      <c r="E10" s="21" t="inlineStr">
        <is>
          <t>Чистый дополнительный профит компании в месяц</t>
        </is>
      </c>
      <c r="F10" s="19">
        <f>F7-F8</f>
        <v/>
      </c>
    </row>
    <row r="11">
      <c r="E11" s="21" t="inlineStr">
        <is>
          <t>Возврат на инвестиции (ROI за 30 дней)</t>
        </is>
      </c>
      <c r="F11" s="22">
        <f>(F7-F8)/F8</f>
        <v/>
      </c>
    </row>
    <row r="12">
      <c r="E12" s="21" t="inlineStr">
        <is>
          <t>Срок окупаемости платформы</t>
        </is>
      </c>
      <c r="F12" s="23">
        <f>ROUND(F8/(F7/30), 1)</f>
        <v/>
      </c>
    </row>
    <row r="13"/>
    <row r="14">
      <c r="A14" s="13" t="inlineStr">
        <is>
          <t>СРАВНЕНИЕ: РУЧНОЙ КОНТРОЛЬ РОПА vs ИИ-СУПЕРВАЙЗЕР AI-ROP</t>
        </is>
      </c>
    </row>
    <row r="15">
      <c r="A15" s="24" t="inlineStr">
        <is>
          <t>Параметр сравнения</t>
        </is>
      </c>
      <c r="B15" s="24" t="inlineStr">
        <is>
          <t>Ручной контроль РОПа</t>
        </is>
      </c>
      <c r="D15" s="24" t="inlineStr">
        <is>
          <t>Платформа AI-ROP V17.6</t>
        </is>
      </c>
      <c r="F15" s="24" t="inlineStr">
        <is>
          <t>Выгода для бизнеса</t>
        </is>
      </c>
    </row>
    <row r="16">
      <c r="A16" s="25" t="inlineStr">
        <is>
          <t>Охват звонков отдела</t>
        </is>
      </c>
      <c r="B16" s="25" t="inlineStr">
        <is>
          <t>1.5% – 2% (выборочно)</t>
        </is>
      </c>
      <c r="D16" s="25" t="inlineStr">
        <is>
          <t>100% звонков без пропусков</t>
        </is>
      </c>
      <c r="F16" s="25" t="inlineStr">
        <is>
          <t>Полная прозрачность ОП</t>
        </is>
      </c>
    </row>
    <row r="17">
      <c r="A17" s="26" t="inlineStr">
        <is>
          <t>Время РОПа на прослушку</t>
        </is>
      </c>
      <c r="B17" s="26" t="inlineStr">
        <is>
          <t>3–4 часа в день</t>
        </is>
      </c>
      <c r="D17" s="26" t="inlineStr">
        <is>
          <t>15 минут утром по пульту в Telegram</t>
        </is>
      </c>
      <c r="F17" s="26" t="inlineStr">
        <is>
          <t>Освобождение 60+ часов РОПа</t>
        </is>
      </c>
    </row>
    <row r="18">
      <c r="A18" s="25" t="inlineStr">
        <is>
          <t>Стоимость контроля в месяц</t>
        </is>
      </c>
      <c r="B18" s="25" t="inlineStr">
        <is>
          <t>~105 000 ₽ (доля ФОТ РОПа)</t>
        </is>
      </c>
      <c r="D18" s="25" t="inlineStr">
        <is>
          <t>49 000 ₽ / мес (под ключ)</t>
        </is>
      </c>
      <c r="F18" s="25" t="inlineStr">
        <is>
          <t>Экономия ФОТ: от 56 000 ₽/мес</t>
        </is>
      </c>
    </row>
    <row r="19">
      <c r="A19" s="26" t="inlineStr">
        <is>
          <t>Скорость реакции на слив</t>
        </is>
      </c>
      <c r="B19" s="26" t="inlineStr">
        <is>
          <t>Спустя 3–7 дней (сделка остыла)</t>
        </is>
      </c>
      <c r="D19" s="26" t="inlineStr">
        <is>
          <t>Через 15 минут в Telegram-бот</t>
        </is>
      </c>
      <c r="F19" s="26" t="inlineStr">
        <is>
          <t>Спасение горячих клиентов</t>
        </is>
      </c>
    </row>
  </sheetData>
  <mergeCells count="5">
    <mergeCell ref="A14:G14"/>
    <mergeCell ref="A1:G1"/>
    <mergeCell ref="A2:G2"/>
    <mergeCell ref="E4:G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8" customWidth="1" min="4" max="4"/>
    <col width="18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Ежедневный Пульт Руководителя Отдела Продаж (Контроль за 15 минут в день)</t>
        </is>
      </c>
    </row>
    <row r="2">
      <c r="A2" s="11" t="inlineStr">
        <is>
          <t>Сводка формируется каждое утро в 09:00: рейтинг менеджеров по 13 критериям, зоны сливов и сумма в зоне риска</t>
        </is>
      </c>
    </row>
    <row r="3">
      <c r="A3" s="27" t="inlineStr">
        <is>
          <t>Ранг</t>
        </is>
      </c>
      <c r="B3" s="27" t="inlineStr">
        <is>
          <t>Менеджер ОП</t>
        </is>
      </c>
      <c r="C3" s="27" t="inlineStr">
        <is>
          <t>Звонков за сутки</t>
        </is>
      </c>
      <c r="D3" s="27" t="inlineStr">
        <is>
          <t>Ср. балл речи (из 13)</t>
        </is>
      </c>
      <c r="E3" s="27" t="inlineStr">
        <is>
          <t>Next Step %</t>
        </is>
      </c>
      <c r="F3" s="27" t="inlineStr">
        <is>
          <t>Talk/Listen (Норма ≥45%)</t>
        </is>
      </c>
      <c r="G3" s="27" t="inlineStr">
        <is>
          <t>Зависших сделок</t>
        </is>
      </c>
      <c r="H3" s="27" t="inlineStr">
        <is>
          <t>Сумма риска (₽)</t>
        </is>
      </c>
    </row>
    <row r="4">
      <c r="A4" s="28" t="n">
        <v>1</v>
      </c>
      <c r="B4" s="25" t="inlineStr">
        <is>
          <t>Алексей Мельников</t>
        </is>
      </c>
      <c r="C4" s="29" t="n">
        <v>14</v>
      </c>
      <c r="D4" s="30" t="n">
        <v>11.4</v>
      </c>
      <c r="E4" s="31" t="n">
        <v>0.93</v>
      </c>
      <c r="F4" s="29" t="inlineStr">
        <is>
          <t>48% / 52%</t>
        </is>
      </c>
      <c r="G4" s="29" t="n">
        <v>0</v>
      </c>
      <c r="H4" s="32" t="n">
        <v>0</v>
      </c>
    </row>
    <row r="5">
      <c r="A5" s="33" t="n">
        <v>2</v>
      </c>
      <c r="B5" s="26" t="inlineStr">
        <is>
          <t>Елена Васильева</t>
        </is>
      </c>
      <c r="C5" s="34" t="n">
        <v>12</v>
      </c>
      <c r="D5" s="35" t="n">
        <v>10.1</v>
      </c>
      <c r="E5" s="36" t="n">
        <v>0.83</v>
      </c>
      <c r="F5" s="34" t="inlineStr">
        <is>
          <t>51% / 49%</t>
        </is>
      </c>
      <c r="G5" s="34" t="n">
        <v>1</v>
      </c>
      <c r="H5" s="37" t="n">
        <v>160000</v>
      </c>
    </row>
    <row r="6">
      <c r="A6" s="28" t="n">
        <v>3</v>
      </c>
      <c r="B6" s="25" t="inlineStr">
        <is>
          <t>Анна Соколова</t>
        </is>
      </c>
      <c r="C6" s="29" t="n">
        <v>10</v>
      </c>
      <c r="D6" s="38" t="n">
        <v>8.199999999999999</v>
      </c>
      <c r="E6" s="39" t="n">
        <v>0.6</v>
      </c>
      <c r="F6" s="29" t="inlineStr">
        <is>
          <t>55% / 45%</t>
        </is>
      </c>
      <c r="G6" s="29" t="n">
        <v>2</v>
      </c>
      <c r="H6" s="40" t="n">
        <v>480000</v>
      </c>
    </row>
    <row r="7">
      <c r="A7" s="33" t="n">
        <v>4</v>
      </c>
      <c r="B7" s="26" t="inlineStr">
        <is>
          <t>Дмитрий Ковалев</t>
        </is>
      </c>
      <c r="C7" s="34" t="n">
        <v>13</v>
      </c>
      <c r="D7" s="41" t="n">
        <v>6.4</v>
      </c>
      <c r="E7" s="42" t="n">
        <v>0.38</v>
      </c>
      <c r="F7" s="34" t="inlineStr">
        <is>
          <t>72% / 28%</t>
        </is>
      </c>
      <c r="G7" s="34" t="n">
        <v>3</v>
      </c>
      <c r="H7" s="37" t="n">
        <v>860000</v>
      </c>
    </row>
    <row r="8">
      <c r="A8" s="28" t="n">
        <v>5</v>
      </c>
      <c r="B8" s="25" t="inlineStr">
        <is>
          <t>Иван Попов</t>
        </is>
      </c>
      <c r="C8" s="29" t="n">
        <v>9</v>
      </c>
      <c r="D8" s="43" t="n">
        <v>5.8</v>
      </c>
      <c r="E8" s="39" t="n">
        <v>0.33</v>
      </c>
      <c r="F8" s="29" t="inlineStr">
        <is>
          <t>79% / 21%</t>
        </is>
      </c>
      <c r="G8" s="29" t="n">
        <v>4</v>
      </c>
      <c r="H8" s="40" t="n">
        <v>940000</v>
      </c>
    </row>
    <row r="9"/>
    <row r="10">
      <c r="A10" s="44" t="n"/>
      <c r="B10" s="45" t="inlineStr">
        <is>
          <t>ИТОГО ПО ОТДЕЛУ:</t>
        </is>
      </c>
      <c r="C10" s="46">
        <f>SUM(C4:C8)</f>
        <v/>
      </c>
      <c r="D10" s="47">
        <f>AVERAGE(D4:D8)</f>
        <v/>
      </c>
      <c r="E10" s="48">
        <f>AVERAGE(E4:E8)</f>
        <v/>
      </c>
      <c r="F10" s="44" t="n"/>
      <c r="G10" s="46">
        <f>SUM(G4:G8)</f>
        <v/>
      </c>
      <c r="H10" s="49">
        <f>SUM(H4:H8)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2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</cols>
  <sheetData>
    <row r="1">
      <c r="A1" s="1" t="inlineStr">
        <is>
          <t>Детализированный реестр звонков с разметкой по 13 критериям (Whisper Large V3 + LLM)</t>
        </is>
      </c>
    </row>
    <row r="2">
      <c r="A2" s="11" t="inlineStr">
        <is>
          <t>Каждый звонок оцифрован: таймкоды, детекция срывов сделки, статус валидации РОПа</t>
        </is>
      </c>
    </row>
    <row r="3">
      <c r="A3" s="27" t="inlineStr">
        <is>
          <t>Call_ID</t>
        </is>
      </c>
      <c r="B3" s="27" t="inlineStr">
        <is>
          <t>Deal_ID</t>
        </is>
      </c>
      <c r="C3" s="27" t="inlineStr">
        <is>
          <t>Менеджер</t>
        </is>
      </c>
      <c r="D3" s="27" t="inlineStr">
        <is>
          <t>Длительность</t>
        </is>
      </c>
      <c r="E3" s="27" t="inlineStr">
        <is>
          <t>Этап сделки CRM</t>
        </is>
      </c>
      <c r="F3" s="27" t="inlineStr">
        <is>
          <t>Next Step</t>
        </is>
      </c>
      <c r="G3" s="27" t="inlineStr">
        <is>
          <t>Инициатива</t>
        </is>
      </c>
      <c r="H3" s="27" t="inlineStr">
        <is>
          <t>Квалиф. ЛПР</t>
        </is>
      </c>
      <c r="I3" s="27" t="inlineStr">
        <is>
          <t>Отраб. «Дорого»</t>
        </is>
      </c>
      <c r="J3" s="27" t="inlineStr">
        <is>
          <t>Балл (из 13)</t>
        </is>
      </c>
      <c r="K3" s="27" t="inlineStr">
        <is>
          <t>Статус ИИ</t>
        </is>
      </c>
    </row>
    <row r="4">
      <c r="A4" s="50" t="inlineStr">
        <is>
          <t>C-801</t>
        </is>
      </c>
      <c r="B4" s="50" t="inlineStr">
        <is>
          <t>D-101</t>
        </is>
      </c>
      <c r="C4" s="25" t="inlineStr">
        <is>
          <t>Алексей М.</t>
        </is>
      </c>
      <c r="D4" s="50" t="inlineStr">
        <is>
          <t>05:12</t>
        </is>
      </c>
      <c r="E4" s="25" t="inlineStr">
        <is>
          <t>Квалификация</t>
        </is>
      </c>
      <c r="F4" s="51" t="inlineStr">
        <is>
          <t>✅ 1</t>
        </is>
      </c>
      <c r="G4" s="51" t="inlineStr">
        <is>
          <t>✅ 1</t>
        </is>
      </c>
      <c r="H4" s="51" t="inlineStr">
        <is>
          <t>✅ 1</t>
        </is>
      </c>
      <c r="I4" s="51" t="inlineStr">
        <is>
          <t>✅ 1</t>
        </is>
      </c>
      <c r="J4" s="52" t="n">
        <v>12</v>
      </c>
      <c r="K4" s="53" t="inlineStr">
        <is>
          <t>✅ УСПЕХ</t>
        </is>
      </c>
    </row>
    <row r="5">
      <c r="A5" s="54" t="inlineStr">
        <is>
          <t>C-802</t>
        </is>
      </c>
      <c r="B5" s="54" t="inlineStr">
        <is>
          <t>D-104</t>
        </is>
      </c>
      <c r="C5" s="26" t="inlineStr">
        <is>
          <t>Дмитрий К.</t>
        </is>
      </c>
      <c r="D5" s="54" t="inlineStr">
        <is>
          <t>03:40</t>
        </is>
      </c>
      <c r="E5" s="26" t="inlineStr">
        <is>
          <t>Переговоры</t>
        </is>
      </c>
      <c r="F5" s="55" t="inlineStr">
        <is>
          <t>❌ 0</t>
        </is>
      </c>
      <c r="G5" s="56" t="inlineStr">
        <is>
          <t>✅ 1</t>
        </is>
      </c>
      <c r="H5" s="55" t="inlineStr">
        <is>
          <t>❌ 0</t>
        </is>
      </c>
      <c r="I5" s="55" t="inlineStr">
        <is>
          <t>❌ 0</t>
        </is>
      </c>
      <c r="J5" s="57" t="n">
        <v>6</v>
      </c>
      <c r="K5" s="58" t="inlineStr">
        <is>
          <t>❌ СЛИВ</t>
        </is>
      </c>
    </row>
    <row r="6">
      <c r="A6" s="50" t="inlineStr">
        <is>
          <t>C-803</t>
        </is>
      </c>
      <c r="B6" s="50" t="inlineStr">
        <is>
          <t>D-106</t>
        </is>
      </c>
      <c r="C6" s="25" t="inlineStr">
        <is>
          <t>Анна С.</t>
        </is>
      </c>
      <c r="D6" s="50" t="inlineStr">
        <is>
          <t>04:15</t>
        </is>
      </c>
      <c r="E6" s="25" t="inlineStr">
        <is>
          <t>Отработка цены</t>
        </is>
      </c>
      <c r="F6" s="51" t="inlineStr">
        <is>
          <t>✅ 1</t>
        </is>
      </c>
      <c r="G6" s="51" t="inlineStr">
        <is>
          <t>✅ 1</t>
        </is>
      </c>
      <c r="H6" s="51" t="inlineStr">
        <is>
          <t>✅ 1</t>
        </is>
      </c>
      <c r="I6" s="59" t="inlineStr">
        <is>
          <t>❌ 0</t>
        </is>
      </c>
      <c r="J6" s="60" t="n">
        <v>9</v>
      </c>
      <c r="K6" s="61" t="inlineStr">
        <is>
          <t>⚠️ РИСК</t>
        </is>
      </c>
    </row>
    <row r="7">
      <c r="A7" s="54" t="inlineStr">
        <is>
          <t>C-804</t>
        </is>
      </c>
      <c r="B7" s="54" t="inlineStr">
        <is>
          <t>D-108</t>
        </is>
      </c>
      <c r="C7" s="26" t="inlineStr">
        <is>
          <t>Иван П.</t>
        </is>
      </c>
      <c r="D7" s="54" t="inlineStr">
        <is>
          <t>02:50</t>
        </is>
      </c>
      <c r="E7" s="26" t="inlineStr">
        <is>
          <t>Входящий лид</t>
        </is>
      </c>
      <c r="F7" s="55" t="inlineStr">
        <is>
          <t>❌ 0</t>
        </is>
      </c>
      <c r="G7" s="55" t="inlineStr">
        <is>
          <t>❌ 0</t>
        </is>
      </c>
      <c r="H7" s="55" t="inlineStr">
        <is>
          <t>❌ 0</t>
        </is>
      </c>
      <c r="I7" s="55" t="inlineStr">
        <is>
          <t>❌ 0</t>
        </is>
      </c>
      <c r="J7" s="57" t="n">
        <v>4</v>
      </c>
      <c r="K7" s="58" t="inlineStr">
        <is>
          <t>❌ СЛИВ</t>
        </is>
      </c>
    </row>
    <row r="8">
      <c r="A8" s="50" t="inlineStr">
        <is>
          <t>C-805</t>
        </is>
      </c>
      <c r="B8" s="50" t="inlineStr">
        <is>
          <t>D-111</t>
        </is>
      </c>
      <c r="C8" s="25" t="inlineStr">
        <is>
          <t>Елена В.</t>
        </is>
      </c>
      <c r="D8" s="50" t="inlineStr">
        <is>
          <t>06:20</t>
        </is>
      </c>
      <c r="E8" s="25" t="inlineStr">
        <is>
          <t>Презентация КП</t>
        </is>
      </c>
      <c r="F8" s="51" t="inlineStr">
        <is>
          <t>✅ 1</t>
        </is>
      </c>
      <c r="G8" s="51" t="inlineStr">
        <is>
          <t>✅ 1</t>
        </is>
      </c>
      <c r="H8" s="51" t="inlineStr">
        <is>
          <t>✅ 1</t>
        </is>
      </c>
      <c r="I8" s="51" t="inlineStr">
        <is>
          <t>✅ 1</t>
        </is>
      </c>
      <c r="J8" s="52" t="n">
        <v>11</v>
      </c>
      <c r="K8" s="53" t="inlineStr">
        <is>
          <t>✅ УСПЕХ</t>
        </is>
      </c>
    </row>
    <row r="9">
      <c r="A9" s="54" t="inlineStr">
        <is>
          <t>C-806</t>
        </is>
      </c>
      <c r="B9" s="54" t="inlineStr">
        <is>
          <t>D-114</t>
        </is>
      </c>
      <c r="C9" s="26" t="inlineStr">
        <is>
          <t>Дмитрий К.</t>
        </is>
      </c>
      <c r="D9" s="54" t="inlineStr">
        <is>
          <t>04:30</t>
        </is>
      </c>
      <c r="E9" s="26" t="inlineStr">
        <is>
          <t>Дожим договора</t>
        </is>
      </c>
      <c r="F9" s="55" t="inlineStr">
        <is>
          <t>❌ 0</t>
        </is>
      </c>
      <c r="G9" s="56" t="inlineStr">
        <is>
          <t>✅ 1</t>
        </is>
      </c>
      <c r="H9" s="56" t="inlineStr">
        <is>
          <t>✅ 1</t>
        </is>
      </c>
      <c r="I9" s="55" t="inlineStr">
        <is>
          <t>❌ 0</t>
        </is>
      </c>
      <c r="J9" s="57" t="n">
        <v>7</v>
      </c>
      <c r="K9" s="58" t="inlineStr">
        <is>
          <t>❌ СЛИВ</t>
        </is>
      </c>
    </row>
    <row r="10">
      <c r="A10" s="50" t="inlineStr">
        <is>
          <t>C-807</t>
        </is>
      </c>
      <c r="B10" s="50" t="inlineStr">
        <is>
          <t>D-118</t>
        </is>
      </c>
      <c r="C10" s="25" t="inlineStr">
        <is>
          <t>Алексей М.</t>
        </is>
      </c>
      <c r="D10" s="50" t="inlineStr">
        <is>
          <t>07:10</t>
        </is>
      </c>
      <c r="E10" s="25" t="inlineStr">
        <is>
          <t>Финальные условия</t>
        </is>
      </c>
      <c r="F10" s="51" t="inlineStr">
        <is>
          <t>✅ 1</t>
        </is>
      </c>
      <c r="G10" s="51" t="inlineStr">
        <is>
          <t>✅ 1</t>
        </is>
      </c>
      <c r="H10" s="51" t="inlineStr">
        <is>
          <t>✅ 1</t>
        </is>
      </c>
      <c r="I10" s="51" t="inlineStr">
        <is>
          <t>✅ 1</t>
        </is>
      </c>
      <c r="J10" s="52" t="n">
        <v>13</v>
      </c>
      <c r="K10" s="53" t="inlineStr">
        <is>
          <t>✅ ЭТАЛОН</t>
        </is>
      </c>
    </row>
    <row r="11">
      <c r="A11" s="54" t="inlineStr">
        <is>
          <t>C-808</t>
        </is>
      </c>
      <c r="B11" s="54" t="inlineStr">
        <is>
          <t>D-121</t>
        </is>
      </c>
      <c r="C11" s="26" t="inlineStr">
        <is>
          <t>Анна С.</t>
        </is>
      </c>
      <c r="D11" s="54" t="inlineStr">
        <is>
          <t>03:55</t>
        </is>
      </c>
      <c r="E11" s="26" t="inlineStr">
        <is>
          <t>Повторный контакт</t>
        </is>
      </c>
      <c r="F11" s="56" t="inlineStr">
        <is>
          <t>✅ 1</t>
        </is>
      </c>
      <c r="G11" s="55" t="inlineStr">
        <is>
          <t>❌ 0</t>
        </is>
      </c>
      <c r="H11" s="56" t="inlineStr">
        <is>
          <t>✅ 1</t>
        </is>
      </c>
      <c r="I11" s="55" t="inlineStr">
        <is>
          <t>❌ 0</t>
        </is>
      </c>
      <c r="J11" s="62" t="n">
        <v>8</v>
      </c>
      <c r="K11" s="61" t="inlineStr">
        <is>
          <t>⚠️ РИСК</t>
        </is>
      </c>
    </row>
    <row r="12">
      <c r="A12" s="50" t="inlineStr">
        <is>
          <t>C-809</t>
        </is>
      </c>
      <c r="B12" s="50" t="inlineStr">
        <is>
          <t>D-125</t>
        </is>
      </c>
      <c r="C12" s="25" t="inlineStr">
        <is>
          <t>Иван П.</t>
        </is>
      </c>
      <c r="D12" s="50" t="inlineStr">
        <is>
          <t>05:40</t>
        </is>
      </c>
      <c r="E12" s="25" t="inlineStr">
        <is>
          <t>Квалификация</t>
        </is>
      </c>
      <c r="F12" s="59" t="inlineStr">
        <is>
          <t>❌ 0</t>
        </is>
      </c>
      <c r="G12" s="59" t="inlineStr">
        <is>
          <t>❌ 0</t>
        </is>
      </c>
      <c r="H12" s="51" t="inlineStr">
        <is>
          <t>✅ 1</t>
        </is>
      </c>
      <c r="I12" s="59" t="inlineStr">
        <is>
          <t>❌ 0</t>
        </is>
      </c>
      <c r="J12" s="63" t="n">
        <v>5</v>
      </c>
      <c r="K12" s="58" t="inlineStr">
        <is>
          <t>❌ СЛИВ</t>
        </is>
      </c>
    </row>
    <row r="13">
      <c r="A13" s="54" t="inlineStr">
        <is>
          <t>C-810</t>
        </is>
      </c>
      <c r="B13" s="54" t="inlineStr">
        <is>
          <t>D-129</t>
        </is>
      </c>
      <c r="C13" s="26" t="inlineStr">
        <is>
          <t>Елена В.</t>
        </is>
      </c>
      <c r="D13" s="54" t="inlineStr">
        <is>
          <t>04:45</t>
        </is>
      </c>
      <c r="E13" s="26" t="inlineStr">
        <is>
          <t>Выставление счета</t>
        </is>
      </c>
      <c r="F13" s="56" t="inlineStr">
        <is>
          <t>✅ 1</t>
        </is>
      </c>
      <c r="G13" s="56" t="inlineStr">
        <is>
          <t>✅ 1</t>
        </is>
      </c>
      <c r="H13" s="56" t="inlineStr">
        <is>
          <t>✅ 1</t>
        </is>
      </c>
      <c r="I13" s="56" t="inlineStr">
        <is>
          <t>✅ 1</t>
        </is>
      </c>
      <c r="J13" s="64" t="n">
        <v>11</v>
      </c>
      <c r="K13" s="53" t="inlineStr">
        <is>
          <t>✅ УСПЕХ</t>
        </is>
      </c>
    </row>
    <row r="14">
      <c r="A14" s="50" t="inlineStr">
        <is>
          <t>C-811</t>
        </is>
      </c>
      <c r="B14" s="50" t="inlineStr">
        <is>
          <t>D-133</t>
        </is>
      </c>
      <c r="C14" s="25" t="inlineStr">
        <is>
          <t>Алексей М.</t>
        </is>
      </c>
      <c r="D14" s="50" t="inlineStr">
        <is>
          <t>03:20</t>
        </is>
      </c>
      <c r="E14" s="25" t="inlineStr">
        <is>
          <t>Быстрый дожим</t>
        </is>
      </c>
      <c r="F14" s="51" t="inlineStr">
        <is>
          <t>✅ 1</t>
        </is>
      </c>
      <c r="G14" s="51" t="inlineStr">
        <is>
          <t>✅ 1</t>
        </is>
      </c>
      <c r="H14" s="51" t="inlineStr">
        <is>
          <t>✅ 1</t>
        </is>
      </c>
      <c r="I14" s="51" t="inlineStr">
        <is>
          <t>✅ 1</t>
        </is>
      </c>
      <c r="J14" s="52" t="n">
        <v>12</v>
      </c>
      <c r="K14" s="53" t="inlineStr">
        <is>
          <t>✅ УСПЕХ</t>
        </is>
      </c>
    </row>
    <row r="15">
      <c r="A15" s="54" t="inlineStr">
        <is>
          <t>C-812</t>
        </is>
      </c>
      <c r="B15" s="54" t="inlineStr">
        <is>
          <t>D-137</t>
        </is>
      </c>
      <c r="C15" s="26" t="inlineStr">
        <is>
          <t>Дмитрий К.</t>
        </is>
      </c>
      <c r="D15" s="54" t="inlineStr">
        <is>
          <t>06:15</t>
        </is>
      </c>
      <c r="E15" s="26" t="inlineStr">
        <is>
          <t>Согласование ТЗ</t>
        </is>
      </c>
      <c r="F15" s="55" t="inlineStr">
        <is>
          <t>❌ 0</t>
        </is>
      </c>
      <c r="G15" s="56" t="inlineStr">
        <is>
          <t>✅ 1</t>
        </is>
      </c>
      <c r="H15" s="55" t="inlineStr">
        <is>
          <t>❌ 0</t>
        </is>
      </c>
      <c r="I15" s="55" t="inlineStr">
        <is>
          <t>❌ 0</t>
        </is>
      </c>
      <c r="J15" s="57" t="n">
        <v>6</v>
      </c>
      <c r="K15" s="58" t="inlineStr">
        <is>
          <t>❌ СЛИВ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14" customWidth="1" min="3" max="3"/>
    <col width="45" customWidth="1" min="4" max="4"/>
    <col width="14" customWidth="1" min="5" max="5"/>
    <col width="45" customWidth="1" min="6" max="6"/>
    <col width="23" customWidth="1" min="7" max="7"/>
  </cols>
  <sheetData>
    <row r="1">
      <c r="A1" s="1" t="inlineStr">
        <is>
          <t>Анализ ключевых зон потерь выручки отдела продаж (Водопад Утечек CRM)</t>
        </is>
      </c>
    </row>
    <row r="2">
      <c r="A2" s="11" t="inlineStr">
        <is>
          <t>Оцифровка 4 хронических болезней B2B-продаж и подтвержденный экономический эффект решения</t>
        </is>
      </c>
    </row>
    <row r="3">
      <c r="A3" s="27" t="inlineStr">
        <is>
          <t>№</t>
        </is>
      </c>
      <c r="B3" s="27" t="inlineStr">
        <is>
          <t>Критическая зона потерь</t>
        </is>
      </c>
      <c r="C3" s="27" t="inlineStr">
        <is>
          <t>Частота сбоя</t>
        </is>
      </c>
      <c r="D3" s="27" t="inlineStr">
        <is>
          <t>Механика потерь выручки</t>
        </is>
      </c>
      <c r="E3" s="27" t="inlineStr">
        <is>
          <t>Потери в месяц (₽)</t>
        </is>
      </c>
      <c r="F3" s="27" t="inlineStr">
        <is>
          <t>Решение платформы AI-ROP</t>
        </is>
      </c>
      <c r="G3" s="27" t="inlineStr">
        <is>
          <t>Эффект за 30 дней</t>
        </is>
      </c>
    </row>
    <row r="4">
      <c r="A4" s="28" t="n">
        <v>1</v>
      </c>
      <c r="B4" s="25" t="inlineStr">
        <is>
          <t>Слив жесткого Next Step (нет даты/времени)</t>
        </is>
      </c>
      <c r="C4" s="65" t="inlineStr">
        <is>
          <t>38% звонков</t>
        </is>
      </c>
      <c r="D4" s="25" t="inlineStr">
        <is>
          <t>Сделка зависает со статусом 'клиент думает', забывается и остывает</t>
        </is>
      </c>
      <c r="E4" s="40" t="n">
        <v>1944000</v>
      </c>
      <c r="F4" s="25" t="inlineStr">
        <is>
          <t>Шериф в Telegram: мгновенный алерт РОПу через 15 мин после звонка</t>
        </is>
      </c>
      <c r="G4" s="66" t="inlineStr">
        <is>
          <t>+680 000 ₽ возврата</t>
        </is>
      </c>
    </row>
    <row r="5">
      <c r="A5" s="33" t="n">
        <v>2</v>
      </c>
      <c r="B5" s="26" t="inlineStr">
        <is>
          <t>Необоснованная скидка при первом 'дорого'</t>
        </is>
      </c>
      <c r="C5" s="65" t="inlineStr">
        <is>
          <t>24% звонков</t>
        </is>
      </c>
      <c r="D5" s="26" t="inlineStr">
        <is>
          <t>Менеджер снижает маржу компании на 3-5% вместо защиты ценности</t>
        </is>
      </c>
      <c r="E5" s="37" t="n">
        <v>510000</v>
      </c>
      <c r="F5" s="26" t="inlineStr">
        <is>
          <t>ИИ-детектор скидок: блокировка КП в CRM без согласования РОПа</t>
        </is>
      </c>
      <c r="G5" s="66" t="inlineStr">
        <is>
          <t>+510 000 ₽ маржи</t>
        </is>
      </c>
    </row>
    <row r="6">
      <c r="A6" s="28" t="n">
        <v>3</v>
      </c>
      <c r="B6" s="25" t="inlineStr">
        <is>
          <t>Презентация продукта не ЛПР (секретарь/инженер)</t>
        </is>
      </c>
      <c r="C6" s="65" t="inlineStr">
        <is>
          <t>19% звонков</t>
        </is>
      </c>
      <c r="D6" s="25" t="inlineStr">
        <is>
          <t>Затягивание цикла сделки на 3-4 недели, слив презентаций впустую</t>
        </is>
      </c>
      <c r="E6" s="40" t="n">
        <v>380000</v>
      </c>
      <c r="F6" s="25" t="inlineStr">
        <is>
          <t>Обязательная матрица квалификации ЛПР из 2 вопросов в CRM</t>
        </is>
      </c>
      <c r="G6" s="66" t="inlineStr">
        <is>
          <t>-14 дней к циклу</t>
        </is>
      </c>
    </row>
    <row r="7">
      <c r="A7" s="33" t="n">
        <v>4</v>
      </c>
      <c r="B7" s="26" t="inlineStr">
        <is>
          <t>Монолог менеджера (Talk/Listen &gt; 70%)</t>
        </is>
      </c>
      <c r="C7" s="65" t="inlineStr">
        <is>
          <t>31% звонков</t>
        </is>
      </c>
      <c r="D7" s="26" t="inlineStr">
        <is>
          <t>Клиент не вовлечен, менеджер читает лекцию, не вскрывая истинные боли</t>
        </is>
      </c>
      <c r="E7" s="37" t="n">
        <v>260000</v>
      </c>
      <c r="F7" s="26" t="inlineStr">
        <is>
          <t>Дневной срез баланса слушания РОПу в Telegram каждое утро</t>
        </is>
      </c>
      <c r="G7" s="66" t="inlineStr">
        <is>
          <t>+15% к SQL конверсии</t>
        </is>
      </c>
    </row>
    <row r="8">
      <c r="A8" s="28" t="n">
        <v>5</v>
      </c>
      <c r="B8" s="25" t="inlineStr">
        <is>
          <t>Зависшие КП без повторного звонка &gt; 48 часов</t>
        </is>
      </c>
      <c r="C8" s="65" t="inlineStr">
        <is>
          <t>27% сделок</t>
        </is>
      </c>
      <c r="D8" s="25" t="inlineStr">
        <is>
          <t>Клиент уходит к конкурентам, пока менеджер ждет 'обратной связи'</t>
        </is>
      </c>
      <c r="E8" s="40" t="n">
        <v>740000</v>
      </c>
      <c r="F8" s="25" t="inlineStr">
        <is>
          <t>Автоматический дожим в CRM: автозадача менеджеру с готовым скриптом</t>
        </is>
      </c>
      <c r="G8" s="66" t="inlineStr">
        <is>
          <t>+410 000 ₽ выручки</t>
        </is>
      </c>
    </row>
    <row r="9">
      <c r="A9" s="44" t="n"/>
      <c r="B9" s="45" t="inlineStr">
        <is>
          <t>СУММАРНЫЕ ВЫЯВЛЕННЫЕ УТЕЧКИ В МЕСЯЦ:</t>
        </is>
      </c>
      <c r="C9" s="44" t="n"/>
      <c r="D9" s="44" t="n"/>
      <c r="E9" s="49">
        <f>SUM(E4:E8)</f>
        <v/>
      </c>
      <c r="F9" s="44" t="n"/>
      <c r="G9" s="67" t="inlineStr">
        <is>
          <t>+1 600 000 ₽ / мес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31" customWidth="1" min="4" max="4"/>
    <col width="10" customWidth="1" min="5" max="5"/>
  </cols>
  <sheetData>
    <row r="1">
      <c r="A1" s="1" t="inlineStr">
        <is>
          <t>Юридический Контур Безопасности и Обезличивания Персональных Данных (152-ФЗ РФ)</t>
        </is>
      </c>
    </row>
    <row r="2">
      <c r="A2" s="11" t="inlineStr">
        <is>
          <t>Полное соответствие законодательству РФ, регламент работы с ПДн и юридическая прозрачность</t>
        </is>
      </c>
    </row>
    <row r="3">
      <c r="A3" s="27" t="inlineStr">
        <is>
          <t>Параметр безопасности</t>
        </is>
      </c>
      <c r="B3" s="27" t="inlineStr">
        <is>
          <t>Требование 152-ФЗ РФ</t>
        </is>
      </c>
      <c r="C3" s="27" t="inlineStr">
        <is>
          <t>Реализация в платформе AI-ROP</t>
        </is>
      </c>
      <c r="D3" s="27" t="inlineStr">
        <is>
          <t>Статус проверки</t>
        </is>
      </c>
    </row>
    <row r="4">
      <c r="A4" s="68" t="inlineStr">
        <is>
          <t>Локализация баз данных (ст. 18.1)</t>
        </is>
      </c>
      <c r="B4" s="25" t="inlineStr">
        <is>
          <t>Хранение ПДн граждан РФ строго на территории РФ</t>
        </is>
      </c>
      <c r="C4" s="25" t="inlineStr">
        <is>
          <t>Серверы в Москве (Yandex Cloud / Selectel, аттестат ФСТЭК УЗ 1-2)</t>
        </is>
      </c>
      <c r="D4" s="66" t="inlineStr">
        <is>
          <t>✅ Соответствует 100%</t>
        </is>
      </c>
    </row>
    <row r="5">
      <c r="A5" s="69" t="inlineStr">
        <is>
          <t>Обезличивание данных (ст. 152-ФЗ)</t>
        </is>
      </c>
      <c r="B5" s="26" t="inlineStr">
        <is>
          <t>Криптографическая токенизация до передачи во внешние API</t>
        </is>
      </c>
      <c r="C5" s="26" t="inlineStr">
        <is>
          <t>Модуль PIISanitizer: замена телефонов и ФИО на токены [PHONE_TOKEN_X]</t>
        </is>
      </c>
      <c r="D5" s="66" t="inlineStr">
        <is>
          <t>✅ Автоматически</t>
        </is>
      </c>
    </row>
    <row r="6">
      <c r="A6" s="68" t="inlineStr">
        <is>
          <t>Срок хранения записей (ст. 5)</t>
        </is>
      </c>
      <c r="B6" s="25" t="inlineStr">
        <is>
          <t>Удаление данных после достижения цели обработки</t>
        </is>
      </c>
      <c r="C6" s="25" t="inlineStr">
        <is>
          <t>Автоматическое удаление аудиозаписей через 30 дней после анализа</t>
        </is>
      </c>
      <c r="D6" s="66" t="inlineStr">
        <is>
          <t>✅ Настроено</t>
        </is>
      </c>
    </row>
    <row r="7">
      <c r="A7" s="69" t="inlineStr">
        <is>
          <t>Согласие сотрудников (ст. 86 ТК РФ)</t>
        </is>
      </c>
      <c r="B7" s="26" t="inlineStr">
        <is>
          <t>Уведомление сотрудников о контроле качества звонков</t>
        </is>
      </c>
      <c r="C7" s="26" t="inlineStr">
        <is>
          <t>Готовый комплект документов: Приказ, Положение о контроле, Согласие</t>
        </is>
      </c>
      <c r="D7" s="66" t="inlineStr">
        <is>
          <t>✅ Комплект включен</t>
        </is>
      </c>
    </row>
    <row r="8">
      <c r="A8" s="68" t="inlineStr">
        <is>
          <t>Формат работы и налоги</t>
        </is>
      </c>
      <c r="B8" s="25" t="inlineStr">
        <is>
          <t>Полная прозрачность для юридических лиц</t>
        </is>
      </c>
      <c r="C8" s="25" t="inlineStr">
        <is>
          <t>Плательщик НПД (Самозанятый), ст. 15 422-ФЗ, 0% НДС, чек «Мой Налог»</t>
        </is>
      </c>
      <c r="D8" s="66" t="inlineStr">
        <is>
          <t>✅ Безрисково для бухгалтерии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2026-10-01T09:48:22Z</dcterms:created>
  <dcterms:modified xmlns:dcterms="http://purl.org/dc/terms/" xmlns:xsi="http://www.w3.org/2001/XMLSchema-instance" xsi:type="dcterms:W3CDTF">2026-10-01T09:48:22Z</dcterms:modified>
</cp:coreProperties>
</file>