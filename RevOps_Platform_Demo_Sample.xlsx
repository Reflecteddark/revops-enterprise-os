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⚡ Экспресс_Калькулятор_3_Цифры" sheetId="1" state="visible" r:id="rId1"/>
    <sheet xmlns:r="http://schemas.openxmlformats.org/officeDocument/2006/relationships" name="📋 Пульт_РОПа_15_Минут" sheetId="2" state="visible" r:id="rId2"/>
    <sheet xmlns:r="http://schemas.openxmlformats.org/officeDocument/2006/relationships" name="🎙️ ИИ_Аудит" sheetId="3" state="visible" r:id="rId3"/>
    <sheet xmlns:r="http://schemas.openxmlformats.org/officeDocument/2006/relationships" name="💸 Диагностика_Утечек_ОП" sheetId="4" state="visible" r:id="rId4"/>
    <sheet xmlns:r="http://schemas.openxmlformats.org/officeDocument/2006/relationships" name="📄 Executive_OnePager" sheetId="5" state="visible" r:id="rId5"/>
    <sheet xmlns:r="http://schemas.openxmlformats.org/officeDocument/2006/relationships" name="🔐 152-ФЗ_Контур_Безопасност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₽&quot;"/>
    <numFmt numFmtId="165" formatCode="0.0%"/>
    <numFmt numFmtId="166" formatCode="0.0 &quot;ср.&quot;"/>
  </numFmts>
  <fonts count="2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60A5FA"/>
      <sz val="9"/>
    </font>
    <font>
      <name val="Segoe UI"/>
      <b val="1"/>
      <color rgb="0094A3B8"/>
      <sz val="9"/>
    </font>
    <font>
      <name val="Segoe UI"/>
      <b val="1"/>
      <color rgb="001E293B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b val="1"/>
      <color rgb="00B45309"/>
      <sz val="12"/>
    </font>
    <font>
      <name val="Segoe UI"/>
      <color rgb="00334155"/>
      <sz val="9"/>
    </font>
    <font>
      <name val="Segoe UI"/>
      <b val="1"/>
      <color rgb="00DC2626"/>
      <sz val="15"/>
    </font>
    <font>
      <name val="Segoe UI"/>
      <b val="1"/>
      <color rgb="0016A34A"/>
      <sz val="15"/>
    </font>
    <font>
      <name val="Segoe UI"/>
      <b val="1"/>
      <color rgb="002563EB"/>
      <sz val="15"/>
    </font>
    <font>
      <name val="Segoe UI"/>
      <b val="1"/>
      <color rgb="00FFFFFF"/>
      <sz val="11"/>
    </font>
    <font>
      <name val="Segoe UI"/>
      <b val="1"/>
      <color rgb="002563EB"/>
      <sz val="10"/>
      <u val="single"/>
    </font>
    <font>
      <name val="Segoe UI"/>
      <i val="1"/>
      <color rgb="0064748B"/>
      <sz val="8"/>
    </font>
    <font>
      <name val="Segoe UI"/>
      <b val="1"/>
      <color rgb="0064748B"/>
      <sz val="8"/>
    </font>
    <font>
      <name val="Segoe UI"/>
      <b val="1"/>
      <color rgb="000F172A"/>
      <sz val="15"/>
    </font>
    <font>
      <name val="Segoe UI"/>
      <b val="1"/>
      <color rgb="00DC2626"/>
      <sz val="12"/>
    </font>
    <font>
      <name val="Segoe UI"/>
      <i val="1"/>
      <color rgb="00334155"/>
      <sz val="8"/>
    </font>
    <font>
      <name val="Segoe UI"/>
      <b val="1"/>
      <color rgb="00B45309"/>
      <sz val="13"/>
    </font>
    <font>
      <name val="Segoe UI"/>
      <b val="1"/>
      <color rgb="00DC2626"/>
      <sz val="11"/>
    </font>
    <font>
      <name val="Segoe UI"/>
      <b val="1"/>
      <color rgb="00B45309"/>
      <sz val="9"/>
    </font>
    <font>
      <name val="Segoe UI"/>
      <b val="1"/>
      <color rgb="0016A34A"/>
      <sz val="9"/>
    </font>
    <font>
      <name val="Segoe UI"/>
      <b val="1"/>
      <color rgb="00DC2626"/>
      <sz val="9"/>
    </font>
    <font>
      <name val="Segoe UI"/>
      <i val="1"/>
      <color rgb="00334155"/>
      <sz val="9"/>
    </font>
    <font>
      <name val="Segoe UI"/>
      <color rgb="00DC2626"/>
      <sz val="9"/>
    </font>
    <font>
      <name val="Segoe UI"/>
      <b val="1"/>
      <color rgb="001E293B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F9C3"/>
        <bgColor rgb="00FEF9C3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0" borderId="1" pivotButton="0" quotePrefix="0" xfId="0"/>
    <xf numFmtId="3" fontId="7" fillId="6" borderId="1" applyAlignment="1" pivotButton="0" quotePrefix="0" xfId="0">
      <alignment horizontal="center" vertical="center"/>
    </xf>
    <xf numFmtId="0" fontId="8" fillId="0" borderId="1" pivotButton="0" quotePrefix="0" xfId="0"/>
    <xf numFmtId="164" fontId="6" fillId="0" borderId="1" pivotButton="0" quotePrefix="0" xfId="0"/>
    <xf numFmtId="164" fontId="7" fillId="6" borderId="1" applyAlignment="1" pivotButton="0" quotePrefix="0" xfId="0">
      <alignment horizontal="center" vertical="center"/>
    </xf>
    <xf numFmtId="165" fontId="6" fillId="0" borderId="1" pivotButton="0" quotePrefix="0" xfId="0"/>
    <xf numFmtId="164" fontId="9" fillId="0" borderId="1" pivotButton="0" quotePrefix="0" xfId="0"/>
    <xf numFmtId="1" fontId="7" fillId="6" borderId="1" applyAlignment="1" pivotButton="0" quotePrefix="0" xfId="0">
      <alignment horizontal="center" vertical="center"/>
    </xf>
    <xf numFmtId="164" fontId="10" fillId="0" borderId="1" pivotButton="0" quotePrefix="0" xfId="0"/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6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6" fillId="0" borderId="2" pivotButton="0" quotePrefix="0" xfId="0"/>
    <xf numFmtId="164" fontId="9" fillId="0" borderId="2" pivotButton="0" quotePrefix="0" xfId="0"/>
    <xf numFmtId="0" fontId="8" fillId="0" borderId="2" pivotButton="0" quotePrefix="0" xfId="0"/>
    <xf numFmtId="0" fontId="10" fillId="0" borderId="2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1" pivotButton="0" quotePrefix="0" xfId="0"/>
    <xf numFmtId="0" fontId="10" fillId="8" borderId="1" pivotButton="0" quotePrefix="0" xfId="0"/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1" fillId="1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22" fillId="8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4" fontId="6" fillId="0" borderId="2" pivotButton="0" quotePrefix="0" xfId="0"/>
    <xf numFmtId="0" fontId="6" fillId="0" borderId="2" applyAlignment="1" pivotButton="0" quotePrefix="0" xfId="0">
      <alignment horizontal="center"/>
    </xf>
    <xf numFmtId="0" fontId="12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0" customWidth="1" min="3" max="3"/>
    <col width="26" customWidth="1" min="4" max="4"/>
    <col width="48" customWidth="1" min="5" max="5"/>
    <col width="50" customWidth="1" min="6" max="6"/>
    <col width="28" customWidth="1" min="7" max="7"/>
    <col width="24" customWidth="1" min="8" max="8"/>
    <col width="20" customWidth="1" min="9" max="9"/>
  </cols>
  <sheetData>
    <row r="1" ht="36" customHeight="1">
      <c r="A1" s="1" t="inlineStr">
        <is>
          <t>⚡ ЭКСПРЕСС-КАЛЬКУЛЯТОР УПУЩЕННОЙ ПРИБЫЛИ ОП (ДИАГНОСТИКА ЗА 30 СЕКУНД)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⚡ Экспресс-Калькулятор</t>
        </is>
      </c>
      <c r="B2" s="4" t="inlineStr">
        <is>
          <t>📋 Пульт РОПа (15 мин)</t>
        </is>
      </c>
      <c r="C2" s="4" t="n"/>
      <c r="D2" s="4" t="inlineStr">
        <is>
          <t>🎙️ ИИ-Аудит звонков</t>
        </is>
      </c>
      <c r="E2" s="4" t="n"/>
      <c r="F2" s="4" t="inlineStr">
        <is>
          <t>💸 7 Грехов (Диагностика)</t>
        </is>
      </c>
      <c r="G2" s="4" t="inlineStr">
        <is>
          <t>📄 Executive One-Pager</t>
        </is>
      </c>
      <c r="H2" s="4" t="n"/>
      <c r="I2" s="4" t="inlineStr">
        <is>
          <t>🔐 152-ФЗ Безопасность</t>
        </is>
      </c>
    </row>
    <row r="4" ht="24" customHeight="1">
      <c r="A4" s="5" t="inlineStr">
        <is>
          <t>🎛️ ВВЕДИТЕ 3 ЦИФРЫ ВАШЕГО БИЗНЕСА:</t>
        </is>
      </c>
      <c r="C4" s="5" t="inlineStr">
        <is>
          <t>📊 БАЗОВЫЕ ПОКАЗАТЕЛИ (AS-IS):</t>
        </is>
      </c>
      <c r="G4" s="6" t="inlineStr">
        <is>
          <t>Категория капитала</t>
        </is>
      </c>
      <c r="H4" s="7" t="n"/>
    </row>
    <row r="5">
      <c r="A5" s="8" t="inlineStr">
        <is>
          <t>1. Входящий поток лидов в месяц (шт):</t>
        </is>
      </c>
      <c r="B5" s="9" t="n">
        <v>150</v>
      </c>
      <c r="C5" s="10" t="inlineStr">
        <is>
          <t>Емкость базы (при 100% конверсии):</t>
        </is>
      </c>
      <c r="D5" s="11">
        <f>B5*B6</f>
        <v/>
      </c>
      <c r="G5" s="10" t="inlineStr">
        <is>
          <t>Факт выручки (As-Is)</t>
        </is>
      </c>
      <c r="H5" s="11" t="n">
        <v>1650000</v>
      </c>
    </row>
    <row r="6">
      <c r="A6" s="8" t="inlineStr">
        <is>
          <t>2. Средний чек закрытой сделки (₽):</t>
        </is>
      </c>
      <c r="B6" s="12" t="n">
        <v>400000</v>
      </c>
      <c r="C6" s="10" t="inlineStr">
        <is>
          <t>Текущая конверсия в оплату (факт):</t>
        </is>
      </c>
      <c r="D6" s="13">
        <f>H5/D5</f>
        <v/>
      </c>
      <c r="G6" s="8" t="inlineStr">
        <is>
          <t>Упущенная прибыль ОП</t>
        </is>
      </c>
      <c r="H6" s="14" t="n">
        <v>1039500</v>
      </c>
    </row>
    <row r="7">
      <c r="A7" s="8" t="inlineStr">
        <is>
          <t>3. Количество менеджеров в ОП (чел):</t>
        </is>
      </c>
      <c r="B7" s="15" t="n">
        <v>4</v>
      </c>
      <c r="C7" s="10" t="inlineStr">
        <is>
          <t>Текущая выручка месяца (факт):</t>
        </is>
      </c>
      <c r="D7" s="11">
        <f>H5</f>
        <v/>
      </c>
      <c r="G7" s="8" t="inlineStr">
        <is>
          <t>Потенциал кассы (To-Be)</t>
        </is>
      </c>
      <c r="H7" s="16" t="n">
        <v>1961850</v>
      </c>
    </row>
    <row r="8">
      <c r="A8" s="10" t="inlineStr">
        <is>
          <t>Отраслевой сегмент компании:</t>
        </is>
      </c>
      <c r="B8" s="8" t="inlineStr">
        <is>
          <t>B2B Услуги / Производство</t>
        </is>
      </c>
      <c r="C8" s="10" t="inlineStr">
        <is>
          <t>Нагрузка на одного менеджера (лидов):</t>
        </is>
      </c>
      <c r="D8" s="8">
        <f>ROUND(B5/B7, 0) &amp; " лид/мес"</f>
        <v/>
      </c>
    </row>
    <row r="10" ht="22" customHeight="1">
      <c r="A10" s="17" t="inlineStr">
        <is>
          <t>🔴 ВЫЯВЛЕННЫЙ РИСК ПОТЕРЬ</t>
        </is>
      </c>
      <c r="C10" s="18" t="inlineStr">
        <is>
          <t>🟢 КОНСЕРВАТИВНЫЙ (+15%)</t>
        </is>
      </c>
      <c r="E10" s="19" t="inlineStr">
        <is>
          <t>🚀 БАЗОВЫЙ ПЛАН (+30%)</t>
        </is>
      </c>
      <c r="G10" s="20" t="inlineStr">
        <is>
          <t>⭐ ОПТИМИСТИЧНЫЙ (+50%)</t>
        </is>
      </c>
    </row>
    <row r="11" ht="32" customHeight="1">
      <c r="A11" s="21">
        <f>H6</f>
        <v/>
      </c>
      <c r="C11" s="22">
        <f>H5*1.0945</f>
        <v/>
      </c>
      <c r="E11" s="23">
        <f>H5*1.189</f>
        <v/>
      </c>
      <c r="G11" s="24">
        <f>H5*1.315</f>
        <v/>
      </c>
    </row>
    <row r="13" ht="24" customHeight="1">
      <c r="A13" s="5" t="inlineStr">
        <is>
          <t>📊 РАСШИФРОВКА ФИНАНСОВЫХ УТЕЧЕК ПО 4 УЗКИМ МЕСТАМ</t>
        </is>
      </c>
    </row>
    <row r="14" ht="24" customHeight="1">
      <c r="A14" s="25" t="inlineStr">
        <is>
          <t>№</t>
        </is>
      </c>
      <c r="B14" s="25" t="inlineStr">
        <is>
          <t>Узкое место воронки продаж</t>
        </is>
      </c>
      <c r="C14" s="25" t="inlineStr">
        <is>
          <t>Отраслевой бенчмарк потерь</t>
        </is>
      </c>
      <c r="D14" s="25" t="inlineStr">
        <is>
          <t>Упущенная прибыль, ₽/мес</t>
        </is>
      </c>
      <c r="E14" s="25" t="inlineStr">
        <is>
          <t>Причина утечки</t>
        </is>
      </c>
      <c r="F14" s="25" t="inlineStr">
        <is>
          <t>Как закрываем за 14 дней</t>
        </is>
      </c>
    </row>
    <row r="15" ht="28" customHeight="1">
      <c r="A15" s="26" t="inlineStr">
        <is>
          <t>1</t>
        </is>
      </c>
      <c r="B15" s="27" t="inlineStr">
        <is>
          <t>Слив лидов на звонках (нет Next Step)</t>
        </is>
      </c>
      <c r="C15" s="27" t="inlineStr">
        <is>
          <t>30% выручки теряется из-за ошибок менеджеров</t>
        </is>
      </c>
      <c r="D15" s="28" t="n">
        <v>412500</v>
      </c>
      <c r="E15" s="27" t="inlineStr">
        <is>
          <t>Менеджеры консультируют, но не закрывают на дату</t>
        </is>
      </c>
      <c r="F15" s="27" t="inlineStr">
        <is>
          <t>ИИ-аудит 100% звонков + чек-лист Next Step</t>
        </is>
      </c>
    </row>
    <row r="16" ht="28" customHeight="1">
      <c r="A16" s="26" t="inlineStr">
        <is>
          <t>2</t>
        </is>
      </c>
      <c r="B16" s="27" t="inlineStr">
        <is>
          <t>Зависание сделок на этапе КП &gt; 48ч</t>
        </is>
      </c>
      <c r="C16" s="27" t="inlineStr">
        <is>
          <t>18% выручки теряется из-за просрочки follow-up</t>
        </is>
      </c>
      <c r="D16" s="28" t="n">
        <v>297000</v>
      </c>
      <c r="E16" s="27" t="inlineStr">
        <is>
          <t>Клиент остывает, пока менеджер ждет звонка</t>
        </is>
      </c>
      <c r="F16" s="27" t="inlineStr">
        <is>
          <t>Авторадар SLA 48ч + эскалация РОПу на 3-й день</t>
        </is>
      </c>
    </row>
    <row r="17" ht="28" customHeight="1">
      <c r="A17" s="26" t="inlineStr">
        <is>
          <t>3</t>
        </is>
      </c>
      <c r="B17" s="27" t="inlineStr">
        <is>
          <t>Брошенные отказники без дожима (L1-L4)</t>
        </is>
      </c>
      <c r="C17" s="27" t="inlineStr">
        <is>
          <t>8% — потенциал реактивации списанных сделок</t>
        </is>
      </c>
      <c r="D17" s="28" t="n">
        <v>132000</v>
      </c>
      <c r="E17" s="27" t="inlineStr">
        <is>
          <t>Сделки списаны в архив без реактивации</t>
        </is>
      </c>
      <c r="F17" s="27" t="inlineStr">
        <is>
          <t>AI Recovery Engine: автодожим в WhatsApp/TG</t>
        </is>
      </c>
    </row>
    <row r="18" ht="28" customHeight="1">
      <c r="A18" s="26" t="inlineStr">
        <is>
          <t>4</t>
        </is>
      </c>
      <c r="B18" s="27" t="inlineStr">
        <is>
          <t>Зависшая дебиторка и задержка оплат</t>
        </is>
      </c>
      <c r="C18" s="27" t="inlineStr">
        <is>
          <t>12% выставленных счетов с просрочкой 20+ дней</t>
        </is>
      </c>
      <c r="D18" s="28" t="n">
        <v>198000</v>
      </c>
      <c r="E18" s="27" t="inlineStr">
        <is>
          <t>Нет платежного календаря и контроля сроков</t>
        </is>
      </c>
      <c r="F18" s="27" t="inlineStr">
        <is>
          <t>Платежный календарь DSO + автонапоминания</t>
        </is>
      </c>
    </row>
    <row r="19" ht="26" customHeight="1">
      <c r="A19" s="29" t="n"/>
      <c r="B19" s="30" t="inlineStr">
        <is>
          <t>ИТОГО УПУЩЕННОЙ ПРИБЫЛИ В МЕСЯЦ:</t>
        </is>
      </c>
      <c r="C19" s="29" t="n"/>
      <c r="D19" s="31">
        <f>SUM(D15:D18)</f>
        <v/>
      </c>
      <c r="E19" s="30" t="inlineStr">
        <is>
          <t>ПОТЕНЦИАЛ БЫСТРОГО ВОЗВРАТА:</t>
        </is>
      </c>
      <c r="F19" s="32">
        <f>ROUND(D19*0.35, 0) &amp; " ₽ в первый месяц"</f>
        <v/>
      </c>
    </row>
    <row r="21" ht="28" customHeight="1">
      <c r="A21" s="33" t="inlineStr">
        <is>
          <t>🎁 СЛЕДУЮЩИЙ ШАГ: БЕСПЛАТНЫЙ ТЕСТ-ДРАЙВ НА 3 ВАШИХ ЗВОНКАХ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24" customHeight="1">
      <c r="A22" s="34" t="inlineStr">
        <is>
          <t>Хотите проверить эту математику на реальных данных вашей компании за 15 минут?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</row>
    <row r="23" ht="24" customHeight="1">
      <c r="A23" s="35" t="inlineStr">
        <is>
          <t>👉 Отправьте 3 аудиозаписи любых вчерашних звонков ваших менеджеров в Telegram бот.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</row>
    <row r="24" ht="24" customHeight="1">
      <c r="A24" s="35" t="inlineStr">
        <is>
          <t>ИИ бесплатно разберет их по 13 критериям, покажет ошибки речи и рассчитает точную сумму под угрозой слива.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</row>
    <row r="25" ht="32" customHeight="1">
      <c r="A25" s="36" t="inlineStr">
        <is>
          <t>🚀 ЗАПУСТИТЬ БЕСПЛАТНЫЙ ТЕСТ-ДРАЙВ: @RevOps_Super_Audit_Bot (https://t.me/RevOps_Super_Audit_Bot)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24" customHeight="1">
      <c r="A26" s="37" t="inlineStr">
        <is>
          <t>Нужен комплексный аудит отдела продаж? 👉 Экономика спринта оптимизации (450 000 ₽) на вкладке «4. 7 Грехов ОП»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</row>
    <row r="27" ht="24" customHeight="1">
      <c r="A27" s="38" t="inlineStr">
        <is>
          <t>🔒 Конфиденциально • Без передачи персональных данных • Экспресс-разбор за 15 минут (152-ФЗ РФ)</t>
        </is>
      </c>
      <c r="B27" s="38" t="n"/>
      <c r="C27" s="38" t="n"/>
      <c r="D27" s="38" t="n"/>
      <c r="E27" s="38" t="n"/>
      <c r="F27" s="38" t="n"/>
      <c r="G27" s="38" t="n"/>
      <c r="H27" s="38" t="n"/>
      <c r="I27" s="38" t="n"/>
    </row>
  </sheetData>
  <mergeCells count="23">
    <mergeCell ref="A25:I25"/>
    <mergeCell ref="G2:H2"/>
    <mergeCell ref="A11:B11"/>
    <mergeCell ref="G11:H11"/>
    <mergeCell ref="A27:I27"/>
    <mergeCell ref="A26:I26"/>
    <mergeCell ref="A21:I21"/>
    <mergeCell ref="C4:D4"/>
    <mergeCell ref="B2:C2"/>
    <mergeCell ref="C10:D10"/>
    <mergeCell ref="D2:E2"/>
    <mergeCell ref="E10:F10"/>
    <mergeCell ref="G10:H10"/>
    <mergeCell ref="A23:I23"/>
    <mergeCell ref="A22:I22"/>
    <mergeCell ref="A13:F13"/>
    <mergeCell ref="C11:D11"/>
    <mergeCell ref="E11:F11"/>
    <mergeCell ref="A24:I24"/>
    <mergeCell ref="A4:B4"/>
    <mergeCell ref="G4:H4"/>
    <mergeCell ref="A10:B10"/>
    <mergeCell ref="A1:I1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6" customWidth="1" min="3" max="3"/>
    <col width="22" customWidth="1" min="4" max="4"/>
    <col width="22" customWidth="1" min="5" max="5"/>
    <col width="42" customWidth="1" min="6" max="6"/>
    <col width="16" customWidth="1" min="7" max="7"/>
    <col width="65" customWidth="1" min="8" max="8"/>
  </cols>
  <sheetData>
    <row r="1" ht="36" customHeight="1">
      <c r="A1" s="1" t="inlineStr">
        <is>
          <t>📋 СТРАТЕГИЧЕСКИЙ ПУЛЬТ СОБСТВЕННИКА: «5 РЕШЕНИЙ МЕСЯЦА»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4" t="inlineStr">
        <is>
          <t>⚡ Экспресс-Калькулятор</t>
        </is>
      </c>
      <c r="B2" s="4" t="n"/>
      <c r="C2" s="3" t="inlineStr">
        <is>
          <t>📋 Пульт РОПа</t>
        </is>
      </c>
      <c r="D2" s="4" t="inlineStr">
        <is>
          <t>🎙️ ИИ-Аудит</t>
        </is>
      </c>
      <c r="E2" s="4" t="inlineStr">
        <is>
          <t>💸 7 Грехов ОП</t>
        </is>
      </c>
      <c r="F2" s="4" t="inlineStr">
        <is>
          <t>📄 One-Pager</t>
        </is>
      </c>
      <c r="G2" s="4" t="inlineStr">
        <is>
          <t>🔐 152-ФЗ Безопасность</t>
        </is>
      </c>
      <c r="H2" s="4" t="n"/>
    </row>
    <row r="4" ht="20" customHeight="1">
      <c r="A4" s="39" t="inlineStr">
        <is>
          <t>Звонков за вчера</t>
        </is>
      </c>
      <c r="B4" s="39" t="n"/>
      <c r="C4" s="40" t="inlineStr">
        <is>
          <t>Диалогов с браком (&lt;9)</t>
        </is>
      </c>
      <c r="D4" s="40" t="inlineStr">
        <is>
          <t>Сделок с угрозой срыва</t>
        </is>
      </c>
      <c r="E4" s="40" t="inlineStr">
        <is>
          <t>Сумма в зоне риска</t>
        </is>
      </c>
      <c r="F4" s="40" t="inlineStr">
        <is>
          <t>Статус дня для РОПа</t>
        </is>
      </c>
      <c r="G4" s="40" t="n"/>
      <c r="H4" s="40" t="n"/>
    </row>
    <row r="5" ht="32" customHeight="1">
      <c r="A5" s="41" t="n">
        <v>6</v>
      </c>
      <c r="B5" s="41" t="n"/>
      <c r="C5" s="42" t="n">
        <v>2</v>
      </c>
      <c r="D5" s="42" t="n">
        <v>2</v>
      </c>
      <c r="E5" s="21" t="n">
        <v>2730000</v>
      </c>
      <c r="F5" s="43" t="inlineStr">
        <is>
          <t>🚨 ТРЕБУЕТСЯ 15 МИНУТ КОНТРОЛЯ РОПа</t>
        </is>
      </c>
      <c r="G5" s="43" t="n"/>
      <c r="H5" s="43" t="n"/>
    </row>
    <row r="7" ht="24" customHeight="1">
      <c r="A7" s="5" t="inlineStr">
        <is>
          <t>🎯 ТОП-5 СТРАТЕГИЧЕСКИХ РЕШЕНИЙ ДЛЯ ЗАЩИТЫ КАПИТАЛА БИЗНЕСА</t>
        </is>
      </c>
    </row>
    <row r="8" ht="26" customHeight="1">
      <c r="A8" s="25" t="inlineStr">
        <is>
          <t>№</t>
        </is>
      </c>
      <c r="B8" s="25" t="inlineStr">
        <is>
          <t>Сделка / Контрагент</t>
        </is>
      </c>
      <c r="C8" s="25" t="inlineStr">
        <is>
          <t>Суть проблемы и симптом</t>
        </is>
      </c>
      <c r="D8" s="25" t="inlineStr">
        <is>
          <t>Сумма в риске</t>
        </is>
      </c>
      <c r="E8" s="25" t="inlineStr">
        <is>
          <t>Приоритет</t>
        </is>
      </c>
      <c r="F8" s="25" t="inlineStr">
        <is>
          <t>Срочное действие РОПа (Что сделать)</t>
        </is>
      </c>
      <c r="G8" s="25" t="inlineStr">
        <is>
          <t>Чекбокс</t>
        </is>
      </c>
      <c r="H8" s="25" t="inlineStr">
        <is>
          <t>🤖 Сгенерированный оффер ИИ-дожима (WhatsApp / Скрипт РОПа)</t>
        </is>
      </c>
    </row>
    <row r="9" ht="48" customHeight="1">
      <c r="A9" s="26" t="n">
        <v>1</v>
      </c>
      <c r="B9" s="27" t="inlineStr">
        <is>
          <t>Сделка D-104 (ООО «Вектор Плюс»)</t>
        </is>
      </c>
      <c r="C9" s="27" t="inlineStr">
        <is>
          <t>Зависание на этапе КП: 12 дней без ответа (норма 48ч)</t>
        </is>
      </c>
      <c r="D9" s="28" t="n">
        <v>850000</v>
      </c>
      <c r="E9" s="26" t="inlineStr">
        <is>
          <t>🔴 КРИТИЧЕСКИЙ</t>
        </is>
      </c>
      <c r="F9" s="27" t="inlineStr">
        <is>
          <t>Запросить статус у КАМа Петрова, согласовать скидку/рассрочку</t>
        </is>
      </c>
      <c r="G9" s="44" t="inlineStr">
        <is>
          <t>В РАБОТЕ</t>
        </is>
      </c>
      <c r="H9" s="45" t="inlineStr">
        <is>
          <t>Добрый день, Алексей! Вижу, наш расчет по договору согласован. Чтобы зафиксировать спец-условия сентября со скидкой 7%, предлагаю сегодня подписать спецификацию. Слот для звонка: 14:30. Удобно?</t>
        </is>
      </c>
    </row>
    <row r="10" ht="48" customHeight="1">
      <c r="A10" s="26" t="n">
        <v>2</v>
      </c>
      <c r="B10" s="27" t="inlineStr">
        <is>
          <t>Звонок C-505 / Сделка D-109 (ООО «ПромКомплект»)</t>
        </is>
      </c>
      <c r="C10" s="27" t="inlineStr">
        <is>
          <t>Менеджер сорвал контакт (балл речи 2/13), клиент ушел в отказ</t>
        </is>
      </c>
      <c r="D10" s="28" t="n">
        <v>600000</v>
      </c>
      <c r="E10" s="26" t="inlineStr">
        <is>
          <t>🔴 КРИТИЧЕСКИЙ</t>
        </is>
      </c>
      <c r="F10" s="27" t="inlineStr">
        <is>
          <t>Личный звонок РОПа ЛПР до 12:00: перехват сделки от лица руководства</t>
        </is>
      </c>
      <c r="G10" s="44" t="inlineStr">
        <is>
          <t>В РАБОТЕ</t>
        </is>
      </c>
      <c r="H10" s="45" t="inlineStr">
        <is>
          <t>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</t>
        </is>
      </c>
    </row>
    <row r="11" ht="48" customHeight="1">
      <c r="A11" s="26" t="n">
        <v>3</v>
      </c>
      <c r="B11" s="27" t="inlineStr">
        <is>
          <t>Звонок C-503 / Сделка D-106 (ООО «СнабСервис»)</t>
        </is>
      </c>
      <c r="C11" s="27" t="inlineStr">
        <is>
          <t>В диалоге не зафиксирована дата встречи (балл речи 6/13)</t>
        </is>
      </c>
      <c r="D11" s="28" t="n">
        <v>280000</v>
      </c>
      <c r="E11" s="26" t="inlineStr">
        <is>
          <t>🟡 СРЕДНИЙ</t>
        </is>
      </c>
      <c r="F11" s="27" t="inlineStr">
        <is>
          <t>Поставить задачу менеджеру Петрову: перезвонить и назначить слот встречи</t>
        </is>
      </c>
      <c r="G11" s="44" t="inlineStr">
        <is>
          <t>В РАБОТЕ</t>
        </is>
      </c>
      <c r="H11" s="45" t="inlineStr">
        <is>
          <t>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</t>
        </is>
      </c>
    </row>
    <row r="12" ht="48" customHeight="1">
      <c r="A12" s="26" t="n">
        <v>4</v>
      </c>
      <c r="B12" s="27" t="inlineStr">
        <is>
          <t>Сделка D-107 (ООО «ТехноПром»)</t>
        </is>
      </c>
      <c r="C12" s="27" t="inlineStr">
        <is>
          <t>Счет просрочен на 9 дней (сумма 150 000 ₽)</t>
        </is>
      </c>
      <c r="D12" s="28" t="n">
        <v>150000</v>
      </c>
      <c r="E12" s="26" t="inlineStr">
        <is>
          <t>🟡 СРЕДНИЙ</t>
        </is>
      </c>
      <c r="F12" s="27" t="inlineStr">
        <is>
          <t>Отправить триггерное напоминание в WhatsApp бухгалтеру клиента</t>
        </is>
      </c>
      <c r="G12" s="44" t="inlineStr">
        <is>
          <t>В РАБОТЕ</t>
        </is>
      </c>
      <c r="H12" s="45" t="inlineStr">
        <is>
          <t>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</t>
        </is>
      </c>
    </row>
    <row r="13" ht="48" customHeight="1">
      <c r="A13" s="26" t="n">
        <v>5</v>
      </c>
      <c r="B13" s="27" t="inlineStr">
        <is>
          <t>Сделка D-103 (ООО «ИнвестХолдинг»)</t>
        </is>
      </c>
      <c r="C13" s="27" t="inlineStr">
        <is>
          <t>Нагрузка 80%, 4 ключевые сделки висят на РОПе</t>
        </is>
      </c>
      <c r="D13" s="28" t="n">
        <v>850000</v>
      </c>
      <c r="E13" s="26" t="inlineStr">
        <is>
          <t>🟡 СРЕДНИЙ</t>
        </is>
      </c>
      <c r="F13" s="27" t="inlineStr">
        <is>
          <t>Делегировать 2 входящие сделки на КАМа (у КАМа загрузка всего 4%)</t>
        </is>
      </c>
      <c r="G13" s="44" t="inlineStr">
        <is>
          <t>В РАБОТЕ</t>
        </is>
      </c>
      <c r="H13" s="45" t="inlineStr">
        <is>
          <t>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</t>
        </is>
      </c>
    </row>
    <row r="14" ht="24" customHeight="1">
      <c r="A14" s="29" t="n"/>
      <c r="B14" s="46" t="inlineStr">
        <is>
          <t>ИТОГО ДЕНЕГ В ЗОНЕ РИСКА СЕГОДНЯ:</t>
        </is>
      </c>
      <c r="C14" s="29" t="n"/>
      <c r="D14" s="47">
        <f>SUM(D9:D13)</f>
        <v/>
      </c>
      <c r="E14" s="46" t="inlineStr">
        <is>
          <t>СПАСЕННАЯ ВЫРУЧКА:</t>
        </is>
      </c>
      <c r="F14" s="48" t="inlineStr">
        <is>
          <t>При выполнении всех 5 действий</t>
        </is>
      </c>
      <c r="G14" s="49" t="inlineStr">
        <is>
          <t>100% защита</t>
        </is>
      </c>
      <c r="H14" s="29" t="n"/>
    </row>
    <row r="17" ht="24" customHeight="1">
      <c r="E17" s="50" t="inlineStr">
        <is>
          <t>⏱️ ЭКСПРЕСС-РЕГЛАМЕНТ РОПа (15 МИНУТ/ДЕНЬ)</t>
        </is>
      </c>
    </row>
    <row r="18" ht="22" customHeight="1">
      <c r="E18" s="44" t="inlineStr">
        <is>
          <t>09:00 - 09:05</t>
        </is>
      </c>
      <c r="F18" s="10" t="inlineStr">
        <is>
          <t>Проверка ночного ИИ-аудита: 2 звонка с браком (&lt;9 баллов)</t>
        </is>
      </c>
      <c r="G18" s="51" t="n"/>
      <c r="H18" s="51" t="n"/>
    </row>
    <row r="19" ht="22" customHeight="1">
      <c r="E19" s="44" t="inlineStr">
        <is>
          <t>09:05 - 09:10</t>
        </is>
      </c>
      <c r="F19" s="10" t="inlineStr">
        <is>
          <t>Перехват сделки D-109 (600 т.р.) и звонок ЛПР до 12:00</t>
        </is>
      </c>
      <c r="G19" s="51" t="n"/>
      <c r="H19" s="51" t="n"/>
    </row>
    <row r="20" ht="22" customHeight="1">
      <c r="E20" s="44" t="inlineStr">
        <is>
          <t>09:10 - 09:13</t>
        </is>
      </c>
      <c r="F20" s="10" t="inlineStr">
        <is>
          <t>Согласование спецусловий по D-104 (850 т.р.)</t>
        </is>
      </c>
      <c r="G20" s="51" t="n"/>
      <c r="H20" s="51" t="n"/>
    </row>
    <row r="21" ht="22" customHeight="1">
      <c r="E21" s="44" t="inlineStr">
        <is>
          <t>09:13 - 09:15</t>
        </is>
      </c>
      <c r="F21" s="10" t="inlineStr">
        <is>
          <t>Делегирование 2 сделок с РОПа на свободного КАМа</t>
        </is>
      </c>
      <c r="G21" s="51" t="n"/>
      <c r="H21" s="51" t="n"/>
    </row>
    <row r="22" ht="22" customHeight="1">
      <c r="E22" s="18" t="inlineStr">
        <is>
          <t>Результат:</t>
        </is>
      </c>
      <c r="F22" s="52" t="inlineStr">
        <is>
          <t>2 730 000 ₽ защищено от слива за 15 минут</t>
        </is>
      </c>
      <c r="G22" s="51" t="n"/>
      <c r="H22" s="51" t="n"/>
    </row>
  </sheetData>
  <mergeCells count="14">
    <mergeCell ref="A4:B4"/>
    <mergeCell ref="F20:H20"/>
    <mergeCell ref="A2:B2"/>
    <mergeCell ref="E17:H17"/>
    <mergeCell ref="F5:H5"/>
    <mergeCell ref="F19:H19"/>
    <mergeCell ref="A7:H7"/>
    <mergeCell ref="G2:H2"/>
    <mergeCell ref="F18:H18"/>
    <mergeCell ref="F22:H22"/>
    <mergeCell ref="A5:B5"/>
    <mergeCell ref="F4:H4"/>
    <mergeCell ref="A1:H1"/>
    <mergeCell ref="F21:H2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4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3" customWidth="1" min="20" max="20"/>
    <col width="16" customWidth="1" min="21" max="21"/>
    <col width="22" customWidth="1" min="22" max="22"/>
  </cols>
  <sheetData>
    <row r="1" ht="36" customHeight="1">
      <c r="A1" s="1" t="inlineStr">
        <is>
          <t>🎙️ ИИ-СУПЕРВАЙЗЕР ЗВОНКОВ: РЕЧЕВАЯ АНАЛИТИКА 100% ДИАЛОГОВ (WHISPER LARGE V3 + LLM)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4" customHeight="1">
      <c r="A2" s="4" t="inlineStr">
        <is>
          <t>⚡ Экспресс-Калькулятор</t>
        </is>
      </c>
      <c r="B2" s="4" t="n"/>
      <c r="C2" s="4" t="n"/>
      <c r="D2" s="4" t="inlineStr">
        <is>
          <t>📋 Пульт РОПа (15 мин)</t>
        </is>
      </c>
      <c r="E2" s="4" t="n"/>
      <c r="F2" s="4" t="n"/>
      <c r="G2" s="3" t="inlineStr">
        <is>
          <t>🎙️ ИИ-Аудит звонков</t>
        </is>
      </c>
      <c r="H2" s="3" t="n"/>
      <c r="I2" s="3" t="n"/>
      <c r="J2" s="3" t="n"/>
      <c r="K2" s="4" t="inlineStr">
        <is>
          <t>💸 7 Грехов (Диагностика)</t>
        </is>
      </c>
      <c r="L2" s="4" t="n"/>
      <c r="M2" s="4" t="n"/>
      <c r="N2" s="4" t="inlineStr">
        <is>
          <t>📄 Executive One-Pager</t>
        </is>
      </c>
      <c r="O2" s="4" t="n"/>
      <c r="P2" s="4" t="n"/>
      <c r="Q2" s="4" t="inlineStr">
        <is>
          <t>🔐 152-ФЗ Безопасность</t>
        </is>
      </c>
      <c r="R2" s="4" t="n"/>
      <c r="S2" s="4" t="n"/>
      <c r="T2" s="4" t="n"/>
      <c r="U2" s="4" t="n"/>
      <c r="V2" s="4" t="n"/>
    </row>
    <row r="3" ht="22" customHeight="1">
      <c r="A3" s="39" t="inlineStr">
        <is>
          <t>Проанализировано звонков</t>
        </is>
      </c>
      <c r="B3" s="39" t="n"/>
      <c r="C3" s="53" t="inlineStr">
        <is>
          <t>Средний балл качества</t>
        </is>
      </c>
      <c r="D3" s="53" t="n"/>
      <c r="E3" s="54" t="inlineStr">
        <is>
          <t>Фиксация жесткого Next Step</t>
        </is>
      </c>
      <c r="F3" s="54" t="n"/>
      <c r="G3" s="40" t="inlineStr">
        <is>
          <t>Критический брак речи (&lt;9)</t>
        </is>
      </c>
      <c r="H3" s="40" t="n"/>
      <c r="I3" s="40" t="n"/>
      <c r="J3" s="40" t="inlineStr">
        <is>
          <t>Выручка под угрозой слива</t>
        </is>
      </c>
      <c r="K3" s="40" t="n"/>
      <c r="L3" s="40" t="n"/>
      <c r="M3" s="40" t="inlineStr">
        <is>
          <t>Вердикт ИИ-супервайзера</t>
        </is>
      </c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</row>
    <row r="4" ht="32" customHeight="1">
      <c r="A4" s="41" t="inlineStr">
        <is>
          <t>25 звонков / сут</t>
        </is>
      </c>
      <c r="B4" s="41" t="n"/>
      <c r="C4" s="55" t="inlineStr">
        <is>
          <t>8.9 из 13</t>
        </is>
      </c>
      <c r="D4" s="55" t="n"/>
      <c r="E4" s="56" t="inlineStr">
        <is>
          <t>60.0% (норма ≥85%)</t>
        </is>
      </c>
      <c r="F4" s="56" t="n"/>
      <c r="G4" s="42" t="inlineStr">
        <is>
          <t>6 диалогов</t>
        </is>
      </c>
      <c r="H4" s="42" t="n"/>
      <c r="I4" s="42" t="n"/>
      <c r="J4" s="21" t="n">
        <v>2840000</v>
      </c>
      <c r="K4" s="21" t="n"/>
      <c r="L4" s="21" t="n"/>
      <c r="M4" s="57" t="inlineStr">
        <is>
          <t>🚨 ВЫСОКИЙ РИСК СЛИВА VIP-КЛИЕНТОВ (ТРЕБУЕТСЯ ВМЕШАТЕЛЬСТВО РОПа)</t>
        </is>
      </c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</row>
    <row r="5" ht="12" customHeight="1"/>
    <row r="6" ht="24" customHeight="1">
      <c r="A6" s="58" t="inlineStr">
        <is>
          <t>👥 РЕЙТИНГ МЕНЕДЖЕРОВ ОП ПО КАЧЕСТВУ РЕЧИ (ЛИДЕРБОРД РОПа)</t>
        </is>
      </c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</row>
    <row r="7" ht="26" customHeight="1">
      <c r="A7" s="25" t="inlineStr">
        <is>
          <t>№</t>
        </is>
      </c>
      <c r="B7" s="25" t="inlineStr">
        <is>
          <t>Менеджер ОП</t>
        </is>
      </c>
      <c r="C7" s="25" t="inlineStr">
        <is>
          <t>Звонков</t>
        </is>
      </c>
      <c r="D7" s="25" t="inlineStr">
        <is>
          <t>Ср. балл /13</t>
        </is>
      </c>
      <c r="E7" s="25" t="inlineStr">
        <is>
          <t>Next Step %</t>
        </is>
      </c>
      <c r="F7" s="25" t="inlineStr">
        <is>
          <t>Talk/Listen (норма ≥45%)</t>
        </is>
      </c>
      <c r="G7" s="25" t="inlineStr">
        <is>
          <t>Зависших сделок</t>
        </is>
      </c>
      <c r="H7" s="25" t="inlineStr">
        <is>
          <t>Сумма риска (₽)</t>
        </is>
      </c>
      <c r="I7" s="25" t="inlineStr">
        <is>
          <t>Грейд ИИ</t>
        </is>
      </c>
      <c r="J7" s="25" t="inlineStr">
        <is>
          <t>Статус и рекомендация РОПу</t>
        </is>
      </c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</row>
    <row r="8" ht="22" customHeight="1">
      <c r="A8" s="26" t="n">
        <v>1</v>
      </c>
      <c r="B8" s="8" t="inlineStr">
        <is>
          <t>Алексей Мельников</t>
        </is>
      </c>
      <c r="C8" s="26" t="n">
        <v>6</v>
      </c>
      <c r="D8" s="59" t="n">
        <v>12.2</v>
      </c>
      <c r="E8" s="26" t="inlineStr">
        <is>
          <t>100.0%</t>
        </is>
      </c>
      <c r="F8" s="26" t="inlineStr">
        <is>
          <t>48% / 52%</t>
        </is>
      </c>
      <c r="G8" s="26" t="n">
        <v>0</v>
      </c>
      <c r="H8" s="28" t="n">
        <v>0</v>
      </c>
      <c r="I8" s="18" t="inlineStr">
        <is>
          <t>⭐ А (Эталон)</t>
        </is>
      </c>
      <c r="J8" s="60" t="inlineStr">
        <is>
          <t>Эталонный скрипт, рекомендован в базу знаний компании</t>
        </is>
      </c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</row>
    <row r="9" ht="22" customHeight="1">
      <c r="A9" s="26" t="n">
        <v>2</v>
      </c>
      <c r="B9" s="8" t="inlineStr">
        <is>
          <t>Елена Васильева</t>
        </is>
      </c>
      <c r="C9" s="26" t="n">
        <v>5</v>
      </c>
      <c r="D9" s="59" t="n">
        <v>10.8</v>
      </c>
      <c r="E9" s="26" t="inlineStr">
        <is>
          <t>80.0%</t>
        </is>
      </c>
      <c r="F9" s="26" t="inlineStr">
        <is>
          <t>51% / 49%</t>
        </is>
      </c>
      <c r="G9" s="26" t="n">
        <v>1</v>
      </c>
      <c r="H9" s="61" t="n">
        <v>160000</v>
      </c>
      <c r="I9" s="18" t="inlineStr">
        <is>
          <t>🟢 B (Норма)</t>
        </is>
      </c>
      <c r="J9" s="60" t="inlineStr">
        <is>
          <t>Высокая конверсия, мелкие замечания по регламенту встречи</t>
        </is>
      </c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</row>
    <row r="10" ht="22" customHeight="1">
      <c r="A10" s="26" t="n">
        <v>3</v>
      </c>
      <c r="B10" s="8" t="inlineStr">
        <is>
          <t>Анна Соколова</t>
        </is>
      </c>
      <c r="C10" s="26" t="n">
        <v>5</v>
      </c>
      <c r="D10" s="62" t="n">
        <v>8.4</v>
      </c>
      <c r="E10" s="26" t="inlineStr">
        <is>
          <t>60.0%</t>
        </is>
      </c>
      <c r="F10" s="26" t="inlineStr">
        <is>
          <t>58% / 42%</t>
        </is>
      </c>
      <c r="G10" s="26" t="n">
        <v>2</v>
      </c>
      <c r="H10" s="61" t="n">
        <v>480000</v>
      </c>
      <c r="I10" s="20" t="inlineStr">
        <is>
          <t>🟡 C (Зона риска)</t>
        </is>
      </c>
      <c r="J10" s="60" t="inlineStr">
        <is>
          <t>Забывает фиксировать дату звонка, требуется тренинг</t>
        </is>
      </c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</row>
    <row r="11" ht="22" customHeight="1">
      <c r="A11" s="26" t="n">
        <v>4</v>
      </c>
      <c r="B11" s="8" t="inlineStr">
        <is>
          <t>Дмитрий Ковалев</t>
        </is>
      </c>
      <c r="C11" s="26" t="n">
        <v>5</v>
      </c>
      <c r="D11" s="63" t="n">
        <v>6.2</v>
      </c>
      <c r="E11" s="26" t="inlineStr">
        <is>
          <t>40.0%</t>
        </is>
      </c>
      <c r="F11" s="26" t="inlineStr">
        <is>
          <t>72% / 28%</t>
        </is>
      </c>
      <c r="G11" s="26" t="n">
        <v>3</v>
      </c>
      <c r="H11" s="61" t="n">
        <v>1100000</v>
      </c>
      <c r="I11" s="17" t="inlineStr">
        <is>
          <t>🔴 D (Брак речи)</t>
        </is>
      </c>
      <c r="J11" s="60" t="inlineStr">
        <is>
          <t>Срыв контакта, перебивание клиента, демпинг скидок</t>
        </is>
      </c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</row>
    <row r="12" ht="22" customHeight="1">
      <c r="A12" s="26" t="n">
        <v>5</v>
      </c>
      <c r="B12" s="8" t="inlineStr">
        <is>
          <t>Иван Попов</t>
        </is>
      </c>
      <c r="C12" s="26" t="n">
        <v>4</v>
      </c>
      <c r="D12" s="63" t="n">
        <v>5.5</v>
      </c>
      <c r="E12" s="26" t="inlineStr">
        <is>
          <t>25.0%</t>
        </is>
      </c>
      <c r="F12" s="26" t="inlineStr">
        <is>
          <t>79% / 21%</t>
        </is>
      </c>
      <c r="G12" s="26" t="n">
        <v>3</v>
      </c>
      <c r="H12" s="61" t="n">
        <v>1100000</v>
      </c>
      <c r="I12" s="17" t="inlineStr">
        <is>
          <t>🔴 D (Брак речи)</t>
        </is>
      </c>
      <c r="J12" s="60" t="inlineStr">
        <is>
          <t>Режим 'автоответчика', нет попыток закрытия на встречу</t>
        </is>
      </c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</row>
    <row r="13" ht="24" customHeight="1">
      <c r="A13" s="29" t="inlineStr"/>
      <c r="B13" s="30" t="inlineStr">
        <is>
          <t>ИТОГО ПО ОТДЕЛУ ПРОДАЖ:</t>
        </is>
      </c>
      <c r="C13" s="64">
        <f>SUM(C8:C12)</f>
        <v/>
      </c>
      <c r="D13" s="64" t="inlineStr">
        <is>
          <t>8.9 / 13</t>
        </is>
      </c>
      <c r="E13" s="64" t="inlineStr">
        <is>
          <t>60.0%</t>
        </is>
      </c>
      <c r="F13" s="64" t="inlineStr">
        <is>
          <t>61% / 39%</t>
        </is>
      </c>
      <c r="G13" s="64">
        <f>SUM(G8:G12)</f>
        <v/>
      </c>
      <c r="H13" s="31">
        <f>SUM(H8:H12)</f>
        <v/>
      </c>
      <c r="I13" s="65" t="inlineStr">
        <is>
          <t>⚠️ РИСК</t>
        </is>
      </c>
      <c r="J13" s="66" t="inlineStr">
        <is>
          <t>Требуется экспресс-коучинг по отработке возражений</t>
        </is>
      </c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</row>
    <row r="14" ht="12" customHeight="1"/>
    <row r="15" ht="24" customHeight="1">
      <c r="A15" s="58" t="inlineStr">
        <is>
          <t>🔍 ДЕТАЛИЗИРОВАННАЯ МАТРИЦА ОЦЕНКИ ЗВОНКОВ ПО ВСЕМ 13 КРИТЕРИЯМ (0 / 1)</t>
        </is>
      </c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</row>
    <row r="16" ht="28" customHeight="1">
      <c r="A16" s="25" t="inlineStr">
        <is>
          <t>Call ID</t>
        </is>
      </c>
      <c r="B16" s="25" t="inlineStr">
        <is>
          <t>Сделка / Клиент</t>
        </is>
      </c>
      <c r="C16" s="25" t="inlineStr">
        <is>
          <t>Менеджер</t>
        </is>
      </c>
      <c r="D16" s="25" t="inlineStr">
        <is>
          <t>Сумма (₽)</t>
        </is>
      </c>
      <c r="E16" s="25" t="inlineStr">
        <is>
          <t>Длит.</t>
        </is>
      </c>
      <c r="F16" s="25" t="inlineStr">
        <is>
          <t>Этап CRM</t>
        </is>
      </c>
      <c r="G16" s="25" t="inlineStr">
        <is>
          <t>К1 NextStep</t>
        </is>
      </c>
      <c r="H16" s="25" t="inlineStr">
        <is>
          <t>К2 Иниц.</t>
        </is>
      </c>
      <c r="I16" s="25" t="inlineStr">
        <is>
          <t>К3 ЛПР</t>
        </is>
      </c>
      <c r="J16" s="25" t="inlineStr">
        <is>
          <t>К4 Боли</t>
        </is>
      </c>
      <c r="K16" s="25" t="inlineStr">
        <is>
          <t>К5 Дорого</t>
        </is>
      </c>
      <c r="L16" s="25" t="inlineStr">
        <is>
          <t>К6 Подумаю</t>
        </is>
      </c>
      <c r="M16" s="25" t="inlineStr">
        <is>
          <t>К7 Кейсы</t>
        </is>
      </c>
      <c r="N16" s="25" t="inlineStr">
        <is>
          <t>К8 Закрытие</t>
        </is>
      </c>
      <c r="O16" s="25" t="inlineStr">
        <is>
          <t>К9 Привет.</t>
        </is>
      </c>
      <c r="P16" s="25" t="inlineStr">
        <is>
          <t>К10 Речь</t>
        </is>
      </c>
      <c r="Q16" s="25" t="inlineStr">
        <is>
          <t>К11 Слушан.</t>
        </is>
      </c>
      <c r="R16" s="25" t="inlineStr">
        <is>
          <t>К12 Итог</t>
        </is>
      </c>
      <c r="S16" s="25" t="inlineStr">
        <is>
          <t>К13 Маржа</t>
        </is>
      </c>
      <c r="T16" s="25" t="inlineStr">
        <is>
          <t>Балл /13</t>
        </is>
      </c>
      <c r="U16" s="25" t="inlineStr">
        <is>
          <t>Статус ИИ</t>
        </is>
      </c>
      <c r="V16" s="25" t="inlineStr">
        <is>
          <t>Сумма в риске, ₽</t>
        </is>
      </c>
    </row>
    <row r="17" ht="22" customHeight="1">
      <c r="A17" s="44" t="inlineStr">
        <is>
          <t>C-501</t>
        </is>
      </c>
      <c r="B17" s="60" t="inlineStr">
        <is>
          <t>D-101 (ООО Вектор Плюс)</t>
        </is>
      </c>
      <c r="C17" s="26" t="inlineStr">
        <is>
          <t>Мельников</t>
        </is>
      </c>
      <c r="D17" s="67" t="n">
        <v>850000</v>
      </c>
      <c r="E17" s="26" t="inlineStr">
        <is>
          <t>05:40</t>
        </is>
      </c>
      <c r="F17" s="26" t="inlineStr">
        <is>
          <t>КП отправлено</t>
        </is>
      </c>
      <c r="G17" s="68" t="n">
        <v>1</v>
      </c>
      <c r="H17" s="68" t="n">
        <v>1</v>
      </c>
      <c r="I17" s="68" t="n">
        <v>1</v>
      </c>
      <c r="J17" s="68" t="n">
        <v>1</v>
      </c>
      <c r="K17" s="68" t="n">
        <v>1</v>
      </c>
      <c r="L17" s="68" t="n">
        <v>1</v>
      </c>
      <c r="M17" s="68" t="n">
        <v>1</v>
      </c>
      <c r="N17" s="68" t="n">
        <v>1</v>
      </c>
      <c r="O17" s="68" t="n">
        <v>1</v>
      </c>
      <c r="P17" s="68" t="n">
        <v>1</v>
      </c>
      <c r="Q17" s="68" t="n">
        <v>1</v>
      </c>
      <c r="R17" s="68" t="n">
        <v>1</v>
      </c>
      <c r="S17" s="68" t="n">
        <v>1</v>
      </c>
      <c r="T17" s="59">
        <f>SUM(G17:S17)</f>
        <v/>
      </c>
      <c r="U17" s="18" t="inlineStr">
        <is>
          <t>⭐ ЭТАЛОН</t>
        </is>
      </c>
      <c r="V17" s="28" t="n">
        <v>0</v>
      </c>
    </row>
    <row r="18" ht="22" customHeight="1">
      <c r="A18" s="44" t="inlineStr">
        <is>
          <t>C-502</t>
        </is>
      </c>
      <c r="B18" s="60" t="inlineStr">
        <is>
          <t>D-104 (ООО Вектор Плюс)</t>
        </is>
      </c>
      <c r="C18" s="26" t="inlineStr">
        <is>
          <t>Васильева</t>
        </is>
      </c>
      <c r="D18" s="67" t="n">
        <v>850000</v>
      </c>
      <c r="E18" s="26" t="inlineStr">
        <is>
          <t>04:20</t>
        </is>
      </c>
      <c r="F18" s="26" t="inlineStr">
        <is>
          <t>Переговоры</t>
        </is>
      </c>
      <c r="G18" s="68" t="n">
        <v>1</v>
      </c>
      <c r="H18" s="68" t="n">
        <v>1</v>
      </c>
      <c r="I18" s="68" t="n">
        <v>1</v>
      </c>
      <c r="J18" s="68" t="n">
        <v>1</v>
      </c>
      <c r="K18" s="68" t="n">
        <v>1</v>
      </c>
      <c r="L18" s="69" t="n">
        <v>0</v>
      </c>
      <c r="M18" s="68" t="n">
        <v>1</v>
      </c>
      <c r="N18" s="68" t="n">
        <v>1</v>
      </c>
      <c r="O18" s="68" t="n">
        <v>1</v>
      </c>
      <c r="P18" s="68" t="n">
        <v>1</v>
      </c>
      <c r="Q18" s="68" t="n">
        <v>1</v>
      </c>
      <c r="R18" s="68" t="n">
        <v>1</v>
      </c>
      <c r="S18" s="68" t="n">
        <v>1</v>
      </c>
      <c r="T18" s="59">
        <f>SUM(G18:S18)</f>
        <v/>
      </c>
      <c r="U18" s="18" t="inlineStr">
        <is>
          <t>🟢 В НОРМЕ</t>
        </is>
      </c>
      <c r="V18" s="28" t="n">
        <v>0</v>
      </c>
    </row>
    <row r="19" ht="22" customHeight="1">
      <c r="A19" s="44" t="inlineStr">
        <is>
          <t>C-503</t>
        </is>
      </c>
      <c r="B19" s="60" t="inlineStr">
        <is>
          <t>D-106 (ООО СнабСервис)</t>
        </is>
      </c>
      <c r="C19" s="26" t="inlineStr">
        <is>
          <t>Соколова</t>
        </is>
      </c>
      <c r="D19" s="67" t="n">
        <v>280000</v>
      </c>
      <c r="E19" s="26" t="inlineStr">
        <is>
          <t>03:10</t>
        </is>
      </c>
      <c r="F19" s="26" t="inlineStr">
        <is>
          <t>Встреча/Демо</t>
        </is>
      </c>
      <c r="G19" s="69" t="n">
        <v>0</v>
      </c>
      <c r="H19" s="68" t="n">
        <v>1</v>
      </c>
      <c r="I19" s="68" t="n">
        <v>1</v>
      </c>
      <c r="J19" s="69" t="n">
        <v>0</v>
      </c>
      <c r="K19" s="68" t="n">
        <v>1</v>
      </c>
      <c r="L19" s="69" t="n">
        <v>0</v>
      </c>
      <c r="M19" s="68" t="n">
        <v>1</v>
      </c>
      <c r="N19" s="69" t="n">
        <v>0</v>
      </c>
      <c r="O19" s="68" t="n">
        <v>1</v>
      </c>
      <c r="P19" s="69" t="n">
        <v>0</v>
      </c>
      <c r="Q19" s="68" t="n">
        <v>1</v>
      </c>
      <c r="R19" s="69" t="n">
        <v>0</v>
      </c>
      <c r="S19" s="68" t="n">
        <v>1</v>
      </c>
      <c r="T19" s="63">
        <f>SUM(G19:S19)</f>
        <v/>
      </c>
      <c r="U19" s="20" t="inlineStr">
        <is>
          <t>⚠️ РИСК</t>
        </is>
      </c>
      <c r="V19" s="61" t="n">
        <v>280000</v>
      </c>
    </row>
    <row r="20" ht="22" customHeight="1">
      <c r="A20" s="44" t="inlineStr">
        <is>
          <t>C-504</t>
        </is>
      </c>
      <c r="B20" s="60" t="inlineStr">
        <is>
          <t>D-107 (ООО ТехноПром)</t>
        </is>
      </c>
      <c r="C20" s="26" t="inlineStr">
        <is>
          <t>Соколова</t>
        </is>
      </c>
      <c r="D20" s="67" t="n">
        <v>150000</v>
      </c>
      <c r="E20" s="26" t="inlineStr">
        <is>
          <t>06:15</t>
        </is>
      </c>
      <c r="F20" s="26" t="inlineStr">
        <is>
          <t>Квалификация</t>
        </is>
      </c>
      <c r="G20" s="68" t="n">
        <v>1</v>
      </c>
      <c r="H20" s="68" t="n">
        <v>1</v>
      </c>
      <c r="I20" s="68" t="n">
        <v>1</v>
      </c>
      <c r="J20" s="69" t="n">
        <v>0</v>
      </c>
      <c r="K20" s="68" t="n">
        <v>1</v>
      </c>
      <c r="L20" s="68" t="n">
        <v>1</v>
      </c>
      <c r="M20" s="69" t="n">
        <v>0</v>
      </c>
      <c r="N20" s="69" t="n">
        <v>0</v>
      </c>
      <c r="O20" s="68" t="n">
        <v>1</v>
      </c>
      <c r="P20" s="68" t="n">
        <v>1</v>
      </c>
      <c r="Q20" s="69" t="n">
        <v>0</v>
      </c>
      <c r="R20" s="68" t="n">
        <v>1</v>
      </c>
      <c r="S20" s="68" t="n">
        <v>1</v>
      </c>
      <c r="T20" s="62">
        <f>SUM(G20:S20)</f>
        <v/>
      </c>
      <c r="U20" s="20" t="inlineStr">
        <is>
          <t>⚠️ РИСК</t>
        </is>
      </c>
      <c r="V20" s="61" t="n">
        <v>150000</v>
      </c>
    </row>
    <row r="21" ht="22" customHeight="1">
      <c r="A21" s="44" t="inlineStr">
        <is>
          <t>C-505</t>
        </is>
      </c>
      <c r="B21" s="60" t="inlineStr">
        <is>
          <t>D-109 (ООО ПромКомплект)</t>
        </is>
      </c>
      <c r="C21" s="26" t="inlineStr">
        <is>
          <t>Ковалев</t>
        </is>
      </c>
      <c r="D21" s="67" t="n">
        <v>600000</v>
      </c>
      <c r="E21" s="26" t="inlineStr">
        <is>
          <t>03:30</t>
        </is>
      </c>
      <c r="F21" s="26" t="inlineStr">
        <is>
          <t>КП отправлено</t>
        </is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8" t="n">
        <v>1</v>
      </c>
      <c r="P21" s="69" t="n">
        <v>0</v>
      </c>
      <c r="Q21" s="69" t="n">
        <v>0</v>
      </c>
      <c r="R21" s="69" t="n">
        <v>0</v>
      </c>
      <c r="S21" s="68" t="n">
        <v>1</v>
      </c>
      <c r="T21" s="63">
        <f>SUM(G21:S21)</f>
        <v/>
      </c>
      <c r="U21" s="17" t="inlineStr">
        <is>
          <t>❌ СЛИВ</t>
        </is>
      </c>
      <c r="V21" s="61" t="n">
        <v>600000</v>
      </c>
    </row>
    <row r="22" ht="22" customHeight="1">
      <c r="A22" s="44" t="inlineStr">
        <is>
          <t>C-506</t>
        </is>
      </c>
      <c r="B22" s="60" t="inlineStr">
        <is>
          <t>D-111 (ООО Глобал Инвест)</t>
        </is>
      </c>
      <c r="C22" s="26" t="inlineStr">
        <is>
          <t>Мельников</t>
        </is>
      </c>
      <c r="D22" s="67" t="n">
        <v>3000000</v>
      </c>
      <c r="E22" s="26" t="inlineStr">
        <is>
          <t>07:15</t>
        </is>
      </c>
      <c r="F22" s="26" t="inlineStr">
        <is>
          <t>Финальные условия</t>
        </is>
      </c>
      <c r="G22" s="68" t="n">
        <v>1</v>
      </c>
      <c r="H22" s="68" t="n">
        <v>1</v>
      </c>
      <c r="I22" s="68" t="n">
        <v>1</v>
      </c>
      <c r="J22" s="68" t="n">
        <v>1</v>
      </c>
      <c r="K22" s="68" t="n">
        <v>1</v>
      </c>
      <c r="L22" s="68" t="n">
        <v>1</v>
      </c>
      <c r="M22" s="68" t="n">
        <v>1</v>
      </c>
      <c r="N22" s="68" t="n">
        <v>1</v>
      </c>
      <c r="O22" s="68" t="n">
        <v>1</v>
      </c>
      <c r="P22" s="68" t="n">
        <v>1</v>
      </c>
      <c r="Q22" s="68" t="n">
        <v>1</v>
      </c>
      <c r="R22" s="68" t="n">
        <v>1</v>
      </c>
      <c r="S22" s="68" t="n">
        <v>1</v>
      </c>
      <c r="T22" s="59">
        <f>SUM(G22:S22)</f>
        <v/>
      </c>
      <c r="U22" s="18" t="inlineStr">
        <is>
          <t>⭐ ЭТАЛОН</t>
        </is>
      </c>
      <c r="V22" s="28" t="n">
        <v>0</v>
      </c>
    </row>
    <row r="23" ht="22" customHeight="1">
      <c r="A23" s="44" t="inlineStr">
        <is>
          <t>C-507</t>
        </is>
      </c>
      <c r="B23" s="60" t="inlineStr">
        <is>
          <t>D-114 (ООО АльфаТрейд)</t>
        </is>
      </c>
      <c r="C23" s="26" t="inlineStr">
        <is>
          <t>Ковалев</t>
        </is>
      </c>
      <c r="D23" s="67" t="n">
        <v>500000</v>
      </c>
      <c r="E23" s="26" t="inlineStr">
        <is>
          <t>04:45</t>
        </is>
      </c>
      <c r="F23" s="26" t="inlineStr">
        <is>
          <t>Дожим договора</t>
        </is>
      </c>
      <c r="G23" s="69" t="n">
        <v>0</v>
      </c>
      <c r="H23" s="68" t="n">
        <v>1</v>
      </c>
      <c r="I23" s="68" t="n">
        <v>1</v>
      </c>
      <c r="J23" s="69" t="n">
        <v>0</v>
      </c>
      <c r="K23" s="69" t="n">
        <v>0</v>
      </c>
      <c r="L23" s="69" t="n">
        <v>0</v>
      </c>
      <c r="M23" s="68" t="n">
        <v>1</v>
      </c>
      <c r="N23" s="69" t="n">
        <v>0</v>
      </c>
      <c r="O23" s="68" t="n">
        <v>1</v>
      </c>
      <c r="P23" s="69" t="n">
        <v>0</v>
      </c>
      <c r="Q23" s="69" t="n">
        <v>0</v>
      </c>
      <c r="R23" s="68" t="n">
        <v>1</v>
      </c>
      <c r="S23" s="69" t="n">
        <v>0</v>
      </c>
      <c r="T23" s="63">
        <f>SUM(G23:S23)</f>
        <v/>
      </c>
      <c r="U23" s="17" t="inlineStr">
        <is>
          <t>❌ СЛИВ</t>
        </is>
      </c>
      <c r="V23" s="61" t="n">
        <v>500000</v>
      </c>
    </row>
    <row r="24" ht="22" customHeight="1">
      <c r="A24" s="44" t="inlineStr">
        <is>
          <t>C-508</t>
        </is>
      </c>
      <c r="B24" s="60" t="inlineStr">
        <is>
          <t>D-118 (ООО СтройХолдинг)</t>
        </is>
      </c>
      <c r="C24" s="26" t="inlineStr">
        <is>
          <t>Попов</t>
        </is>
      </c>
      <c r="D24" s="67" t="n">
        <v>650000</v>
      </c>
      <c r="E24" s="26" t="inlineStr">
        <is>
          <t>02:50</t>
        </is>
      </c>
      <c r="F24" s="26" t="inlineStr">
        <is>
          <t>Входящий лид</t>
        </is>
      </c>
      <c r="G24" s="69" t="n">
        <v>0</v>
      </c>
      <c r="H24" s="69" t="n">
        <v>0</v>
      </c>
      <c r="I24" s="68" t="n">
        <v>1</v>
      </c>
      <c r="J24" s="69" t="n">
        <v>0</v>
      </c>
      <c r="K24" s="69" t="n">
        <v>0</v>
      </c>
      <c r="L24" s="69" t="n">
        <v>0</v>
      </c>
      <c r="M24" s="69" t="n">
        <v>0</v>
      </c>
      <c r="N24" s="69" t="n">
        <v>0</v>
      </c>
      <c r="O24" s="68" t="n">
        <v>1</v>
      </c>
      <c r="P24" s="68" t="n">
        <v>1</v>
      </c>
      <c r="Q24" s="69" t="n">
        <v>0</v>
      </c>
      <c r="R24" s="68" t="n">
        <v>1</v>
      </c>
      <c r="S24" s="69" t="n">
        <v>0</v>
      </c>
      <c r="T24" s="63">
        <f>SUM(G24:S24)</f>
        <v/>
      </c>
      <c r="U24" s="17" t="inlineStr">
        <is>
          <t>❌ СЛИВ</t>
        </is>
      </c>
      <c r="V24" s="61" t="n">
        <v>650000</v>
      </c>
    </row>
    <row r="25" ht="22" customHeight="1">
      <c r="A25" s="44" t="inlineStr">
        <is>
          <t>C-509</t>
        </is>
      </c>
      <c r="B25" s="60" t="inlineStr">
        <is>
          <t>D-121 (ООО СпецМаш)</t>
        </is>
      </c>
      <c r="C25" s="26" t="inlineStr">
        <is>
          <t>Васильева</t>
        </is>
      </c>
      <c r="D25" s="67" t="n">
        <v>420000</v>
      </c>
      <c r="E25" s="26" t="inlineStr">
        <is>
          <t>05:10</t>
        </is>
      </c>
      <c r="F25" s="26" t="inlineStr">
        <is>
          <t>Презентация КП</t>
        </is>
      </c>
      <c r="G25" s="68" t="n">
        <v>1</v>
      </c>
      <c r="H25" s="68" t="n">
        <v>1</v>
      </c>
      <c r="I25" s="68" t="n">
        <v>1</v>
      </c>
      <c r="J25" s="68" t="n">
        <v>1</v>
      </c>
      <c r="K25" s="68" t="n">
        <v>1</v>
      </c>
      <c r="L25" s="68" t="n">
        <v>1</v>
      </c>
      <c r="M25" s="68" t="n">
        <v>1</v>
      </c>
      <c r="N25" s="69" t="n">
        <v>0</v>
      </c>
      <c r="O25" s="68" t="n">
        <v>1</v>
      </c>
      <c r="P25" s="68" t="n">
        <v>1</v>
      </c>
      <c r="Q25" s="68" t="n">
        <v>1</v>
      </c>
      <c r="R25" s="68" t="n">
        <v>1</v>
      </c>
      <c r="S25" s="68" t="n">
        <v>1</v>
      </c>
      <c r="T25" s="59">
        <f>SUM(G25:S25)</f>
        <v/>
      </c>
      <c r="U25" s="18" t="inlineStr">
        <is>
          <t>🟢 В НОРМЕ</t>
        </is>
      </c>
      <c r="V25" s="28" t="n">
        <v>0</v>
      </c>
    </row>
    <row r="26" ht="22" customHeight="1">
      <c r="A26" s="44" t="inlineStr">
        <is>
          <t>C-510</t>
        </is>
      </c>
      <c r="B26" s="60" t="inlineStr">
        <is>
          <t>D-125 (ООО МегаТранс)</t>
        </is>
      </c>
      <c r="C26" s="26" t="inlineStr">
        <is>
          <t>Попов</t>
        </is>
      </c>
      <c r="D26" s="67" t="n">
        <v>450000</v>
      </c>
      <c r="E26" s="26" t="inlineStr">
        <is>
          <t>03:40</t>
        </is>
      </c>
      <c r="F26" s="26" t="inlineStr">
        <is>
          <t>Квалификация</t>
        </is>
      </c>
      <c r="G26" s="69" t="n">
        <v>0</v>
      </c>
      <c r="H26" s="69" t="n">
        <v>0</v>
      </c>
      <c r="I26" s="69" t="n">
        <v>0</v>
      </c>
      <c r="J26" s="68" t="n">
        <v>1</v>
      </c>
      <c r="K26" s="68" t="n">
        <v>1</v>
      </c>
      <c r="L26" s="69" t="n">
        <v>0</v>
      </c>
      <c r="M26" s="68" t="n">
        <v>1</v>
      </c>
      <c r="N26" s="69" t="n">
        <v>0</v>
      </c>
      <c r="O26" s="68" t="n">
        <v>1</v>
      </c>
      <c r="P26" s="68" t="n">
        <v>1</v>
      </c>
      <c r="Q26" s="69" t="n">
        <v>0</v>
      </c>
      <c r="R26" s="68" t="n">
        <v>1</v>
      </c>
      <c r="S26" s="69" t="n">
        <v>0</v>
      </c>
      <c r="T26" s="63">
        <f>SUM(G26:S26)</f>
        <v/>
      </c>
      <c r="U26" s="20" t="inlineStr">
        <is>
          <t>⚠️ РИСК</t>
        </is>
      </c>
      <c r="V26" s="61" t="n">
        <v>450000</v>
      </c>
    </row>
    <row r="27" ht="24" customHeight="1">
      <c r="A27" s="29" t="inlineStr"/>
      <c r="B27" s="30" t="inlineStr">
        <is>
          <t>ИТОГО ПОТЕРЬ И РИСКОВ ПО ЗВОНКАМ:</t>
        </is>
      </c>
      <c r="C27" s="29" t="inlineStr"/>
      <c r="D27" s="70">
        <f>SUM(D17:D26)</f>
        <v/>
      </c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71">
        <f>AVERAGE(T17:T26)</f>
        <v/>
      </c>
      <c r="U27" s="72" t="inlineStr">
        <is>
          <t>6 сливов</t>
        </is>
      </c>
      <c r="V27" s="31">
        <f>SUM(V17:V26)</f>
        <v/>
      </c>
    </row>
    <row r="28" ht="12" customHeight="1"/>
    <row r="29" ht="24" customHeight="1">
      <c r="A29" s="58" t="inlineStr">
        <is>
          <t>🚨 РЕЕСТР ДЕФЕКТОВ РЕЧИ: РАСШИФРОВАННЫЕ ЦИТАТЫ ИЗ РАЗГОВОРОВ И РЕШЕНИЯ РОПа</t>
        </is>
      </c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</row>
    <row r="30" ht="26" customHeight="1">
      <c r="A30" s="25" t="inlineStr">
        <is>
          <t>Call ID</t>
        </is>
      </c>
      <c r="B30" s="25" t="inlineStr">
        <is>
          <t>Сделка / Контрагент</t>
        </is>
      </c>
      <c r="C30" s="25" t="inlineStr">
        <is>
          <t>Менеджер</t>
        </is>
      </c>
      <c r="D30" s="25" t="inlineStr">
        <is>
          <t>Сумма в риске</t>
        </is>
      </c>
      <c r="E30" s="25" t="inlineStr">
        <is>
          <t>Критический дефект речи</t>
        </is>
      </c>
      <c r="F30" s="25" t="n"/>
      <c r="G30" s="25" t="inlineStr">
        <is>
          <t>💬 Цитата из диалога (Расшифровка Whisper Large V3)</t>
        </is>
      </c>
      <c r="H30" s="25" t="n"/>
      <c r="I30" s="25" t="n"/>
      <c r="J30" s="25" t="n"/>
      <c r="K30" s="25" t="n"/>
      <c r="L30" s="25" t="n"/>
      <c r="M30" s="25" t="n"/>
      <c r="N30" s="25" t="inlineStr">
        <is>
          <t>🤖 Решение ИИ и Срочное действие РОПа</t>
        </is>
      </c>
      <c r="O30" s="25" t="n"/>
      <c r="P30" s="25" t="n"/>
      <c r="Q30" s="25" t="n"/>
      <c r="R30" s="25" t="n"/>
      <c r="S30" s="25" t="n"/>
      <c r="T30" s="25" t="n"/>
      <c r="U30" s="25" t="n"/>
      <c r="V30" s="25" t="n"/>
    </row>
    <row r="31" ht="54" customHeight="1">
      <c r="A31" s="44" t="inlineStr">
        <is>
          <t>C-505</t>
        </is>
      </c>
      <c r="B31" s="73" t="inlineStr">
        <is>
          <t>D-109 (ООО «ПромКомплект»)</t>
        </is>
      </c>
      <c r="C31" s="26" t="inlineStr">
        <is>
          <t>Дмитрий Ковалев</t>
        </is>
      </c>
      <c r="D31" s="61" t="n">
        <v>600000</v>
      </c>
      <c r="E31" s="74" t="inlineStr">
        <is>
          <t>Срыв контакта / грубость при цене</t>
        </is>
      </c>
      <c r="F31" s="74" t="n"/>
      <c r="G31" s="75" t="inlineStr">
        <is>
          <t>Клиент: «Почему у вас смета на 15% выше рынка?» → Менеджер: «Не знаю, везде всё дорожает. Не устраивает — берите у конкурентов без гарантии»</t>
        </is>
      </c>
      <c r="H31" s="75" t="n"/>
      <c r="I31" s="75" t="n"/>
      <c r="J31" s="75" t="n"/>
      <c r="K31" s="75" t="n"/>
      <c r="L31" s="75" t="n"/>
      <c r="M31" s="75" t="n"/>
      <c r="N31" s="76" t="inlineStr">
        <is>
          <t>🚨 Экстренный звонок РОПа ЛПР до 12:00: принести извинения за консультацию, перехватить сделку, дать проект со спец-гарантией 24 мес.</t>
        </is>
      </c>
      <c r="O31" s="76" t="n"/>
      <c r="P31" s="76" t="n"/>
      <c r="Q31" s="76" t="n"/>
      <c r="R31" s="76" t="n"/>
      <c r="S31" s="76" t="n"/>
      <c r="T31" s="76" t="n"/>
      <c r="U31" s="76" t="n"/>
      <c r="V31" s="76" t="n"/>
    </row>
    <row r="32" ht="54" customHeight="1">
      <c r="A32" s="44" t="inlineStr">
        <is>
          <t>C-503</t>
        </is>
      </c>
      <c r="B32" s="73" t="inlineStr">
        <is>
          <t>D-106 (ООО «СнабСервис»)</t>
        </is>
      </c>
      <c r="C32" s="26" t="inlineStr">
        <is>
          <t>Анна Соколова</t>
        </is>
      </c>
      <c r="D32" s="61" t="n">
        <v>280000</v>
      </c>
      <c r="E32" s="74" t="inlineStr">
        <is>
          <t>Слив жесткого Next Step (в никуда)</t>
        </is>
      </c>
      <c r="F32" s="74" t="n"/>
      <c r="G32" s="75" t="inlineStr">
        <is>
          <t>Менеджер: «Я вам КП на почту сбросила, посмотрите когда время будет». Клиент: «Хорошо, если что наберу»</t>
        </is>
      </c>
      <c r="H32" s="75" t="n"/>
      <c r="I32" s="75" t="n"/>
      <c r="J32" s="75" t="n"/>
      <c r="K32" s="75" t="n"/>
      <c r="L32" s="75" t="n"/>
      <c r="M32" s="75" t="n"/>
      <c r="N32" s="76" t="inlineStr">
        <is>
          <t>Направить клиенту в WhatsApp 2 конкретных слота встречи (сегодня 16:00 / завтра 11:30) с демонстрацией интеграции с CRM.</t>
        </is>
      </c>
      <c r="O32" s="76" t="n"/>
      <c r="P32" s="76" t="n"/>
      <c r="Q32" s="76" t="n"/>
      <c r="R32" s="76" t="n"/>
      <c r="S32" s="76" t="n"/>
      <c r="T32" s="76" t="n"/>
      <c r="U32" s="76" t="n"/>
      <c r="V32" s="76" t="n"/>
    </row>
    <row r="33" ht="54" customHeight="1">
      <c r="A33" s="44" t="inlineStr">
        <is>
          <t>C-507</t>
        </is>
      </c>
      <c r="B33" s="73" t="inlineStr">
        <is>
          <t>D-114 (ООО «АльфаТрейд»)</t>
        </is>
      </c>
      <c r="C33" s="26" t="inlineStr">
        <is>
          <t>Дмитрий Ковалев</t>
        </is>
      </c>
      <c r="D33" s="61" t="n">
        <v>500000</v>
      </c>
      <c r="E33" s="74" t="inlineStr">
        <is>
          <t>Необоснованная скидка вместо ценности</t>
        </is>
      </c>
      <c r="F33" s="74" t="n"/>
      <c r="G33" s="75" t="inlineStr">
        <is>
          <t>Клиент: «У нас бюджет строго ограничен». Менеджер: «Ну ладно, согласую вам скидку 10% прямо сейчас»</t>
        </is>
      </c>
      <c r="H33" s="75" t="n"/>
      <c r="I33" s="75" t="n"/>
      <c r="J33" s="75" t="n"/>
      <c r="K33" s="75" t="n"/>
      <c r="L33" s="75" t="n"/>
      <c r="M33" s="75" t="n"/>
      <c r="N33" s="76" t="inlineStr">
        <is>
          <t>Заблокировать выставление счета со скидкой в CRM. РОПу пересогласовать условия: скидка 5% только в обмен на 100% предоплату за 24ч.</t>
        </is>
      </c>
      <c r="O33" s="76" t="n"/>
      <c r="P33" s="76" t="n"/>
      <c r="Q33" s="76" t="n"/>
      <c r="R33" s="76" t="n"/>
      <c r="S33" s="76" t="n"/>
      <c r="T33" s="76" t="n"/>
      <c r="U33" s="76" t="n"/>
      <c r="V33" s="76" t="n"/>
    </row>
    <row r="34" ht="54" customHeight="1">
      <c r="A34" s="44" t="inlineStr">
        <is>
          <t>C-508</t>
        </is>
      </c>
      <c r="B34" s="73" t="inlineStr">
        <is>
          <t>D-118 (ООО «СтройХолдинг»)</t>
        </is>
      </c>
      <c r="C34" s="26" t="inlineStr">
        <is>
          <t>Иван Попов</t>
        </is>
      </c>
      <c r="D34" s="61" t="n">
        <v>650000</v>
      </c>
      <c r="E34" s="74" t="inlineStr">
        <is>
          <t>Слив возражения «Я подумаю»</t>
        </is>
      </c>
      <c r="F34" s="74" t="n"/>
      <c r="G34" s="75" t="inlineStr">
        <is>
          <t>Клиент: «Нам нужно всё обдумать и посоветоваться с руководством». Менеджер: «Да, конечно, думайте» (повесил трубку)</t>
        </is>
      </c>
      <c r="H34" s="75" t="n"/>
      <c r="I34" s="75" t="n"/>
      <c r="J34" s="75" t="n"/>
      <c r="K34" s="75" t="n"/>
      <c r="L34" s="75" t="n"/>
      <c r="M34" s="75" t="n"/>
      <c r="N34" s="76" t="inlineStr">
        <is>
          <t>Передать лида старшему КАМу. Отправить в WhatsApp отраслевой кейс с аналогичным объектом и окупаемостью за 21 день.</t>
        </is>
      </c>
      <c r="O34" s="76" t="n"/>
      <c r="P34" s="76" t="n"/>
      <c r="Q34" s="76" t="n"/>
      <c r="R34" s="76" t="n"/>
      <c r="S34" s="76" t="n"/>
      <c r="T34" s="76" t="n"/>
      <c r="U34" s="76" t="n"/>
      <c r="V34" s="76" t="n"/>
    </row>
    <row r="35" ht="54" customHeight="1">
      <c r="A35" s="44" t="inlineStr">
        <is>
          <t>C-510</t>
        </is>
      </c>
      <c r="B35" s="73" t="inlineStr">
        <is>
          <t>D-125 (ООО «МегаТранс»)</t>
        </is>
      </c>
      <c r="C35" s="26" t="inlineStr">
        <is>
          <t>Иван Попов</t>
        </is>
      </c>
      <c r="D35" s="61" t="n">
        <v>450000</v>
      </c>
      <c r="E35" s="74" t="inlineStr">
        <is>
          <t>Режим автоответчика, не выявлен ЛПР</t>
        </is>
      </c>
      <c r="F35" s="74" t="n"/>
      <c r="G35" s="75" t="inlineStr">
        <is>
          <t>Менеджер 5 минут зачитывал прайс-лист секретарю, не спросив, кто принимает решение по закупкам</t>
        </is>
      </c>
      <c r="H35" s="75" t="n"/>
      <c r="I35" s="75" t="n"/>
      <c r="J35" s="75" t="n"/>
      <c r="K35" s="75" t="n"/>
      <c r="L35" s="75" t="n"/>
      <c r="M35" s="75" t="n"/>
      <c r="N35" s="76" t="inlineStr">
        <is>
          <t>Разбор на летучке: регламент квалификации BANT. Назначить повторный звонок с прямым выходом на генерального директора.</t>
        </is>
      </c>
      <c r="O35" s="76" t="n"/>
      <c r="P35" s="76" t="n"/>
      <c r="Q35" s="76" t="n"/>
      <c r="R35" s="76" t="n"/>
      <c r="S35" s="76" t="n"/>
      <c r="T35" s="76" t="n"/>
      <c r="U35" s="76" t="n"/>
      <c r="V35" s="76" t="n"/>
    </row>
    <row r="36" ht="12" customHeight="1"/>
    <row r="37" ht="24" customHeight="1">
      <c r="A37" s="58" t="inlineStr">
        <is>
          <t>📋 ЭТАЛОННЫЙ СТАНДАРТ 13 КРИТЕРИЕВ ОЦЕНКИ B2B-ДИАЛОГОВ (WHISPER LARGE V3 + LLM SUPERVISOR)</t>
        </is>
      </c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</row>
    <row r="38" ht="26" customHeight="1">
      <c r="A38" s="25" t="inlineStr">
        <is>
          <t>№</t>
        </is>
      </c>
      <c r="B38" s="25" t="inlineStr">
        <is>
          <t>Параметр оценки диалога</t>
        </is>
      </c>
      <c r="C38" s="25" t="inlineStr">
        <is>
          <t>Вес</t>
        </is>
      </c>
      <c r="D38" s="25" t="inlineStr">
        <is>
          <t>Приоритет</t>
        </is>
      </c>
      <c r="E38" s="25" t="inlineStr">
        <is>
          <t>Что проверяет алгоритм ИИ (Суть критерия)</t>
        </is>
      </c>
      <c r="F38" s="25" t="n"/>
      <c r="G38" s="25" t="n"/>
      <c r="H38" s="25" t="inlineStr">
        <is>
          <t>Маркеры дефекта в речи (Почему сделка срывается)</t>
        </is>
      </c>
      <c r="I38" s="25" t="n"/>
      <c r="J38" s="25" t="n"/>
      <c r="K38" s="25" t="n"/>
      <c r="L38" s="25" t="n"/>
      <c r="M38" s="25" t="inlineStr">
        <is>
          <t>Coaching Tip: как обучить менеджера и защитить выручку</t>
        </is>
      </c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</row>
    <row r="39" ht="34" customHeight="1">
      <c r="A39" s="26" t="n">
        <v>1</v>
      </c>
      <c r="B39" s="8" t="inlineStr">
        <is>
          <t>Жёсткий Next Step</t>
        </is>
      </c>
      <c r="C39" s="26" t="inlineStr">
        <is>
          <t>2.0x</t>
        </is>
      </c>
      <c r="D39" s="17" t="inlineStr">
        <is>
          <t>🔴 P0 (Критический)</t>
        </is>
      </c>
      <c r="E39" s="27" t="inlineStr">
        <is>
          <t>Зафиксирована точная дата и время следующего контакта (календарный слот)</t>
        </is>
      </c>
      <c r="F39" s="27" t="n"/>
      <c r="G39" s="27" t="n"/>
      <c r="H39" s="77" t="inlineStr">
        <is>
          <t>«Я вам перезвоню на днях», «Подумайте, наберите», отпускание без времени</t>
        </is>
      </c>
      <c r="I39" s="77" t="n"/>
      <c r="J39" s="77" t="n"/>
      <c r="K39" s="77" t="n"/>
      <c r="L39" s="77" t="n"/>
      <c r="M39" s="73" t="inlineStr">
        <is>
          <t>Внедрить обязательный вопрос в конце диалога: «Во вторник в 14:30 или в среду в 11:00 удобно?»</t>
        </is>
      </c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</row>
    <row r="40" ht="34" customHeight="1">
      <c r="A40" s="26" t="n">
        <v>2</v>
      </c>
      <c r="B40" s="8" t="inlineStr">
        <is>
          <t>Инициатива диалога</t>
        </is>
      </c>
      <c r="C40" s="26" t="inlineStr">
        <is>
          <t>1.0x</t>
        </is>
      </c>
      <c r="D40" s="20" t="inlineStr">
        <is>
          <t>🟡 P1 (Высокий)</t>
        </is>
      </c>
      <c r="E40" s="27" t="inlineStr">
        <is>
          <t>Менеджер ведёт диалог вопросами, держит сценарий, а не работает автоответчиком</t>
        </is>
      </c>
      <c r="F40" s="27" t="n"/>
      <c r="G40" s="27" t="n"/>
      <c r="H40" s="77" t="inlineStr">
        <is>
          <t>Клиент задает все вопросы сам, менеджер только отвечает короткими репликами</t>
        </is>
      </c>
      <c r="I40" s="77" t="n"/>
      <c r="J40" s="77" t="n"/>
      <c r="K40" s="77" t="n"/>
      <c r="L40" s="77" t="n"/>
      <c r="M40" s="73" t="inlineStr">
        <is>
          <t>Правило «Ответ + Встречный вопрос». Завершать каждую реплику квалифицирующим вопросом.</t>
        </is>
      </c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</row>
    <row r="41" ht="34" customHeight="1">
      <c r="A41" s="26" t="n">
        <v>3</v>
      </c>
      <c r="B41" s="8" t="inlineStr">
        <is>
          <t>Квалификация ЛПР / ЛВПР</t>
        </is>
      </c>
      <c r="C41" s="26" t="inlineStr">
        <is>
          <t>1.5x</t>
        </is>
      </c>
      <c r="D41" s="17" t="inlineStr">
        <is>
          <t>🔴 P0 (Критический)</t>
        </is>
      </c>
      <c r="E41" s="27" t="inlineStr">
        <is>
          <t>Установлен статус собеседника: принимает ли решения по бюджету и согласованию</t>
        </is>
      </c>
      <c r="F41" s="27" t="n"/>
      <c r="G41" s="27" t="n"/>
      <c r="H41" s="77" t="inlineStr">
        <is>
          <t>Трата 40 минут на презентацию инженеру или секретарю без полномочий подписания</t>
        </is>
      </c>
      <c r="I41" s="77" t="n"/>
      <c r="J41" s="77" t="n"/>
      <c r="K41" s="77" t="n"/>
      <c r="L41" s="77" t="n"/>
      <c r="M41" s="73" t="inlineStr">
        <is>
          <t>«Кто кроме вас участвует в согласовании проекта и утверждении финансового бюджета?»</t>
        </is>
      </c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</row>
    <row r="42" ht="34" customHeight="1">
      <c r="A42" s="26" t="n">
        <v>4</v>
      </c>
      <c r="B42" s="8" t="inlineStr">
        <is>
          <t>Выявление болей и срочности</t>
        </is>
      </c>
      <c r="C42" s="26" t="inlineStr">
        <is>
          <t>1.2x</t>
        </is>
      </c>
      <c r="D42" s="20" t="inlineStr">
        <is>
          <t>🟡 P1 (Высокий)</t>
        </is>
      </c>
      <c r="E42" s="27" t="inlineStr">
        <is>
          <t>Понятна ли бизнес-задача клиента, текущие потери и дедлайн решения проблемы</t>
        </is>
      </c>
      <c r="F42" s="27" t="n"/>
      <c r="G42" s="27" t="n"/>
      <c r="H42" s="77" t="inlineStr">
        <is>
          <t>Менеджер сразу начинает презентовать продукт, не узнав текущую ситуацию клиента</t>
        </is>
      </c>
      <c r="I42" s="77" t="n"/>
      <c r="J42" s="77" t="n"/>
      <c r="K42" s="77" t="n"/>
      <c r="L42" s="77" t="n"/>
      <c r="M42" s="73" t="inlineStr">
        <is>
          <t>Сначала диагностика по методологии SPIN/BANT, затем презентация под конкретную боль.</t>
        </is>
      </c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</row>
    <row r="43" ht="34" customHeight="1">
      <c r="A43" s="26" t="n">
        <v>5</v>
      </c>
      <c r="B43" s="8" t="inlineStr">
        <is>
          <t>Отработка возражения «Дорого»</t>
        </is>
      </c>
      <c r="C43" s="26" t="inlineStr">
        <is>
          <t>1.5x</t>
        </is>
      </c>
      <c r="D43" s="17" t="inlineStr">
        <is>
          <t>🔴 P0 (Критический)</t>
        </is>
      </c>
      <c r="E43" s="27" t="inlineStr">
        <is>
          <t>Обоснование ценности, расчет ROI/окупаемости, рассрочка (без моментальной скидки)</t>
        </is>
      </c>
      <c r="F43" s="27" t="n"/>
      <c r="G43" s="27" t="n"/>
      <c r="H43" s="77" t="inlineStr">
        <is>
          <t>Моментальная скидка при первом сомнении клиента или согласие («Да, у нас недешево»)</t>
        </is>
      </c>
      <c r="I43" s="77" t="n"/>
      <c r="J43" s="77" t="n"/>
      <c r="K43" s="77" t="n"/>
      <c r="L43" s="77" t="n"/>
      <c r="M43" s="73" t="inlineStr">
        <is>
          <t>Обосновать окупаемость: показать, сколько клиент теряет каждый день без внедрения решения.</t>
        </is>
      </c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</row>
    <row r="44" ht="34" customHeight="1">
      <c r="A44" s="26" t="n">
        <v>6</v>
      </c>
      <c r="B44" s="8" t="inlineStr">
        <is>
          <t>Отработка «Я подумаю»</t>
        </is>
      </c>
      <c r="C44" s="26" t="inlineStr">
        <is>
          <t>1.0x</t>
        </is>
      </c>
      <c r="D44" s="20" t="inlineStr">
        <is>
          <t>🟡 P1 (Высокий)</t>
        </is>
      </c>
      <c r="E44" s="27" t="inlineStr">
        <is>
          <t>Вскрытие истинного сомнения клиента, а не молчаливое отпускание в архив</t>
        </is>
      </c>
      <c r="F44" s="27" t="n"/>
      <c r="G44" s="27" t="n"/>
      <c r="H44" s="77" t="inlineStr">
        <is>
          <t>«Хорошо, думайте, ждем вашего звонка», завершение диалога на неопределенности</t>
        </is>
      </c>
      <c r="I44" s="77" t="n"/>
      <c r="J44" s="77" t="n"/>
      <c r="K44" s="77" t="n"/>
      <c r="L44" s="77" t="n"/>
      <c r="M44" s="73" t="inlineStr">
        <is>
          <t>«Алексей, обычно говорят 'подумаю', когда смущает цена или функционал. Что именно из этого?»</t>
        </is>
      </c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</row>
    <row r="45" ht="34" customHeight="1">
      <c r="A45" s="26" t="n">
        <v>7</v>
      </c>
      <c r="B45" s="8" t="inlineStr">
        <is>
          <t>Презентация через кейсы и цифры</t>
        </is>
      </c>
      <c r="C45" s="26" t="inlineStr">
        <is>
          <t>1.0x</t>
        </is>
      </c>
      <c r="D45" s="20" t="inlineStr">
        <is>
          <t>🟡 P1 (Высокий)</t>
        </is>
      </c>
      <c r="E45" s="27" t="inlineStr">
        <is>
          <t>Приведение аналогичных проектов, оцифрованных результатов и сроков возврата</t>
        </is>
      </c>
      <c r="F45" s="27" t="n"/>
      <c r="G45" s="27" t="n"/>
      <c r="H45" s="77" t="inlineStr">
        <is>
          <t>Абстрактные слова «мы надежные», «у нас высокое качество» без конкретных фактов</t>
        </is>
      </c>
      <c r="I45" s="77" t="n"/>
      <c r="J45" s="77" t="n"/>
      <c r="K45" s="77" t="n"/>
      <c r="L45" s="77" t="n"/>
      <c r="M45" s="73" t="inlineStr">
        <is>
          <t>Показать схожий кейс из отрасли клиента: «Для завода X мы сократили потери на 1.4 млн ₽ за 21 день».</t>
        </is>
      </c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</row>
    <row r="46" ht="34" customHeight="1">
      <c r="A46" s="26" t="n">
        <v>8</v>
      </c>
      <c r="B46" s="8" t="inlineStr">
        <is>
          <t>Попытка закрытия сделки</t>
        </is>
      </c>
      <c r="C46" s="26" t="inlineStr">
        <is>
          <t>1.5x</t>
        </is>
      </c>
      <c r="D46" s="17" t="inlineStr">
        <is>
          <t>🔴 P0 (Критический)</t>
        </is>
      </c>
      <c r="E46" s="27" t="inlineStr">
        <is>
          <t>Прямое предложение заключить договор, забронировать слот аудита или выставить счет</t>
        </is>
      </c>
      <c r="F46" s="27" t="n"/>
      <c r="G46" s="27" t="n"/>
      <c r="H46" s="77" t="inlineStr">
        <is>
          <t>Разговор закончился тепло, но менеджер не предложил сделать следующий шаг к оплате</t>
        </is>
      </c>
      <c r="I46" s="77" t="n"/>
      <c r="J46" s="77" t="n"/>
      <c r="K46" s="77" t="n"/>
      <c r="L46" s="77" t="n"/>
      <c r="M46" s="73" t="inlineStr">
        <is>
          <t>«Если все параметры подходят, предлагаю сегодня запустить пилот. Куда отправить договор?»</t>
        </is>
      </c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</row>
    <row r="47" ht="34" customHeight="1">
      <c r="A47" s="26" t="n">
        <v>9</v>
      </c>
      <c r="B47" s="8" t="inlineStr">
        <is>
          <t>Регламент приветствия и повестка</t>
        </is>
      </c>
      <c r="C47" s="26" t="inlineStr">
        <is>
          <t>0.8x</t>
        </is>
      </c>
      <c r="D47" s="78" t="inlineStr">
        <is>
          <t>🟢 P2 (Стандарт)</t>
        </is>
      </c>
      <c r="E47" s="27" t="inlineStr">
        <is>
          <t>Представление имени, компании, уточнение времени и согласование цели разговора</t>
        </is>
      </c>
      <c r="F47" s="27" t="n"/>
      <c r="G47" s="27" t="n"/>
      <c r="H47" s="77" t="inlineStr">
        <is>
          <t>Невнятное приветствие, вопрос «Вам удобно говорить?» без обозначения повестки</t>
        </is>
      </c>
      <c r="I47" s="77" t="n"/>
      <c r="J47" s="77" t="n"/>
      <c r="K47" s="77" t="n"/>
      <c r="L47" s="77" t="n"/>
      <c r="M47" s="73" t="inlineStr">
        <is>
          <t>«Добрый день! Дмитрий, компания RevOps. Звоню по вашей заявке на аудит воронки. Уделите 5 минут?»</t>
        </is>
      </c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</row>
    <row r="48" ht="34" customHeight="1">
      <c r="A48" s="26" t="n">
        <v>10</v>
      </c>
      <c r="B48" s="8" t="inlineStr">
        <is>
          <t>Чистота речи и уверенность</t>
        </is>
      </c>
      <c r="C48" s="26" t="inlineStr">
        <is>
          <t>0.8x</t>
        </is>
      </c>
      <c r="D48" s="78" t="inlineStr">
        <is>
          <t>🟢 P2 (Стандарт)</t>
        </is>
      </c>
      <c r="E48" s="27" t="inlineStr">
        <is>
          <t>Отсутствие слов-паразитов («как бы», «э-э-э»), пауз и извиняющихся интонаций при цене</t>
        </is>
      </c>
      <c r="F48" s="27" t="n"/>
      <c r="G48" s="27" t="n"/>
      <c r="H48" s="77" t="inlineStr">
        <is>
          <t>Дрожащий голос при озвучивании чека, слова сомнения («может быть», «наверное»)</t>
        </is>
      </c>
      <c r="I48" s="77" t="n"/>
      <c r="J48" s="77" t="n"/>
      <c r="K48" s="77" t="n"/>
      <c r="L48" s="77" t="n"/>
      <c r="M48" s="73" t="inlineStr">
        <is>
          <t>Отработать блок цены на тренажере: уверенная пауза после озвучивания стоимости.</t>
        </is>
      </c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</row>
    <row r="49" ht="34" customHeight="1">
      <c r="A49" s="26" t="n">
        <v>11</v>
      </c>
      <c r="B49" s="8" t="inlineStr">
        <is>
          <t>Слушание клиента (Talk/Listen)</t>
        </is>
      </c>
      <c r="C49" s="26" t="inlineStr">
        <is>
          <t>1.2x</t>
        </is>
      </c>
      <c r="D49" s="20" t="inlineStr">
        <is>
          <t>🟡 P1 (Высокий)</t>
        </is>
      </c>
      <c r="E49" s="27" t="inlineStr">
        <is>
          <t>Менеджер слушает клиента не менее 45–50% общего времени разговора</t>
        </is>
      </c>
      <c r="F49" s="27" t="n"/>
      <c r="G49" s="27" t="n"/>
      <c r="H49" s="77" t="inlineStr">
        <is>
          <t>Монолог менеджера &gt; 70% времени: клиент молчит и теряет фокус внимания</t>
        </is>
      </c>
      <c r="I49" s="77" t="n"/>
      <c r="J49" s="77" t="n"/>
      <c r="K49" s="77" t="n"/>
      <c r="L49" s="77" t="n"/>
      <c r="M49" s="73" t="inlineStr">
        <is>
          <t>Держать баланс 50/50. Задавать открытые вопросы и давать клиенту выговориться о проблеме.</t>
        </is>
      </c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</row>
    <row r="50" ht="34" customHeight="1">
      <c r="A50" s="26" t="n">
        <v>12</v>
      </c>
      <c r="B50" s="8" t="inlineStr">
        <is>
          <t>Фиксация договорённостей</t>
        </is>
      </c>
      <c r="C50" s="26" t="inlineStr">
        <is>
          <t>1.0x</t>
        </is>
      </c>
      <c r="D50" s="78" t="inlineStr">
        <is>
          <t>🟢 P2 (Стандарт)</t>
        </is>
      </c>
      <c r="E50" s="27" t="inlineStr">
        <is>
          <t>Резюмирование договоренностей перед окончанием звонка: кто, что и когда делает</t>
        </is>
      </c>
      <c r="F50" s="27" t="n"/>
      <c r="G50" s="27" t="n"/>
      <c r="H50" s="77" t="inlineStr">
        <is>
          <t>Диалог оборвался, у клиента и менеджера разное понимание следующих действий</t>
        </is>
      </c>
      <c r="I50" s="77" t="n"/>
      <c r="J50" s="77" t="n"/>
      <c r="K50" s="77" t="n"/>
      <c r="L50" s="77" t="n"/>
      <c r="M50" s="73" t="inlineStr">
        <is>
          <t>«Итак, резюмирую: я отправляю КП в WhatsApp до 15:00, а завтра в 11:00 мы созваниваемся по условиям».</t>
        </is>
      </c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</row>
    <row r="51" ht="34" customHeight="1">
      <c r="A51" s="26" t="n">
        <v>13</v>
      </c>
      <c r="B51" s="8" t="inlineStr">
        <is>
          <t>Защита маржинальности</t>
        </is>
      </c>
      <c r="C51" s="26" t="inlineStr">
        <is>
          <t>1.5x</t>
        </is>
      </c>
      <c r="D51" s="17" t="inlineStr">
        <is>
          <t>🔴 P0 (Критический)</t>
        </is>
      </c>
      <c r="E51" s="27" t="inlineStr">
        <is>
          <t>Отсутствие необоснованных скидок без встречных уступок по объему или предоплате</t>
        </is>
      </c>
      <c r="F51" s="27" t="n"/>
      <c r="G51" s="27" t="n"/>
      <c r="H51" s="77" t="inlineStr">
        <is>
          <t>Раздача скидок из маржи компании без требования 100% предоплаты или большего объема</t>
        </is>
      </c>
      <c r="I51" s="77" t="n"/>
      <c r="J51" s="77" t="n"/>
      <c r="K51" s="77" t="n"/>
      <c r="L51" s="77" t="n"/>
      <c r="M51" s="73" t="inlineStr">
        <is>
          <t>Скидка возможна только в обмен на ценность: «Готовы дать 5% при оплате счета в течение 24 часов».</t>
        </is>
      </c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</row>
    <row r="52" ht="12" customHeight="1"/>
    <row r="53" ht="24" customHeight="1">
      <c r="A53" s="58" t="inlineStr">
        <is>
          <t>💰 ЭКОНОМИЧЕСКИЙ ЭФФЕКТ РЕЧЕВОЙ АНАЛИТИКИ (ROI ВНЕДРЕНИЯ И ОКУПАЕМОСТЬ)</t>
        </is>
      </c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</row>
    <row r="54" ht="26" customHeight="1">
      <c r="A54" s="25" t="inlineStr">
        <is>
          <t>Параметр эффекта речевой аналитики</t>
        </is>
      </c>
      <c r="B54" s="25" t="n"/>
      <c r="C54" s="25" t="n"/>
      <c r="D54" s="25" t="inlineStr">
        <is>
          <t>Значение</t>
        </is>
      </c>
      <c r="E54" s="25" t="n"/>
      <c r="F54" s="25" t="inlineStr">
        <is>
          <t>Комментарий и логика окупаемости</t>
        </is>
      </c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</row>
    <row r="55" ht="24" customHeight="1">
      <c r="A55" s="79" t="inlineStr">
        <is>
          <t>Текущие потери от брака звонков в месяц (As-Is)</t>
        </is>
      </c>
      <c r="B55" s="79" t="n"/>
      <c r="C55" s="79" t="n"/>
      <c r="D55" s="80" t="n">
        <v>1382500</v>
      </c>
      <c r="E55" s="80" t="n"/>
      <c r="F55" s="60" t="inlineStr">
        <is>
          <t>Сливы на этапе первичного звонка из-за отсутствия Next Step и слабой отработки возражений</t>
        </is>
      </c>
      <c r="G55" s="60" t="n"/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</row>
    <row r="56" ht="24" customHeight="1">
      <c r="A56" s="79" t="inlineStr">
        <is>
          <t>Ожидаемый возврат выручки в кассу (M1 To-Be)</t>
        </is>
      </c>
      <c r="B56" s="79" t="n"/>
      <c r="C56" s="79" t="n"/>
      <c r="D56" s="81" t="n">
        <v>414750</v>
      </c>
      <c r="E56" s="81" t="n"/>
      <c r="F56" s="60" t="inlineStr">
        <is>
          <t>Консервативный сценарий: устранение всего 30% выявленных дефектов речи</t>
        </is>
      </c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</row>
    <row r="57" ht="24" customHeight="1">
      <c r="A57" s="79" t="inlineStr">
        <is>
          <t>Стоимость модуля речевого ИИ-супервайзера</t>
        </is>
      </c>
      <c r="B57" s="79" t="n"/>
      <c r="C57" s="79" t="n"/>
      <c r="D57" s="82" t="n">
        <v>150000</v>
      </c>
      <c r="E57" s="82" t="n"/>
      <c r="F57" s="60" t="inlineStr">
        <is>
          <t>В составе комплексного 4-недельного спринта оптимизации отдела продаж</t>
        </is>
      </c>
      <c r="G57" s="60" t="n"/>
      <c r="H57" s="60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</row>
    <row r="58" ht="24" customHeight="1">
      <c r="A58" s="79" t="inlineStr">
        <is>
          <t>Чистая прибыль компании от внедрения в первый месяц</t>
        </is>
      </c>
      <c r="B58" s="79" t="n"/>
      <c r="C58" s="79" t="n"/>
      <c r="D58" s="81" t="n">
        <v>264750</v>
      </c>
      <c r="E58" s="81" t="n"/>
      <c r="F58" s="60" t="inlineStr">
        <is>
          <t>Чистый денежный плюс в кассе компании уже в первый месяц работы</t>
        </is>
      </c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</row>
    <row r="59" ht="24" customHeight="1">
      <c r="A59" s="79" t="inlineStr">
        <is>
          <t>Чистый ROI речевой аналитики</t>
        </is>
      </c>
      <c r="B59" s="79" t="n"/>
      <c r="C59" s="79" t="n"/>
      <c r="D59" s="59" t="inlineStr">
        <is>
          <t>276%</t>
        </is>
      </c>
      <c r="E59" s="59" t="n"/>
      <c r="F59" s="60" t="inlineStr">
        <is>
          <t>Отдача на каждый вложенный рубль в первый месяц</t>
        </is>
      </c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</row>
    <row r="60" ht="24" customHeight="1">
      <c r="A60" s="79" t="inlineStr">
        <is>
          <t>Срок полной окупаемости модуля</t>
        </is>
      </c>
      <c r="B60" s="79" t="n"/>
      <c r="C60" s="79" t="n"/>
      <c r="D60" s="59" t="inlineStr">
        <is>
          <t>11 дней</t>
        </is>
      </c>
      <c r="E60" s="59" t="n"/>
      <c r="F60" s="60" t="inlineStr">
        <is>
          <t>Количество рабочих дней до полной окупаемости внедрения речевого ИИ</t>
        </is>
      </c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</row>
  </sheetData>
  <mergeCells count="112">
    <mergeCell ref="D2:F2"/>
    <mergeCell ref="D60:E60"/>
    <mergeCell ref="N2:P2"/>
    <mergeCell ref="M41:V41"/>
    <mergeCell ref="H43:L43"/>
    <mergeCell ref="E40:G40"/>
    <mergeCell ref="H41:L41"/>
    <mergeCell ref="A29:V29"/>
    <mergeCell ref="A57:C57"/>
    <mergeCell ref="H49:L49"/>
    <mergeCell ref="N31:V31"/>
    <mergeCell ref="J3:L3"/>
    <mergeCell ref="A15:V15"/>
    <mergeCell ref="E34:F34"/>
    <mergeCell ref="M39:V39"/>
    <mergeCell ref="J9:V9"/>
    <mergeCell ref="M48:V48"/>
    <mergeCell ref="D56:E56"/>
    <mergeCell ref="N35:V35"/>
    <mergeCell ref="E42:G42"/>
    <mergeCell ref="H48:L48"/>
    <mergeCell ref="E44:G44"/>
    <mergeCell ref="C3:D3"/>
    <mergeCell ref="G33:M33"/>
    <mergeCell ref="E3:F3"/>
    <mergeCell ref="H38:L38"/>
    <mergeCell ref="G35:M35"/>
    <mergeCell ref="H44:L44"/>
    <mergeCell ref="A55:C55"/>
    <mergeCell ref="C4:D4"/>
    <mergeCell ref="M38:V38"/>
    <mergeCell ref="H40:L40"/>
    <mergeCell ref="E4:F4"/>
    <mergeCell ref="E46:G46"/>
    <mergeCell ref="H51:L51"/>
    <mergeCell ref="F59:V59"/>
    <mergeCell ref="M43:V43"/>
    <mergeCell ref="J8:V8"/>
    <mergeCell ref="F55:V55"/>
    <mergeCell ref="G4:I4"/>
    <mergeCell ref="N30:V30"/>
    <mergeCell ref="J10:V10"/>
    <mergeCell ref="E41:G41"/>
    <mergeCell ref="A58:C58"/>
    <mergeCell ref="E47:G47"/>
    <mergeCell ref="E43:G43"/>
    <mergeCell ref="A60:C60"/>
    <mergeCell ref="F58:V58"/>
    <mergeCell ref="N32:V32"/>
    <mergeCell ref="G30:M30"/>
    <mergeCell ref="H42:L42"/>
    <mergeCell ref="F60:V60"/>
    <mergeCell ref="M46:V46"/>
    <mergeCell ref="F57:V57"/>
    <mergeCell ref="M42:V42"/>
    <mergeCell ref="M3:V3"/>
    <mergeCell ref="N33:V33"/>
    <mergeCell ref="G3:I3"/>
    <mergeCell ref="J4:L4"/>
    <mergeCell ref="J12:V12"/>
    <mergeCell ref="A53:V53"/>
    <mergeCell ref="G32:M32"/>
    <mergeCell ref="A2:C2"/>
    <mergeCell ref="E45:G45"/>
    <mergeCell ref="M4:V4"/>
    <mergeCell ref="H46:L46"/>
    <mergeCell ref="G2:J2"/>
    <mergeCell ref="A3:B3"/>
    <mergeCell ref="E31:F31"/>
    <mergeCell ref="M44:V44"/>
    <mergeCell ref="Q2:V2"/>
    <mergeCell ref="H45:L45"/>
    <mergeCell ref="A1:V1"/>
    <mergeCell ref="M51:V51"/>
    <mergeCell ref="A59:C59"/>
    <mergeCell ref="H47:L47"/>
    <mergeCell ref="A4:B4"/>
    <mergeCell ref="D55:E55"/>
    <mergeCell ref="F56:V56"/>
    <mergeCell ref="E32:F32"/>
    <mergeCell ref="A37:V37"/>
    <mergeCell ref="D54:E54"/>
    <mergeCell ref="J11:V11"/>
    <mergeCell ref="E51:G51"/>
    <mergeCell ref="A54:C54"/>
    <mergeCell ref="M45:V45"/>
    <mergeCell ref="E33:F33"/>
    <mergeCell ref="A56:C56"/>
    <mergeCell ref="H50:L50"/>
    <mergeCell ref="F54:V54"/>
    <mergeCell ref="M47:V47"/>
    <mergeCell ref="E35:F35"/>
    <mergeCell ref="G31:M31"/>
    <mergeCell ref="K2:M2"/>
    <mergeCell ref="H39:L39"/>
    <mergeCell ref="E49:G49"/>
    <mergeCell ref="M50:V50"/>
    <mergeCell ref="D57:E57"/>
    <mergeCell ref="J7:V7"/>
    <mergeCell ref="N34:V34"/>
    <mergeCell ref="M49:V49"/>
    <mergeCell ref="E30:F30"/>
    <mergeCell ref="J13:V13"/>
    <mergeCell ref="A6:V6"/>
    <mergeCell ref="E50:G50"/>
    <mergeCell ref="D58:E58"/>
    <mergeCell ref="M40:V40"/>
    <mergeCell ref="E39:G39"/>
    <mergeCell ref="E48:G48"/>
    <mergeCell ref="G34:M34"/>
    <mergeCell ref="D59:E59"/>
    <mergeCell ref="E38:G38"/>
  </mergeCells>
  <hyperlinks>
    <hyperlink xmlns:r="http://schemas.openxmlformats.org/officeDocument/2006/relationships" ref="A2" r:id="rId1"/>
    <hyperlink xmlns:r="http://schemas.openxmlformats.org/officeDocument/2006/relationships" ref="D2" r:id="rId2"/>
    <hyperlink xmlns:r="http://schemas.openxmlformats.org/officeDocument/2006/relationships" ref="G2" r:id="rId3"/>
    <hyperlink xmlns:r="http://schemas.openxmlformats.org/officeDocument/2006/relationships" ref="K2" r:id="rId4"/>
    <hyperlink xmlns:r="http://schemas.openxmlformats.org/officeDocument/2006/relationships" ref="N2" r:id="rId5"/>
    <hyperlink xmlns:r="http://schemas.openxmlformats.org/officeDocument/2006/relationships" ref="Q2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44" customWidth="1" min="3" max="3"/>
    <col width="24" customWidth="1" min="4" max="4"/>
    <col width="26" customWidth="1" min="5" max="5"/>
    <col width="22" customWidth="1" min="6" max="6"/>
    <col width="44" customWidth="1" min="7" max="7"/>
    <col width="38" customWidth="1" min="8" max="8"/>
  </cols>
  <sheetData>
    <row r="1" ht="36" customHeight="1">
      <c r="A1" s="1" t="inlineStr">
        <is>
          <t>💸 ДИАГНОСТИЧЕСКИЙ АУДИТ УПУЩЕННОЙ ПРИБЫЛИ И УЗКИХ МЕСТ ОТДЕЛА ПРОДАЖ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4" t="inlineStr">
        <is>
          <t>⚡ Экспресс-Калькулятор</t>
        </is>
      </c>
      <c r="B2" s="4" t="n"/>
      <c r="C2" s="4" t="inlineStr">
        <is>
          <t>📋 Пульт РОПа</t>
        </is>
      </c>
      <c r="D2" s="4" t="inlineStr">
        <is>
          <t>🎙️ ИИ-Аудит</t>
        </is>
      </c>
      <c r="E2" s="3" t="inlineStr">
        <is>
          <t>💸 7 Грехов ОП</t>
        </is>
      </c>
      <c r="F2" s="4" t="inlineStr">
        <is>
          <t>📄 One-Pager</t>
        </is>
      </c>
      <c r="G2" s="4" t="inlineStr">
        <is>
          <t>🔐 152-ФЗ Безопасность</t>
        </is>
      </c>
      <c r="H2" s="4" t="n"/>
    </row>
    <row r="4" ht="22" customHeight="1">
      <c r="A4" s="39" t="inlineStr">
        <is>
          <t>Фактическая выручка месяца</t>
        </is>
      </c>
      <c r="B4" s="39" t="n"/>
      <c r="C4" s="53" t="inlineStr">
        <is>
          <t>Взвешенный пайплайн в работе</t>
        </is>
      </c>
      <c r="D4" s="40" t="inlineStr">
        <is>
          <t>Выявленная упущенная прибыль</t>
        </is>
      </c>
      <c r="E4" s="83" t="inlineStr">
        <is>
          <t>Потенциал выручки (To-Be)</t>
        </is>
      </c>
      <c r="F4" s="83" t="inlineStr">
        <is>
          <t>Ожидаемый чистый ROI</t>
        </is>
      </c>
      <c r="G4" s="83" t="inlineStr">
        <is>
          <t>Срок окупаемости проекта</t>
        </is>
      </c>
      <c r="H4" s="83" t="n"/>
    </row>
    <row r="5" ht="32" customHeight="1">
      <c r="A5" s="84" t="n">
        <v>1650000</v>
      </c>
      <c r="B5" s="84" t="n"/>
      <c r="C5" s="23" t="n">
        <v>2754000</v>
      </c>
      <c r="D5" s="21" t="n">
        <v>7001000</v>
      </c>
      <c r="E5" s="22" t="n">
        <v>8651000</v>
      </c>
      <c r="F5" s="85" t="inlineStr">
        <is>
          <t>367%</t>
        </is>
      </c>
      <c r="G5" s="85" t="inlineStr">
        <is>
          <t>6 дн.</t>
        </is>
      </c>
      <c r="H5" s="85" t="n"/>
    </row>
    <row r="7" ht="24" customHeight="1">
      <c r="A7" s="5" t="inlineStr">
        <is>
          <t>🔴 7 СМЕРТНЫХ ГРЕХОВ ОТДЕЛА ПРОДАЖ (АНАТОМИЯ СБОЕВ И ИХ УСТРАНЕНИЕ)</t>
        </is>
      </c>
    </row>
    <row r="8" ht="26" customHeight="1">
      <c r="A8" s="25" t="inlineStr">
        <is>
          <t>№</t>
        </is>
      </c>
      <c r="B8" s="25" t="inlineStr">
        <is>
          <t>Смертный грех ОП (Системный сбой)</t>
        </is>
      </c>
      <c r="C8" s="25" t="inlineStr">
        <is>
          <t>Симптом и диагностика в компании</t>
        </is>
      </c>
      <c r="D8" s="25" t="inlineStr">
        <is>
          <t>Объем базы в риске</t>
        </is>
      </c>
      <c r="E8" s="25" t="inlineStr">
        <is>
          <t>Упущенная выгода / Риск, ₽</t>
        </is>
      </c>
      <c r="F8" s="25" t="inlineStr">
        <is>
          <t>Приоритет</t>
        </is>
      </c>
      <c r="G8" s="25" t="inlineStr">
        <is>
          <t>Как закрывает наша платформа</t>
        </is>
      </c>
      <c r="H8" s="25" t="inlineStr">
        <is>
          <t>Ожидаемый эффект</t>
        </is>
      </c>
    </row>
    <row r="9" ht="48" customHeight="1">
      <c r="A9" s="26" t="inlineStr">
        <is>
          <t>1</t>
        </is>
      </c>
      <c r="B9" s="73" t="inlineStr">
        <is>
          <t>«Черный ящик» CRM: иллюзорный пайплайн</t>
        </is>
      </c>
      <c r="C9" s="27" t="inlineStr">
        <is>
          <t>В CRM висит 5.3 млн ₽, но реальный взвешенный объем всего 2.6 млн ₽. Фаундер живет в иллюзии плана</t>
        </is>
      </c>
      <c r="D9" s="67" t="n">
        <v>5530000</v>
      </c>
      <c r="E9" s="28" t="n">
        <v>2776000</v>
      </c>
      <c r="F9" s="86" t="inlineStr">
        <is>
          <t>🔴 P0 (Критический)</t>
        </is>
      </c>
      <c r="G9" s="27" t="inlineStr">
        <is>
          <t>Взвешенный прогноз воронки (SSOT) + исключение зомби-сделок</t>
        </is>
      </c>
      <c r="H9" s="27" t="inlineStr">
        <is>
          <t>100% точность прогноза Run-Rate без иллюзий</t>
        </is>
      </c>
    </row>
    <row r="10" ht="48" customHeight="1">
      <c r="A10" s="26" t="inlineStr">
        <is>
          <t>2</t>
        </is>
      </c>
      <c r="B10" s="73" t="inlineStr">
        <is>
          <t>«Кладбище сделок»: срыв регламентов SLA</t>
        </is>
      </c>
      <c r="C10" s="27" t="inlineStr">
        <is>
          <t>Сделки маринуются на этапе КП по 12–14 дней (норма 48ч). Вероятность закрытия падает на 45%</t>
        </is>
      </c>
      <c r="D10" s="67" t="n">
        <v>3850000</v>
      </c>
      <c r="E10" s="28" t="n">
        <v>1732500</v>
      </c>
      <c r="F10" s="86" t="inlineStr">
        <is>
          <t>🔴 P0 (Критический)</t>
        </is>
      </c>
      <c r="G10" s="27" t="inlineStr">
        <is>
          <t>Авторадар зависания сделок + эскалация РОПу на 3-й день</t>
        </is>
      </c>
      <c r="H10" s="27" t="inlineStr">
        <is>
          <t>+45% к конверсии этапа КП в оплату</t>
        </is>
      </c>
    </row>
    <row r="11" ht="48" customHeight="1">
      <c r="A11" s="26" t="inlineStr">
        <is>
          <t>3</t>
        </is>
      </c>
      <c r="B11" s="73" t="inlineStr">
        <is>
          <t>РОП — «играющий тренер» и узкое горлышко</t>
        </is>
      </c>
      <c r="C11" s="27" t="inlineStr">
        <is>
          <t>РОП ведет 80% сделок и перегружен (нагрузка 80%), а КАМы простаивают с 4% загрузки. Сделки тухнут без внимания</t>
        </is>
      </c>
      <c r="D11" s="67" t="n">
        <v>850000</v>
      </c>
      <c r="E11" s="28" t="n">
        <v>255000</v>
      </c>
      <c r="F11" s="86" t="inlineStr">
        <is>
          <t>🔴 P0 (Критический)</t>
        </is>
      </c>
      <c r="G11" s="27" t="inlineStr">
        <is>
          <t>Матрица емкости (Capacity Planning) + автоперелив сделок на КАМов</t>
        </is>
      </c>
      <c r="H11" s="27" t="inlineStr">
        <is>
          <t>Разгрузка РОПа на 60% для управления и коучинга</t>
        </is>
      </c>
    </row>
    <row r="12" ht="48" customHeight="1">
      <c r="A12" s="26" t="inlineStr">
        <is>
          <t>4</t>
        </is>
      </c>
      <c r="B12" s="73" t="inlineStr">
        <is>
          <t>Менеджеры-автоответчики и слив звонков</t>
        </is>
      </c>
      <c r="C12" s="27" t="inlineStr">
        <is>
          <t>В 33% звонков не зафиксирован Next Step. Средний балл речи &lt; 9/13. Лиды уходят в «подумаю»</t>
        </is>
      </c>
      <c r="D12" s="67" t="n">
        <v>5530000</v>
      </c>
      <c r="E12" s="28" t="n">
        <v>1382500</v>
      </c>
      <c r="F12" s="86" t="inlineStr">
        <is>
          <t>🔴 P0 (Критический)</t>
        </is>
      </c>
      <c r="G12" s="27" t="inlineStr">
        <is>
          <t>13-факторная речевая аналитика + чек-листы BANT + мотивация от речи</t>
        </is>
      </c>
      <c r="H12" s="27" t="inlineStr">
        <is>
          <t>+30% к конверсии из первого звонка во встречу</t>
        </is>
      </c>
    </row>
    <row r="13" ht="48" customHeight="1">
      <c r="A13" s="26" t="inlineStr">
        <is>
          <t>5</t>
        </is>
      </c>
      <c r="B13" s="73" t="inlineStr">
        <is>
          <t>«Кладбище отказников» без реактивации</t>
        </is>
      </c>
      <c r="C13" s="27" t="inlineStr">
        <is>
          <t>1 млн ₽ списан в отказ (L1 «дорого», L2 «подумаю»). База брошена в архиве без повторного прогрева</t>
        </is>
      </c>
      <c r="D13" s="67" t="n">
        <v>1000000</v>
      </c>
      <c r="E13" s="28" t="n">
        <v>440000</v>
      </c>
      <c r="F13" s="87" t="inlineStr">
        <is>
          <t>🟡 P1 (Высокий)</t>
        </is>
      </c>
      <c r="G13" s="27" t="inlineStr">
        <is>
          <t>Agentic AI Recovery Engine: сегментация отказников + офферы даунсейла</t>
        </is>
      </c>
      <c r="H13" s="27" t="inlineStr">
        <is>
          <t>Возврат до 20–30% списанной выручки из архива</t>
        </is>
      </c>
    </row>
    <row r="14" ht="48" customHeight="1">
      <c r="A14" s="26" t="inlineStr">
        <is>
          <t>6</t>
        </is>
      </c>
      <c r="B14" s="73" t="inlineStr">
        <is>
          <t>Зависшая дебиторка и кассовые разрывы</t>
        </is>
      </c>
      <c r="C14" s="27" t="inlineStr">
        <is>
          <t>Счета выставлены, но не оплачены (DSO &gt; 25 дней). 330к просрочки грозит кассовым разрывом</t>
        </is>
      </c>
      <c r="D14" s="67" t="n">
        <v>330000</v>
      </c>
      <c r="E14" s="28" t="n">
        <v>330000</v>
      </c>
      <c r="F14" s="87" t="inlineStr">
        <is>
          <t>🟡 P1 (Высокий)</t>
        </is>
      </c>
      <c r="G14" s="27" t="inlineStr">
        <is>
          <t>Платежный календарь DSO + триггерные AI-уведомления бухгалтерии клиента</t>
        </is>
      </c>
      <c r="H14" s="27" t="inlineStr">
        <is>
          <t>Сокращение срока дебиторки DSO с 27 до 7 дней</t>
        </is>
      </c>
    </row>
    <row r="15" ht="48" customHeight="1">
      <c r="A15" s="26" t="inlineStr">
        <is>
          <t>7</t>
        </is>
      </c>
      <c r="B15" s="73" t="inlineStr">
        <is>
          <t>Слив маркетинга и война с отделом продаж</t>
        </is>
      </c>
      <c r="C15" s="27" t="inlineStr">
        <is>
          <t>Google Ads слил 85 000 ₽ с ROMI -100% (0 оплат). Деньги сожжены без сквозного контроля окупаемости</t>
        </is>
      </c>
      <c r="D15" s="67" t="n">
        <v>850000</v>
      </c>
      <c r="E15" s="28" t="n">
        <v>85000</v>
      </c>
      <c r="F15" s="87" t="inlineStr">
        <is>
          <t>🟡 P1 (Высокий)</t>
        </is>
      </c>
      <c r="G15" s="27" t="inlineStr">
        <is>
          <t>Сквозная RevOps-атрибуция W-Shaped: автоотключение убыточных связок</t>
        </is>
      </c>
      <c r="H15" s="27" t="inlineStr">
        <is>
          <t>Экономия рекламного бюджета + перелив в прибыльный Контур/Директ</t>
        </is>
      </c>
    </row>
    <row r="16" ht="24" customHeight="1">
      <c r="A16" s="29" t="n"/>
      <c r="B16" s="46" t="inlineStr">
        <is>
          <t>ИТОГО ВЫЯВЛЕННЫХ ПОТЕРЬ И РИСКОВ В МЕСЯЦ:</t>
        </is>
      </c>
      <c r="C16" s="29" t="n"/>
      <c r="D16" s="88">
        <f>SUM(D9:D15)</f>
        <v/>
      </c>
      <c r="E16" s="47">
        <f>SUM(E9:E15)</f>
        <v/>
      </c>
      <c r="F16" s="89" t="inlineStr">
        <is>
          <t>ИТОГО ПОТЕРЬ</t>
        </is>
      </c>
      <c r="G16" s="48" t="inlineStr">
        <is>
          <t>Потенциал возврата в кассу</t>
        </is>
      </c>
      <c r="H16" s="49" t="inlineStr">
        <is>
          <t>Окупаемость за счет устранения узких мест</t>
        </is>
      </c>
    </row>
    <row r="18" ht="26" customHeight="1">
      <c r="A18" s="50" t="inlineStr">
        <is>
          <t>🚀 ЭКОНОМИКА ПРОЕКТА ОПТИМИЗАЦИИ И СРОК ОКУПАЕМОСТИ ДЛЯ КЛИЕНТА</t>
        </is>
      </c>
    </row>
    <row r="19" ht="24" customHeight="1">
      <c r="A19" s="6" t="inlineStr">
        <is>
          <t>Параметр экономики проекта</t>
        </is>
      </c>
      <c r="D19" s="6" t="inlineStr">
        <is>
          <t>Значение</t>
        </is>
      </c>
      <c r="E19" s="6" t="inlineStr">
        <is>
          <t>Комментарий и логика расчета</t>
        </is>
      </c>
    </row>
    <row r="20" ht="22" customHeight="1">
      <c r="A20" s="8" t="inlineStr">
        <is>
          <t>Стоимость проекта оптимизации ОП</t>
        </is>
      </c>
      <c r="B20" s="51" t="n"/>
      <c r="C20" s="51" t="n"/>
      <c r="D20" s="82" t="n">
        <v>450000</v>
      </c>
      <c r="E20" s="10" t="inlineStr">
        <is>
          <t>Фиксированная стоимость внедрения (4 недели спринтов)</t>
        </is>
      </c>
      <c r="F20" s="51" t="n"/>
      <c r="G20" s="51" t="n"/>
      <c r="H20" s="51" t="n"/>
    </row>
    <row r="21" ht="22" customHeight="1">
      <c r="A21" s="8" t="inlineStr">
        <is>
          <t>Ожидаемый возврат выручки (M1 факт)</t>
        </is>
      </c>
      <c r="B21" s="51" t="n"/>
      <c r="C21" s="51" t="n"/>
      <c r="D21" s="81" t="n">
        <v>2100300</v>
      </c>
      <c r="E21" s="10" t="inlineStr">
        <is>
          <t>Консервативный ориентир: устранение всего 30% найденных узких мест</t>
        </is>
      </c>
      <c r="F21" s="51" t="n"/>
      <c r="G21" s="51" t="n"/>
      <c r="H21" s="51" t="n"/>
    </row>
    <row r="22" ht="22" customHeight="1">
      <c r="A22" s="8" t="inlineStr">
        <is>
          <t>Чистая прибыль собственника за вычетом услуг</t>
        </is>
      </c>
      <c r="B22" s="51" t="n"/>
      <c r="C22" s="51" t="n"/>
      <c r="D22" s="81">
        <f>D21-D20</f>
        <v/>
      </c>
      <c r="E22" s="10" t="inlineStr">
        <is>
          <t>Чистый денежный плюс в кассе компании в первый же месяц</t>
        </is>
      </c>
      <c r="F22" s="51" t="n"/>
      <c r="G22" s="51" t="n"/>
      <c r="H22" s="51" t="n"/>
    </row>
    <row r="23" ht="22" customHeight="1">
      <c r="A23" s="8" t="inlineStr">
        <is>
          <t>Чистый ROI инвестиций в проект</t>
        </is>
      </c>
      <c r="B23" s="51" t="n"/>
      <c r="C23" s="51" t="n"/>
      <c r="D23" s="59">
        <f>(D22/D20)*100 &amp; "%"</f>
        <v/>
      </c>
      <c r="E23" s="10" t="inlineStr">
        <is>
          <t>Процент отдачи на каждый вложенный рубль</t>
        </is>
      </c>
      <c r="F23" s="51" t="n"/>
      <c r="G23" s="51" t="n"/>
      <c r="H23" s="51" t="n"/>
    </row>
    <row r="24" ht="22" customHeight="1">
      <c r="A24" s="8" t="inlineStr">
        <is>
          <t>Срок полной окупаемости проекта</t>
        </is>
      </c>
      <c r="B24" s="51" t="n"/>
      <c r="C24" s="51" t="n"/>
      <c r="D24" s="59">
        <f>ROUND(D20/(D21/30), 0) &amp; " дн."</f>
        <v/>
      </c>
      <c r="E24" s="10" t="inlineStr">
        <is>
          <t>Количество дней работы ОП до полной окупаемости чека внедрения</t>
        </is>
      </c>
      <c r="F24" s="51" t="n"/>
      <c r="G24" s="51" t="n"/>
      <c r="H24" s="51" t="n"/>
    </row>
    <row r="26" ht="28" customHeight="1">
      <c r="A26" s="90" t="inlineStr">
        <is>
          <t>👉 УТВЕРДИТЬ ПРОЕКТ ОПТИМИЗАЦИИ И СФОРМИРОВАТЬ ИНВОЙС (450 000 ₽)</t>
        </is>
      </c>
    </row>
    <row r="27">
      <c r="A27" s="91" t="inlineStr">
        <is>
          <t>Не готовы к спринту? 👉 Бесплатный тест-драйв на 3 звонках на вкладке «⚡ Экспресс_Калькулятор_3_Цифры»</t>
        </is>
      </c>
    </row>
    <row r="28">
      <c r="A28" s="92" t="inlineStr">
        <is>
          <t>🔒 Безопасный B2B-расчет: безналичный платеж по счету (УПД / Диадок) • 152-ФЗ РФ • Старт спринта за 24 часа</t>
        </is>
      </c>
    </row>
  </sheetData>
  <mergeCells count="25">
    <mergeCell ref="G2:H2"/>
    <mergeCell ref="A21:C21"/>
    <mergeCell ref="A1:H1"/>
    <mergeCell ref="E22:H22"/>
    <mergeCell ref="A7:H7"/>
    <mergeCell ref="A23:C23"/>
    <mergeCell ref="A22:C22"/>
    <mergeCell ref="E21:H21"/>
    <mergeCell ref="D19"/>
    <mergeCell ref="A27:H27"/>
    <mergeCell ref="A20:C20"/>
    <mergeCell ref="E24:H24"/>
    <mergeCell ref="A18:H18"/>
    <mergeCell ref="A26:H26"/>
    <mergeCell ref="A2:B2"/>
    <mergeCell ref="A19:C19"/>
    <mergeCell ref="E23:H23"/>
    <mergeCell ref="A5:B5"/>
    <mergeCell ref="G5:H5"/>
    <mergeCell ref="E20:H20"/>
    <mergeCell ref="E19:H19"/>
    <mergeCell ref="A24:C24"/>
    <mergeCell ref="A4:B4"/>
    <mergeCell ref="G4:H4"/>
    <mergeCell ref="A28:H28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0" customWidth="1" min="4" max="4"/>
    <col width="6" customWidth="1" min="5" max="5"/>
    <col width="26" customWidth="1" min="6" max="6"/>
    <col width="28" customWidth="1" min="7" max="7"/>
    <col width="22" customWidth="1" min="8" max="8"/>
    <col width="44" customWidth="1" min="9" max="9"/>
  </cols>
  <sheetData>
    <row r="1" ht="36" customHeight="1">
      <c r="A1" s="1" t="inlineStr">
        <is>
          <t>📄 REVOPS ENTERPRISE EXECUTIVE ONE-PAGER (УПРАВЛЕНЧЕСКИЙ ДАЙДЖЕСТ)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4" t="inlineStr">
        <is>
          <t>⚡ Экспресс-Калькулятор</t>
        </is>
      </c>
      <c r="B2" s="4" t="inlineStr">
        <is>
          <t>📋 Пульт РОПа (15 мин)</t>
        </is>
      </c>
      <c r="C2" s="4" t="n"/>
      <c r="D2" s="4" t="inlineStr">
        <is>
          <t>🎙️ ИИ-Аудит звонков</t>
        </is>
      </c>
      <c r="E2" s="4" t="n"/>
      <c r="F2" s="4" t="inlineStr">
        <is>
          <t>💸 7 Грехов (Диагностика)</t>
        </is>
      </c>
      <c r="G2" s="3" t="inlineStr">
        <is>
          <t>📄 Executive One-Pager</t>
        </is>
      </c>
      <c r="H2" s="3" t="n"/>
      <c r="I2" s="4" t="inlineStr">
        <is>
          <t>🔐 152-ФЗ Безопасность</t>
        </is>
      </c>
    </row>
    <row r="4" ht="22" customHeight="1">
      <c r="A4" s="39" t="inlineStr">
        <is>
          <t>Выручка (Closed-Won)</t>
        </is>
      </c>
      <c r="B4" s="39" t="inlineStr">
        <is>
          <t>% Выполнения плана</t>
        </is>
      </c>
      <c r="C4" s="53" t="inlineStr">
        <is>
          <t>Взвешенный прогноз</t>
        </is>
      </c>
      <c r="D4" s="39" t="inlineStr">
        <is>
          <t>Run-Rate касса (Прогноз)</t>
        </is>
      </c>
      <c r="F4" s="39" t="inlineStr">
        <is>
          <t>Активный пайплайн в работе</t>
        </is>
      </c>
      <c r="G4" s="40" t="inlineStr">
        <is>
          <t>Сделок под угрозой SLA</t>
        </is>
      </c>
      <c r="H4" s="39" t="inlineStr">
        <is>
          <t>Качество речи ОП (ИИ)</t>
        </is>
      </c>
      <c r="I4" s="83" t="inlineStr">
        <is>
          <t>Data Quality Index</t>
        </is>
      </c>
    </row>
    <row r="5" ht="32" customHeight="1">
      <c r="A5" s="84" t="n">
        <v>1650000</v>
      </c>
      <c r="B5" s="41" t="inlineStr">
        <is>
          <t>33.0%</t>
        </is>
      </c>
      <c r="C5" s="23" t="n">
        <v>2754000</v>
      </c>
      <c r="D5" s="84" t="n">
        <v>1706897</v>
      </c>
      <c r="F5" s="84" t="n">
        <v>5530000</v>
      </c>
      <c r="G5" s="42" t="inlineStr">
        <is>
          <t>4 сделки</t>
        </is>
      </c>
      <c r="H5" s="41" t="inlineStr">
        <is>
          <t>73.1%</t>
        </is>
      </c>
      <c r="I5" s="85" t="inlineStr">
        <is>
          <t>100.0% (Эталон)</t>
        </is>
      </c>
    </row>
    <row r="7" ht="24" customHeight="1">
      <c r="A7" s="5" t="inlineStr">
        <is>
          <t>📊 ВОРОНКА ПРОДАЖ &amp; УЗКИЕ ГОРЛЫШКИ (AS-IS)</t>
        </is>
      </c>
      <c r="F7" s="5" t="inlineStr">
        <is>
          <t>🚨 ТОП-5 КРИТИЧЕСКИХ РИСКОВ ВЫРУЧКИ (ACTION CENTER)</t>
        </is>
      </c>
    </row>
    <row r="8" ht="24" customHeight="1">
      <c r="A8" s="25" t="inlineStr">
        <is>
          <t>Этап сделки</t>
        </is>
      </c>
      <c r="B8" s="25" t="inlineStr">
        <is>
          <t>Сделок</t>
        </is>
      </c>
      <c r="C8" s="25" t="inlineStr">
        <is>
          <t>Объем, ₽</t>
        </is>
      </c>
      <c r="D8" s="25" t="inlineStr">
        <is>
          <t>SLA норматив (ч)</t>
        </is>
      </c>
      <c r="F8" s="25" t="inlineStr">
        <is>
          <t>Сделка / Клиент</t>
        </is>
      </c>
      <c r="G8" s="25" t="inlineStr">
        <is>
          <t>Проблема &amp; Симптом</t>
        </is>
      </c>
      <c r="H8" s="25" t="inlineStr">
        <is>
          <t>Сумма в риске, ₽</t>
        </is>
      </c>
      <c r="I8" s="25" t="inlineStr">
        <is>
          <t>Срочное действие РОПа</t>
        </is>
      </c>
    </row>
    <row r="9" ht="28" customHeight="1">
      <c r="A9" s="27" t="inlineStr">
        <is>
          <t>1. Новый лид</t>
        </is>
      </c>
      <c r="B9" s="26" t="n">
        <v>1</v>
      </c>
      <c r="C9" s="28" t="n">
        <v>950000</v>
      </c>
      <c r="D9" s="26" t="n">
        <v>24</v>
      </c>
      <c r="F9" s="79" t="inlineStr">
        <is>
          <t>D-104 (ООО Вектор)</t>
        </is>
      </c>
      <c r="G9" s="27" t="inlineStr">
        <is>
          <t>КП без ответа &gt; 48ч</t>
        </is>
      </c>
      <c r="H9" s="61" t="n">
        <v>850000</v>
      </c>
      <c r="I9" s="27" t="inlineStr">
        <is>
          <t>Повторный контакт с ЛПР + звонок РОПа</t>
        </is>
      </c>
    </row>
    <row r="10" ht="28" customHeight="1">
      <c r="A10" s="27" t="inlineStr">
        <is>
          <t>2. Квалификация / ЛПР</t>
        </is>
      </c>
      <c r="B10" s="26" t="n">
        <v>1</v>
      </c>
      <c r="C10" s="28" t="n">
        <v>120000</v>
      </c>
      <c r="D10" s="26" t="n">
        <v>48</v>
      </c>
      <c r="F10" s="79" t="inlineStr">
        <is>
          <t>D-103 (ИнвестХолдинг)</t>
        </is>
      </c>
      <c r="G10" s="27" t="inlineStr">
        <is>
          <t>Просрочен счёт на оплату</t>
        </is>
      </c>
      <c r="H10" s="61" t="n">
        <v>150000</v>
      </c>
      <c r="I10" s="27" t="inlineStr">
        <is>
          <t>Дожим счета через AI-бота + автозвонок</t>
        </is>
      </c>
    </row>
    <row r="11" ht="28" customHeight="1">
      <c r="A11" s="27" t="inlineStr">
        <is>
          <t>3. Встреча / Демо</t>
        </is>
      </c>
      <c r="B11" s="26" t="n">
        <v>1</v>
      </c>
      <c r="C11" s="28" t="n">
        <v>280000</v>
      </c>
      <c r="D11" s="26" t="n">
        <v>120</v>
      </c>
      <c r="F11" s="79" t="inlineStr">
        <is>
          <t>D-109 (ПромКомплект)</t>
        </is>
      </c>
      <c r="G11" s="27" t="inlineStr">
        <is>
          <t>Критический брак речи (&lt;9)</t>
        </is>
      </c>
      <c r="H11" s="61" t="n">
        <v>600000</v>
      </c>
      <c r="I11" s="27" t="inlineStr">
        <is>
          <t>Личный перезвон РОПа ЛПР до 12:00</t>
        </is>
      </c>
    </row>
    <row r="12" ht="28" customHeight="1">
      <c r="A12" s="27" t="inlineStr">
        <is>
          <t>4. КП и согласование</t>
        </is>
      </c>
      <c r="B12" s="26" t="n">
        <v>2</v>
      </c>
      <c r="C12" s="28" t="n">
        <v>3850000</v>
      </c>
      <c r="D12" s="26" t="n">
        <v>48</v>
      </c>
      <c r="F12" s="79" t="inlineStr">
        <is>
          <t>D-106 (СнабСервис)</t>
        </is>
      </c>
      <c r="G12" s="27" t="inlineStr">
        <is>
          <t>Зависание на этапе КП</t>
        </is>
      </c>
      <c r="H12" s="61" t="n">
        <v>280000</v>
      </c>
      <c r="I12" s="27" t="inlineStr">
        <is>
          <t>Эскалация РОПу, согласование слота</t>
        </is>
      </c>
    </row>
    <row r="13" ht="28" customHeight="1">
      <c r="A13" s="27" t="inlineStr">
        <is>
          <t>5. Счет выставлен</t>
        </is>
      </c>
      <c r="B13" s="26" t="n">
        <v>2</v>
      </c>
      <c r="C13" s="28" t="n">
        <v>330000</v>
      </c>
      <c r="D13" s="26" t="n">
        <v>72</v>
      </c>
      <c r="F13" s="79" t="inlineStr">
        <is>
          <t>D-107 (ТехноПром)</t>
        </is>
      </c>
      <c r="G13" s="27" t="inlineStr">
        <is>
          <t>Крупная сделка без движения</t>
        </is>
      </c>
      <c r="H13" s="61" t="n">
        <v>3000000</v>
      </c>
      <c r="I13" s="27" t="inlineStr">
        <is>
          <t>Подключение генерального директора</t>
        </is>
      </c>
    </row>
    <row r="14" ht="28" customHeight="1">
      <c r="A14" s="27" t="inlineStr">
        <is>
          <t>6. Успешно реализовано</t>
        </is>
      </c>
      <c r="B14" s="26" t="n">
        <v>2</v>
      </c>
      <c r="C14" s="28" t="n">
        <v>1650000</v>
      </c>
      <c r="D14" s="26" t="n">
        <v>0</v>
      </c>
    </row>
    <row r="16" ht="32" customHeight="1">
      <c r="A16" s="93" t="inlineStr">
        <is>
          <t>🎯 ГЛАВНЫЙ ФОКУС РУКОВОДСТВА ДО КОНЦА МЕСЯЦА: Перехват сделки D-104 (850 000 ₽) и перераспределение 3 лидов с перегруженного РОПа на КАМов.</t>
        </is>
      </c>
      <c r="B16" s="93" t="n"/>
      <c r="C16" s="93" t="n"/>
      <c r="D16" s="93" t="n"/>
      <c r="E16" s="93" t="n"/>
      <c r="F16" s="93" t="n"/>
      <c r="G16" s="93" t="n"/>
      <c r="H16" s="93" t="n"/>
      <c r="I16" s="93" t="n"/>
    </row>
  </sheetData>
  <mergeCells count="7">
    <mergeCell ref="B2:C2"/>
    <mergeCell ref="D2:E2"/>
    <mergeCell ref="G2:H2"/>
    <mergeCell ref="F7:I7"/>
    <mergeCell ref="A1:I1"/>
    <mergeCell ref="A7:D7"/>
    <mergeCell ref="A16:I16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6" customWidth="1" min="3" max="3"/>
    <col width="56" customWidth="1" min="4" max="4"/>
    <col width="24" customWidth="1" min="5" max="5"/>
    <col width="38" customWidth="1" min="6" max="6"/>
  </cols>
  <sheetData>
    <row r="1" ht="36" customHeight="1">
      <c r="A1" s="1" t="inlineStr">
        <is>
          <t>🔐 ЮРИДИЧЕСКИЙ КОНТУР БЕЗОПАСНОСТИ И ОБЕЗЛИЧИВАНИЯ ПДН (152-ФЗ РФ)</t>
        </is>
      </c>
      <c r="B1" s="2" t="n"/>
      <c r="C1" s="2" t="n"/>
      <c r="D1" s="2" t="n"/>
      <c r="E1" s="2" t="n"/>
      <c r="F1" s="2" t="n"/>
    </row>
    <row r="2" ht="24" customHeight="1">
      <c r="A2" s="4" t="inlineStr">
        <is>
          <t>⚡ Экспресс-Калькулятор</t>
        </is>
      </c>
      <c r="B2" s="4" t="inlineStr">
        <is>
          <t>📋 Пульт РОПа (15 мин)</t>
        </is>
      </c>
      <c r="C2" s="4" t="inlineStr">
        <is>
          <t>🎙️ ИИ-Аудит звонков</t>
        </is>
      </c>
      <c r="D2" s="4" t="inlineStr">
        <is>
          <t>💸 7 Грехов (Диагностика)</t>
        </is>
      </c>
      <c r="E2" s="4" t="inlineStr">
        <is>
          <t>📄 Executive One-Pager</t>
        </is>
      </c>
      <c r="F2" s="3" t="inlineStr">
        <is>
          <t>🔐 152-ФЗ Безопасность</t>
        </is>
      </c>
    </row>
    <row r="4" ht="24" customHeight="1">
      <c r="A4" s="5" t="inlineStr">
        <is>
          <t>🛡️ ГАРАНТИЯ СООТВЕТСТВИЯ ЗАКОНОДАТЕЛЬСТВУ И РЕГЛАМЕНТАМ БЕЗОПАСНОСТИ РФ</t>
        </is>
      </c>
    </row>
    <row r="5" ht="26" customHeight="1">
      <c r="A5" s="25" t="inlineStr">
        <is>
          <t>№</t>
        </is>
      </c>
      <c r="B5" s="25" t="inlineStr">
        <is>
          <t>Параметр безопасности</t>
        </is>
      </c>
      <c r="C5" s="25" t="inlineStr">
        <is>
          <t>Требование законодательства РФ</t>
        </is>
      </c>
      <c r="D5" s="25" t="inlineStr">
        <is>
          <t>Архитектурная реализация платформы RevOps</t>
        </is>
      </c>
      <c r="E5" s="25" t="inlineStr">
        <is>
          <t>Статус проверки</t>
        </is>
      </c>
      <c r="F5" s="25" t="inlineStr">
        <is>
          <t>Юридическое обоснование</t>
        </is>
      </c>
    </row>
    <row r="6" ht="44" customHeight="1">
      <c r="A6" s="26" t="n">
        <v>1</v>
      </c>
      <c r="B6" s="73" t="inlineStr">
        <is>
          <t>Локализация баз данных</t>
        </is>
      </c>
      <c r="C6" s="27" t="inlineStr">
        <is>
          <t>Хранение ПДн граждан РФ строго на серверах в РФ</t>
        </is>
      </c>
      <c r="D6" s="27" t="inlineStr">
        <is>
          <t>Дата-центры в Москве (Yandex Cloud / Selectel), аттестация ФСТЭК УЗ 1-2</t>
        </is>
      </c>
      <c r="E6" s="85" t="inlineStr">
        <is>
          <t>✅ 100% Соответствие</t>
        </is>
      </c>
      <c r="F6" s="27" t="inlineStr">
        <is>
          <t>ст. 18.1 Федерального закона № 152-ФЗ</t>
        </is>
      </c>
    </row>
    <row r="7" ht="44" customHeight="1">
      <c r="A7" s="26" t="n">
        <v>2</v>
      </c>
      <c r="B7" s="73" t="inlineStr">
        <is>
          <t>Криптографическая токенизация</t>
        </is>
      </c>
      <c r="C7" s="27" t="inlineStr">
        <is>
          <t>Запрет передачи персональных данных во внешние контуры</t>
        </is>
      </c>
      <c r="D7" s="27" t="inlineStr">
        <is>
          <t>Модуль PIISanitizer: замена телефонов, ФИО и карт на токены [PHONE_TOKEN_X]</t>
        </is>
      </c>
      <c r="E7" s="85" t="inlineStr">
        <is>
          <t>✅ Автоматически</t>
        </is>
      </c>
      <c r="F7" s="27" t="inlineStr">
        <is>
          <t>ст. 6 Федерального закона № 152-ФЗ</t>
        </is>
      </c>
    </row>
    <row r="8" ht="44" customHeight="1">
      <c r="A8" s="26" t="n">
        <v>3</v>
      </c>
      <c r="B8" s="73" t="inlineStr">
        <is>
          <t>Срок хранения аудиозаписей</t>
        </is>
      </c>
      <c r="C8" s="27" t="inlineStr">
        <is>
          <t>Удаление данных после достижения цели обработки</t>
        </is>
      </c>
      <c r="D8" s="27" t="inlineStr">
        <is>
          <t>Автоматическое безвозвратное удаление исходных аудио через 30 дней</t>
        </is>
      </c>
      <c r="E8" s="85" t="inlineStr">
        <is>
          <t>✅ Настроено в cron</t>
        </is>
      </c>
      <c r="F8" s="27" t="inlineStr">
        <is>
          <t>ст. 5 Федерального закона № 152-ФЗ</t>
        </is>
      </c>
    </row>
    <row r="9" ht="44" customHeight="1">
      <c r="A9" s="26" t="n">
        <v>4</v>
      </c>
      <c r="B9" s="73" t="inlineStr">
        <is>
          <t>Согласие сотрудников ОП</t>
        </is>
      </c>
      <c r="C9" s="27" t="inlineStr">
        <is>
          <t>Уведомление персонала о контроле качества переговоров</t>
        </is>
      </c>
      <c r="D9" s="27" t="inlineStr">
        <is>
          <t>Готовый пакет документов: Приказ, Положение о контроле, Согласие</t>
        </is>
      </c>
      <c r="E9" s="85" t="inlineStr">
        <is>
          <t>✅ Комплект включен</t>
        </is>
      </c>
      <c r="F9" s="27" t="inlineStr">
        <is>
          <t>ст. 86 Трудового Кодекса РФ</t>
        </is>
      </c>
    </row>
    <row r="10" ht="44" customHeight="1">
      <c r="A10" s="26" t="n">
        <v>5</v>
      </c>
      <c r="B10" s="73" t="inlineStr">
        <is>
          <t>Юридический статус исполнителя</t>
        </is>
      </c>
      <c r="C10" s="27" t="inlineStr">
        <is>
          <t>Прозрачность расчетов с юридическими лицами</t>
        </is>
      </c>
      <c r="D10" s="27" t="inlineStr">
        <is>
          <t>Плательщик НПД (Самозанятый), чек приложения «Мой Налог», договор, акт</t>
        </is>
      </c>
      <c r="E10" s="85" t="inlineStr">
        <is>
          <t>✅ Безопасно для бухгалтерии</t>
        </is>
      </c>
      <c r="F10" s="27" t="inlineStr">
        <is>
          <t>ст. 15 Федерального закона № 422-ФЗ</t>
        </is>
      </c>
    </row>
    <row r="11" ht="44" customHeight="1">
      <c r="A11" s="26" t="n">
        <v>6</v>
      </c>
      <c r="B11" s="73" t="inlineStr">
        <is>
          <t>Гарантия конфиденциальности NDA</t>
        </is>
      </c>
      <c r="C11" s="27" t="inlineStr">
        <is>
          <t>Защита коммерческой тайны и клиентской базы компании</t>
        </is>
      </c>
      <c r="D11" s="27" t="inlineStr">
        <is>
          <t>Подписание двустороннего соглашения о неразглашении конфиденциальных данных</t>
        </is>
      </c>
      <c r="E11" s="85" t="inlineStr">
        <is>
          <t>✅ Подписание в ЭДО</t>
        </is>
      </c>
      <c r="F11" s="27" t="inlineStr">
        <is>
          <t>Федеральный закон № 98-ФЗ «О коммерческой тайне»</t>
        </is>
      </c>
    </row>
  </sheetData>
  <mergeCells count="2">
    <mergeCell ref="A1:F1"/>
    <mergeCell ref="A4:F4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2026-10-01T13:50:02Z</dcterms:created>
  <dcterms:modified xmlns:dcterms="http://purl.org/dc/terms/" xmlns:xsi="http://www.w3.org/2001/XMLSchema-instance" xsi:type="dcterms:W3CDTF">2026-10-01T13:50:02Z</dcterms:modified>
</cp:coreProperties>
</file>